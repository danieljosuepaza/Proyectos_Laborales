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1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uario\OneDrive - Universidad de San Martin de Porres\Escritorio\Texmaya Datos Daniel\"/>
    </mc:Choice>
  </mc:AlternateContent>
  <xr:revisionPtr revIDLastSave="0" documentId="13_ncr:1_{C10A7F5E-AF73-4516-B878-29B8CAF983E9}" xr6:coauthVersionLast="47" xr6:coauthVersionMax="47" xr10:uidLastSave="{00000000-0000-0000-0000-000000000000}"/>
  <bookViews>
    <workbookView xWindow="-108" yWindow="-108" windowWidth="23256" windowHeight="12576" tabRatio="900" activeTab="1" xr2:uid="{00000000-000D-0000-FFFF-FFFF00000000}"/>
  </bookViews>
  <sheets>
    <sheet name="Cliente" sheetId="75" r:id="rId1"/>
    <sheet name="Tipo de Prenda" sheetId="76" r:id="rId2"/>
    <sheet name="Min. Mes" sheetId="77" r:id="rId3"/>
    <sheet name="Min. Mes Pda. Dormir" sheetId="78" r:id="rId4"/>
    <sheet name="TABLA DATA" sheetId="72" r:id="rId5"/>
    <sheet name="DATAOPS" sheetId="69" r:id="rId6"/>
    <sheet name="DATAOPS (3)" sheetId="73" state="hidden" r:id="rId7"/>
    <sheet name="DATAOPS (2)" sheetId="71" state="hidden" r:id="rId8"/>
    <sheet name="MUESTRAS" sheetId="56" state="hidden" r:id="rId9"/>
    <sheet name="MUESTRAS FV" sheetId="66" state="hidden" r:id="rId10"/>
    <sheet name="TIZADOS" sheetId="63" state="hidden" r:id="rId11"/>
    <sheet name="CORTES" sheetId="30" state="hidden" r:id="rId12"/>
    <sheet name="CONFECCIÓN" sheetId="64" state="hidden" r:id="rId13"/>
    <sheet name="CROCHET" sheetId="43" state="hidden" r:id="rId14"/>
    <sheet name="BORDADO" sheetId="25" state="hidden" r:id="rId15"/>
    <sheet name="MAMANI" sheetId="59" state="hidden" r:id="rId16"/>
    <sheet name="LUS OCAMPO" sheetId="46" state="hidden" r:id="rId17"/>
    <sheet name="IBETH" sheetId="40" state="hidden" r:id="rId18"/>
    <sheet name="TEXMAYA" sheetId="52" state="hidden" r:id="rId19"/>
    <sheet name="MARITZA TEOFILA" sheetId="60" state="hidden" r:id="rId20"/>
    <sheet name="WALTER SANTIAGO" sheetId="61" state="hidden" r:id="rId21"/>
    <sheet name="GLADYS" sheetId="51" state="hidden" r:id="rId22"/>
    <sheet name="JESUS SERNA (PD)" sheetId="55" state="hidden" r:id="rId23"/>
    <sheet name="MADELEY" sheetId="48" state="hidden" r:id="rId24"/>
    <sheet name="ESTUPIÑAM" sheetId="54" state="hidden" r:id="rId25"/>
    <sheet name="ZEGARRA" sheetId="53" state="hidden" r:id="rId26"/>
    <sheet name="ELIAS" sheetId="49" state="hidden" r:id="rId27"/>
    <sheet name="JUANA VALLADARES" sheetId="58" state="hidden" r:id="rId28"/>
    <sheet name="JHON" sheetId="31" state="hidden" r:id="rId29"/>
    <sheet name="HE SHE" sheetId="39" state="hidden" r:id="rId30"/>
  </sheets>
  <definedNames>
    <definedName name="_xlnm._FilterDatabase" localSheetId="12" hidden="1">CONFECCIÓN!$A$2:$J$2</definedName>
    <definedName name="_xlnm._FilterDatabase" localSheetId="11" hidden="1">CORTES!$A$2:$J$2</definedName>
    <definedName name="_xlnm._FilterDatabase" localSheetId="13" hidden="1">CROCHET!$A$2:$J$4</definedName>
    <definedName name="_xlnm._FilterDatabase" localSheetId="5" hidden="1">DATAOPS!$B$2:$AN$464</definedName>
    <definedName name="_xlnm._FilterDatabase" localSheetId="7" hidden="1">'DATAOPS (2)'!$B$2:$AM$466</definedName>
    <definedName name="_xlnm._FilterDatabase" localSheetId="6" hidden="1">'DATAOPS (3)'!$B$2:$AN$466</definedName>
    <definedName name="_xlnm._FilterDatabase" localSheetId="29" hidden="1">'HE SHE'!$B$2:$K$4</definedName>
    <definedName name="_xlnm._FilterDatabase" localSheetId="17" hidden="1">IBETH!$B$2:$K$5</definedName>
    <definedName name="_xlnm._FilterDatabase" localSheetId="28" hidden="1">JHON!$B$2:$K$4</definedName>
    <definedName name="_xlnm._FilterDatabase" localSheetId="16" hidden="1">'LUS OCAMPO'!$A$2:$K$20</definedName>
    <definedName name="_xlnm._FilterDatabase" localSheetId="23" hidden="1">MADELEY!$B$2:$K$2</definedName>
    <definedName name="_xlnm._FilterDatabase" localSheetId="8" hidden="1">MUESTRAS!$A$2:$S$2</definedName>
    <definedName name="_xlnm._FilterDatabase" localSheetId="9" hidden="1">'MUESTRAS FV'!$A$2:$P$2</definedName>
    <definedName name="_xlnm._FilterDatabase" localSheetId="10" hidden="1">TIZADOS!$A$2:$J$10</definedName>
    <definedName name="_xlnm.Print_Area" localSheetId="5">DATAOPS!$B$6:$Z$463</definedName>
    <definedName name="_xlnm.Print_Area" localSheetId="7">'DATAOPS (2)'!$B$6:$Y$465</definedName>
    <definedName name="_xlnm.Print_Area" localSheetId="6">'DATAOPS (3)'!$B$6:$Z$465</definedName>
    <definedName name="_xlnm.Print_Titles" localSheetId="5">DATAOPS!$B:$B,DATAOPS!$2:$2</definedName>
    <definedName name="_xlnm.Print_Titles" localSheetId="7">'DATAOPS (2)'!$B:$B,'DATAOPS (2)'!$2:$2</definedName>
    <definedName name="_xlnm.Print_Titles" localSheetId="6">'DATAOPS (3)'!$B:$B,'DATAOPS (3)'!$2:$2</definedName>
  </definedNames>
  <calcPr calcId="191029"/>
  <pivotCaches>
    <pivotCache cacheId="4" r:id="rId31"/>
    <pivotCache cacheId="5" r:id="rId32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0" i="78" l="1"/>
  <c r="I11" i="78"/>
  <c r="I12" i="78"/>
  <c r="I13" i="78"/>
  <c r="I14" i="78"/>
  <c r="I15" i="78"/>
  <c r="I16" i="78"/>
  <c r="I17" i="78"/>
  <c r="I18" i="78"/>
  <c r="I19" i="78"/>
  <c r="I9" i="78"/>
  <c r="I7" i="77"/>
  <c r="I8" i="77"/>
  <c r="I9" i="77"/>
  <c r="I10" i="77"/>
  <c r="I11" i="77"/>
  <c r="I12" i="77"/>
  <c r="I13" i="77"/>
  <c r="I14" i="77"/>
  <c r="I15" i="77"/>
  <c r="I16" i="77"/>
  <c r="I6" i="77"/>
  <c r="I8" i="76"/>
  <c r="I7" i="76"/>
  <c r="H8" i="76"/>
  <c r="H7" i="76"/>
  <c r="I18" i="75"/>
  <c r="I19" i="75"/>
  <c r="I20" i="75"/>
  <c r="I21" i="75"/>
  <c r="I22" i="75"/>
  <c r="I23" i="75"/>
  <c r="I24" i="75"/>
  <c r="I17" i="75"/>
  <c r="I20" i="78"/>
  <c r="H19" i="78"/>
  <c r="H18" i="78"/>
  <c r="H17" i="78"/>
  <c r="F17" i="78"/>
  <c r="H16" i="78"/>
  <c r="H15" i="78"/>
  <c r="H14" i="78"/>
  <c r="H13" i="78"/>
  <c r="H12" i="78"/>
  <c r="H11" i="78"/>
  <c r="H10" i="78"/>
  <c r="H9" i="78"/>
  <c r="H8" i="78"/>
  <c r="F8" i="78"/>
  <c r="I18" i="77"/>
  <c r="H17" i="77"/>
  <c r="F17" i="77"/>
  <c r="H16" i="77"/>
  <c r="H15" i="77"/>
  <c r="H14" i="77"/>
  <c r="H13" i="77"/>
  <c r="H12" i="77"/>
  <c r="H11" i="77"/>
  <c r="H10" i="77"/>
  <c r="H9" i="77"/>
  <c r="H8" i="77"/>
  <c r="J7" i="77"/>
  <c r="H7" i="77"/>
  <c r="H6" i="77"/>
  <c r="F6" i="77"/>
  <c r="H5" i="77"/>
  <c r="J31" i="76"/>
  <c r="J16" i="78" l="1"/>
  <c r="J12" i="78"/>
  <c r="J19" i="78"/>
  <c r="J15" i="78"/>
  <c r="J11" i="78"/>
  <c r="J14" i="78"/>
  <c r="J10" i="78"/>
  <c r="J18" i="78"/>
  <c r="J9" i="78"/>
  <c r="J17" i="78"/>
  <c r="J13" i="78"/>
  <c r="J8" i="77"/>
  <c r="J9" i="77" s="1"/>
  <c r="J10" i="77" s="1"/>
  <c r="J11" i="77" s="1"/>
  <c r="J12" i="77" s="1"/>
  <c r="J13" i="77" s="1"/>
  <c r="J14" i="77" s="1"/>
  <c r="J15" i="77" s="1"/>
  <c r="J16" i="77" s="1"/>
  <c r="I10" i="76"/>
  <c r="H10" i="76"/>
  <c r="J8" i="76"/>
  <c r="J7" i="76"/>
  <c r="I25" i="75"/>
  <c r="H20" i="75" s="1"/>
  <c r="E16" i="75"/>
  <c r="J18" i="77" l="1"/>
  <c r="K18" i="77" s="1"/>
  <c r="J20" i="78"/>
  <c r="K20" i="78" s="1"/>
  <c r="J10" i="76"/>
  <c r="H24" i="75"/>
  <c r="H21" i="75"/>
  <c r="H22" i="75"/>
  <c r="H23" i="75"/>
  <c r="H25" i="75"/>
  <c r="H19" i="75"/>
  <c r="H18" i="75"/>
  <c r="H17" i="75"/>
  <c r="E6" i="75"/>
  <c r="G308" i="72" l="1"/>
  <c r="E308" i="72"/>
  <c r="B308" i="72"/>
  <c r="M311" i="69"/>
  <c r="C308" i="72" s="1"/>
  <c r="I308" i="72" s="1"/>
  <c r="Q311" i="69"/>
  <c r="P311" i="69"/>
  <c r="O311" i="69"/>
  <c r="N311" i="69"/>
  <c r="D308" i="72" s="1"/>
  <c r="AA311" i="69"/>
  <c r="F308" i="72" s="1"/>
  <c r="AB311" i="69"/>
  <c r="H308" i="72" s="1"/>
  <c r="R311" i="69" l="1"/>
  <c r="L308" i="72"/>
  <c r="J308" i="72"/>
  <c r="K308" i="72"/>
  <c r="AB465" i="73" l="1"/>
  <c r="AA465" i="73"/>
  <c r="Q465" i="73"/>
  <c r="P465" i="73"/>
  <c r="O465" i="73"/>
  <c r="N465" i="73"/>
  <c r="R465" i="73" s="1"/>
  <c r="M465" i="73"/>
  <c r="AB464" i="73"/>
  <c r="AA464" i="73"/>
  <c r="Q464" i="73"/>
  <c r="P464" i="73"/>
  <c r="O464" i="73"/>
  <c r="N464" i="73"/>
  <c r="M464" i="73"/>
  <c r="AB463" i="73"/>
  <c r="AA463" i="73"/>
  <c r="Q463" i="73"/>
  <c r="P463" i="73"/>
  <c r="O463" i="73"/>
  <c r="N463" i="73"/>
  <c r="M463" i="73"/>
  <c r="AB462" i="73"/>
  <c r="AA462" i="73"/>
  <c r="Q462" i="73"/>
  <c r="P462" i="73"/>
  <c r="O462" i="73"/>
  <c r="N462" i="73"/>
  <c r="M462" i="73"/>
  <c r="AB461" i="73"/>
  <c r="AA461" i="73"/>
  <c r="Q461" i="73"/>
  <c r="P461" i="73"/>
  <c r="O461" i="73"/>
  <c r="N461" i="73"/>
  <c r="M461" i="73"/>
  <c r="AB460" i="73"/>
  <c r="AA460" i="73"/>
  <c r="Q460" i="73"/>
  <c r="P460" i="73"/>
  <c r="O460" i="73"/>
  <c r="N460" i="73"/>
  <c r="M460" i="73"/>
  <c r="AB459" i="73"/>
  <c r="AA459" i="73"/>
  <c r="Q459" i="73"/>
  <c r="P459" i="73"/>
  <c r="O459" i="73"/>
  <c r="N459" i="73"/>
  <c r="M459" i="73"/>
  <c r="AB458" i="73"/>
  <c r="AA458" i="73"/>
  <c r="Q458" i="73"/>
  <c r="P458" i="73"/>
  <c r="O458" i="73"/>
  <c r="N458" i="73"/>
  <c r="M458" i="73"/>
  <c r="AB457" i="73"/>
  <c r="AA457" i="73"/>
  <c r="Q457" i="73"/>
  <c r="P457" i="73"/>
  <c r="O457" i="73"/>
  <c r="N457" i="73"/>
  <c r="R457" i="73" s="1"/>
  <c r="M457" i="73"/>
  <c r="AB456" i="73"/>
  <c r="AA456" i="73"/>
  <c r="Q456" i="73"/>
  <c r="P456" i="73"/>
  <c r="O456" i="73"/>
  <c r="N456" i="73"/>
  <c r="M456" i="73"/>
  <c r="AB455" i="73"/>
  <c r="AA455" i="73"/>
  <c r="Q455" i="73"/>
  <c r="P455" i="73"/>
  <c r="O455" i="73"/>
  <c r="N455" i="73"/>
  <c r="M455" i="73"/>
  <c r="AB454" i="73"/>
  <c r="AA454" i="73"/>
  <c r="Q454" i="73"/>
  <c r="P454" i="73"/>
  <c r="O454" i="73"/>
  <c r="N454" i="73"/>
  <c r="M454" i="73"/>
  <c r="AB453" i="73"/>
  <c r="AA453" i="73"/>
  <c r="Q453" i="73"/>
  <c r="P453" i="73"/>
  <c r="O453" i="73"/>
  <c r="N453" i="73"/>
  <c r="M453" i="73"/>
  <c r="AB452" i="73"/>
  <c r="AA452" i="73"/>
  <c r="Q452" i="73"/>
  <c r="P452" i="73"/>
  <c r="O452" i="73"/>
  <c r="N452" i="73"/>
  <c r="M452" i="73"/>
  <c r="AB451" i="73"/>
  <c r="AA451" i="73"/>
  <c r="Q451" i="73"/>
  <c r="P451" i="73"/>
  <c r="O451" i="73"/>
  <c r="N451" i="73"/>
  <c r="M451" i="73"/>
  <c r="AB450" i="73"/>
  <c r="AA450" i="73"/>
  <c r="Q450" i="73"/>
  <c r="P450" i="73"/>
  <c r="O450" i="73"/>
  <c r="N450" i="73"/>
  <c r="M450" i="73"/>
  <c r="AB449" i="73"/>
  <c r="AA449" i="73"/>
  <c r="Q449" i="73"/>
  <c r="P449" i="73"/>
  <c r="O449" i="73"/>
  <c r="N449" i="73"/>
  <c r="R449" i="73" s="1"/>
  <c r="M449" i="73"/>
  <c r="M448" i="73"/>
  <c r="M447" i="73"/>
  <c r="M446" i="73"/>
  <c r="M445" i="73"/>
  <c r="M444" i="73"/>
  <c r="M443" i="73"/>
  <c r="M442" i="73"/>
  <c r="M441" i="73"/>
  <c r="M440" i="73"/>
  <c r="M439" i="73"/>
  <c r="AB438" i="73"/>
  <c r="AA438" i="73"/>
  <c r="Q438" i="73"/>
  <c r="P438" i="73"/>
  <c r="O438" i="73"/>
  <c r="N438" i="73"/>
  <c r="M438" i="73"/>
  <c r="AB437" i="73"/>
  <c r="AA437" i="73"/>
  <c r="Q437" i="73"/>
  <c r="P437" i="73"/>
  <c r="O437" i="73"/>
  <c r="N437" i="73"/>
  <c r="R437" i="73" s="1"/>
  <c r="M437" i="73"/>
  <c r="AB436" i="73"/>
  <c r="AA436" i="73"/>
  <c r="Q436" i="73"/>
  <c r="P436" i="73"/>
  <c r="O436" i="73"/>
  <c r="N436" i="73"/>
  <c r="M436" i="73"/>
  <c r="AB435" i="73"/>
  <c r="AA435" i="73"/>
  <c r="Q435" i="73"/>
  <c r="P435" i="73"/>
  <c r="O435" i="73"/>
  <c r="N435" i="73"/>
  <c r="M435" i="73"/>
  <c r="AB434" i="73"/>
  <c r="AA434" i="73"/>
  <c r="Q434" i="73"/>
  <c r="P434" i="73"/>
  <c r="O434" i="73"/>
  <c r="N434" i="73"/>
  <c r="M434" i="73"/>
  <c r="AB433" i="73"/>
  <c r="AA433" i="73"/>
  <c r="Q433" i="73"/>
  <c r="P433" i="73"/>
  <c r="O433" i="73"/>
  <c r="N433" i="73"/>
  <c r="M433" i="73"/>
  <c r="AB432" i="73"/>
  <c r="AA432" i="73"/>
  <c r="Q432" i="73"/>
  <c r="P432" i="73"/>
  <c r="O432" i="73"/>
  <c r="N432" i="73"/>
  <c r="M432" i="73"/>
  <c r="AB431" i="73"/>
  <c r="AA431" i="73"/>
  <c r="Q431" i="73"/>
  <c r="P431" i="73"/>
  <c r="O431" i="73"/>
  <c r="N431" i="73"/>
  <c r="M431" i="73"/>
  <c r="AB430" i="73"/>
  <c r="AA430" i="73"/>
  <c r="Q430" i="73"/>
  <c r="P430" i="73"/>
  <c r="O430" i="73"/>
  <c r="N430" i="73"/>
  <c r="M430" i="73"/>
  <c r="AB429" i="73"/>
  <c r="AA429" i="73"/>
  <c r="Q429" i="73"/>
  <c r="P429" i="73"/>
  <c r="O429" i="73"/>
  <c r="N429" i="73"/>
  <c r="M429" i="73"/>
  <c r="AB428" i="73"/>
  <c r="AA428" i="73"/>
  <c r="Q428" i="73"/>
  <c r="P428" i="73"/>
  <c r="O428" i="73"/>
  <c r="N428" i="73"/>
  <c r="M428" i="73"/>
  <c r="AB427" i="73"/>
  <c r="AA427" i="73"/>
  <c r="Q427" i="73"/>
  <c r="P427" i="73"/>
  <c r="O427" i="73"/>
  <c r="N427" i="73"/>
  <c r="M427" i="73"/>
  <c r="AB426" i="73"/>
  <c r="AA426" i="73"/>
  <c r="Q426" i="73"/>
  <c r="P426" i="73"/>
  <c r="O426" i="73"/>
  <c r="N426" i="73"/>
  <c r="M426" i="73"/>
  <c r="AB425" i="73"/>
  <c r="AA425" i="73"/>
  <c r="Q425" i="73"/>
  <c r="P425" i="73"/>
  <c r="O425" i="73"/>
  <c r="N425" i="73"/>
  <c r="M425" i="73"/>
  <c r="AB424" i="73"/>
  <c r="AA424" i="73"/>
  <c r="Q424" i="73"/>
  <c r="P424" i="73"/>
  <c r="O424" i="73"/>
  <c r="N424" i="73"/>
  <c r="M424" i="73"/>
  <c r="AB423" i="73"/>
  <c r="AA423" i="73"/>
  <c r="Q423" i="73"/>
  <c r="P423" i="73"/>
  <c r="O423" i="73"/>
  <c r="N423" i="73"/>
  <c r="M423" i="73"/>
  <c r="AB422" i="73"/>
  <c r="AA422" i="73"/>
  <c r="Q422" i="73"/>
  <c r="P422" i="73"/>
  <c r="O422" i="73"/>
  <c r="N422" i="73"/>
  <c r="M422" i="73"/>
  <c r="AB421" i="73"/>
  <c r="AA421" i="73"/>
  <c r="Q421" i="73"/>
  <c r="P421" i="73"/>
  <c r="O421" i="73"/>
  <c r="N421" i="73"/>
  <c r="R421" i="73" s="1"/>
  <c r="M421" i="73"/>
  <c r="AB420" i="73"/>
  <c r="AA420" i="73"/>
  <c r="Q420" i="73"/>
  <c r="P420" i="73"/>
  <c r="O420" i="73"/>
  <c r="N420" i="73"/>
  <c r="M420" i="73"/>
  <c r="AB419" i="73"/>
  <c r="AA419" i="73"/>
  <c r="Q419" i="73"/>
  <c r="P419" i="73"/>
  <c r="O419" i="73"/>
  <c r="N419" i="73"/>
  <c r="M419" i="73"/>
  <c r="AB418" i="73"/>
  <c r="AA418" i="73"/>
  <c r="Q418" i="73"/>
  <c r="O418" i="73"/>
  <c r="N418" i="73"/>
  <c r="K418" i="73"/>
  <c r="P418" i="73" s="1"/>
  <c r="AB417" i="73"/>
  <c r="AA417" i="73"/>
  <c r="Q417" i="73"/>
  <c r="P417" i="73"/>
  <c r="O417" i="73"/>
  <c r="N417" i="73"/>
  <c r="M417" i="73"/>
  <c r="AB416" i="73"/>
  <c r="AA416" i="73"/>
  <c r="Q416" i="73"/>
  <c r="P416" i="73"/>
  <c r="O416" i="73"/>
  <c r="N416" i="73"/>
  <c r="M416" i="73"/>
  <c r="AB415" i="73"/>
  <c r="AA415" i="73"/>
  <c r="Q415" i="73"/>
  <c r="P415" i="73"/>
  <c r="O415" i="73"/>
  <c r="N415" i="73"/>
  <c r="M415" i="73"/>
  <c r="AB414" i="73"/>
  <c r="AA414" i="73"/>
  <c r="Q414" i="73"/>
  <c r="P414" i="73"/>
  <c r="O414" i="73"/>
  <c r="N414" i="73"/>
  <c r="M414" i="73"/>
  <c r="AB413" i="73"/>
  <c r="AA413" i="73"/>
  <c r="Q413" i="73"/>
  <c r="O413" i="73"/>
  <c r="N413" i="73"/>
  <c r="K413" i="73"/>
  <c r="AB412" i="73"/>
  <c r="AA412" i="73"/>
  <c r="Q412" i="73"/>
  <c r="P412" i="73"/>
  <c r="O412" i="73"/>
  <c r="N412" i="73"/>
  <c r="M412" i="73"/>
  <c r="AB411" i="73"/>
  <c r="AA411" i="73"/>
  <c r="Q411" i="73"/>
  <c r="P411" i="73"/>
  <c r="O411" i="73"/>
  <c r="N411" i="73"/>
  <c r="M411" i="73"/>
  <c r="AB410" i="73"/>
  <c r="AA410" i="73"/>
  <c r="Q410" i="73"/>
  <c r="P410" i="73"/>
  <c r="O410" i="73"/>
  <c r="N410" i="73"/>
  <c r="M410" i="73"/>
  <c r="AB409" i="73"/>
  <c r="AA409" i="73"/>
  <c r="Q409" i="73"/>
  <c r="P409" i="73"/>
  <c r="O409" i="73"/>
  <c r="N409" i="73"/>
  <c r="M409" i="73"/>
  <c r="AB408" i="73"/>
  <c r="AA408" i="73"/>
  <c r="Q408" i="73"/>
  <c r="P408" i="73"/>
  <c r="O408" i="73"/>
  <c r="N408" i="73"/>
  <c r="M408" i="73"/>
  <c r="AB407" i="73"/>
  <c r="AA407" i="73"/>
  <c r="Q407" i="73"/>
  <c r="P407" i="73"/>
  <c r="O407" i="73"/>
  <c r="N407" i="73"/>
  <c r="M407" i="73"/>
  <c r="AB406" i="73"/>
  <c r="AA406" i="73"/>
  <c r="Q406" i="73"/>
  <c r="P406" i="73"/>
  <c r="O406" i="73"/>
  <c r="N406" i="73"/>
  <c r="M406" i="73"/>
  <c r="AB405" i="73"/>
  <c r="AA405" i="73"/>
  <c r="Q405" i="73"/>
  <c r="P405" i="73"/>
  <c r="O405" i="73"/>
  <c r="N405" i="73"/>
  <c r="M405" i="73"/>
  <c r="AB404" i="73"/>
  <c r="AA404" i="73"/>
  <c r="Q404" i="73"/>
  <c r="P404" i="73"/>
  <c r="O404" i="73"/>
  <c r="N404" i="73"/>
  <c r="M404" i="73"/>
  <c r="AB403" i="73"/>
  <c r="AA403" i="73"/>
  <c r="W403" i="73"/>
  <c r="V403" i="73"/>
  <c r="Q403" i="73"/>
  <c r="P403" i="73"/>
  <c r="O403" i="73"/>
  <c r="N403" i="73"/>
  <c r="M403" i="73"/>
  <c r="AB402" i="73"/>
  <c r="AA402" i="73"/>
  <c r="W402" i="73"/>
  <c r="V402" i="73"/>
  <c r="Q402" i="73"/>
  <c r="P402" i="73"/>
  <c r="O402" i="73"/>
  <c r="N402" i="73"/>
  <c r="R402" i="73" s="1"/>
  <c r="M402" i="73"/>
  <c r="AB401" i="73"/>
  <c r="AA401" i="73"/>
  <c r="W401" i="73"/>
  <c r="V401" i="73"/>
  <c r="Q401" i="73"/>
  <c r="P401" i="73"/>
  <c r="O401" i="73"/>
  <c r="N401" i="73"/>
  <c r="M401" i="73"/>
  <c r="AB400" i="73"/>
  <c r="AA400" i="73"/>
  <c r="W400" i="73"/>
  <c r="V400" i="73"/>
  <c r="Q400" i="73"/>
  <c r="P400" i="73"/>
  <c r="O400" i="73"/>
  <c r="N400" i="73"/>
  <c r="M400" i="73"/>
  <c r="AB399" i="73"/>
  <c r="AA399" i="73"/>
  <c r="Q399" i="73"/>
  <c r="P399" i="73"/>
  <c r="O399" i="73"/>
  <c r="N399" i="73"/>
  <c r="M399" i="73"/>
  <c r="AB398" i="73"/>
  <c r="AA398" i="73"/>
  <c r="Q398" i="73"/>
  <c r="P398" i="73"/>
  <c r="O398" i="73"/>
  <c r="N398" i="73"/>
  <c r="R398" i="73" s="1"/>
  <c r="M398" i="73"/>
  <c r="AB397" i="73"/>
  <c r="AA397" i="73"/>
  <c r="Q397" i="73"/>
  <c r="P397" i="73"/>
  <c r="O397" i="73"/>
  <c r="N397" i="73"/>
  <c r="M397" i="73"/>
  <c r="AB396" i="73"/>
  <c r="AA396" i="73"/>
  <c r="Q396" i="73"/>
  <c r="P396" i="73"/>
  <c r="O396" i="73"/>
  <c r="N396" i="73"/>
  <c r="M396" i="73"/>
  <c r="AB395" i="73"/>
  <c r="AA395" i="73"/>
  <c r="Q395" i="73"/>
  <c r="P395" i="73"/>
  <c r="O395" i="73"/>
  <c r="N395" i="73"/>
  <c r="M395" i="73"/>
  <c r="AB394" i="73"/>
  <c r="AA394" i="73"/>
  <c r="Q394" i="73"/>
  <c r="P394" i="73"/>
  <c r="O394" i="73"/>
  <c r="N394" i="73"/>
  <c r="M394" i="73"/>
  <c r="AB393" i="73"/>
  <c r="AA393" i="73"/>
  <c r="Q393" i="73"/>
  <c r="P393" i="73"/>
  <c r="O393" i="73"/>
  <c r="N393" i="73"/>
  <c r="M393" i="73"/>
  <c r="AB392" i="73"/>
  <c r="AA392" i="73"/>
  <c r="U392" i="73"/>
  <c r="Q392" i="73"/>
  <c r="P392" i="73"/>
  <c r="O392" i="73"/>
  <c r="N392" i="73"/>
  <c r="M392" i="73"/>
  <c r="AB391" i="73"/>
  <c r="AA391" i="73"/>
  <c r="Q391" i="73"/>
  <c r="P391" i="73"/>
  <c r="O391" i="73"/>
  <c r="N391" i="73"/>
  <c r="M391" i="73"/>
  <c r="AB390" i="73"/>
  <c r="AA390" i="73"/>
  <c r="Q390" i="73"/>
  <c r="P390" i="73"/>
  <c r="O390" i="73"/>
  <c r="N390" i="73"/>
  <c r="M390" i="73"/>
  <c r="AB389" i="73"/>
  <c r="AA389" i="73"/>
  <c r="Q389" i="73"/>
  <c r="P389" i="73"/>
  <c r="O389" i="73"/>
  <c r="N389" i="73"/>
  <c r="M389" i="73"/>
  <c r="AB388" i="73"/>
  <c r="AA388" i="73"/>
  <c r="Q388" i="73"/>
  <c r="P388" i="73"/>
  <c r="O388" i="73"/>
  <c r="N388" i="73"/>
  <c r="M388" i="73"/>
  <c r="AB387" i="73"/>
  <c r="AA387" i="73"/>
  <c r="Q387" i="73"/>
  <c r="P387" i="73"/>
  <c r="O387" i="73"/>
  <c r="N387" i="73"/>
  <c r="M387" i="73"/>
  <c r="AB386" i="73"/>
  <c r="AA386" i="73"/>
  <c r="Q386" i="73"/>
  <c r="P386" i="73"/>
  <c r="O386" i="73"/>
  <c r="N386" i="73"/>
  <c r="M386" i="73"/>
  <c r="AB385" i="73"/>
  <c r="AA385" i="73"/>
  <c r="Q385" i="73"/>
  <c r="P385" i="73"/>
  <c r="O385" i="73"/>
  <c r="N385" i="73"/>
  <c r="M385" i="73"/>
  <c r="AB384" i="73"/>
  <c r="AA384" i="73"/>
  <c r="Q384" i="73"/>
  <c r="P384" i="73"/>
  <c r="O384" i="73"/>
  <c r="N384" i="73"/>
  <c r="M384" i="73"/>
  <c r="AB383" i="73"/>
  <c r="AA383" i="73"/>
  <c r="Q383" i="73"/>
  <c r="P383" i="73"/>
  <c r="O383" i="73"/>
  <c r="N383" i="73"/>
  <c r="M383" i="73"/>
  <c r="AB382" i="73"/>
  <c r="AA382" i="73"/>
  <c r="Q382" i="73"/>
  <c r="P382" i="73"/>
  <c r="O382" i="73"/>
  <c r="N382" i="73"/>
  <c r="M382" i="73"/>
  <c r="AB381" i="73"/>
  <c r="AA381" i="73"/>
  <c r="Q381" i="73"/>
  <c r="P381" i="73"/>
  <c r="O381" i="73"/>
  <c r="N381" i="73"/>
  <c r="M381" i="73"/>
  <c r="AB380" i="73"/>
  <c r="AA380" i="73"/>
  <c r="Q380" i="73"/>
  <c r="P380" i="73"/>
  <c r="O380" i="73"/>
  <c r="N380" i="73"/>
  <c r="M380" i="73"/>
  <c r="AB379" i="73"/>
  <c r="AA379" i="73"/>
  <c r="Q379" i="73"/>
  <c r="P379" i="73"/>
  <c r="O379" i="73"/>
  <c r="N379" i="73"/>
  <c r="M379" i="73"/>
  <c r="AB378" i="73"/>
  <c r="AA378" i="73"/>
  <c r="Q378" i="73"/>
  <c r="P378" i="73"/>
  <c r="O378" i="73"/>
  <c r="N378" i="73"/>
  <c r="M378" i="73"/>
  <c r="AB377" i="73"/>
  <c r="AA377" i="73"/>
  <c r="Q377" i="73"/>
  <c r="P377" i="73"/>
  <c r="O377" i="73"/>
  <c r="N377" i="73"/>
  <c r="M377" i="73"/>
  <c r="AB376" i="73"/>
  <c r="AA376" i="73"/>
  <c r="Q376" i="73"/>
  <c r="P376" i="73"/>
  <c r="O376" i="73"/>
  <c r="N376" i="73"/>
  <c r="M376" i="73"/>
  <c r="AB375" i="73"/>
  <c r="AA375" i="73"/>
  <c r="Q375" i="73"/>
  <c r="P375" i="73"/>
  <c r="O375" i="73"/>
  <c r="N375" i="73"/>
  <c r="M375" i="73"/>
  <c r="AB374" i="73"/>
  <c r="AA374" i="73"/>
  <c r="Q374" i="73"/>
  <c r="P374" i="73"/>
  <c r="O374" i="73"/>
  <c r="N374" i="73"/>
  <c r="M374" i="73"/>
  <c r="AB373" i="73"/>
  <c r="AA373" i="73"/>
  <c r="Q373" i="73"/>
  <c r="P373" i="73"/>
  <c r="O373" i="73"/>
  <c r="N373" i="73"/>
  <c r="M373" i="73"/>
  <c r="AB372" i="73"/>
  <c r="AA372" i="73"/>
  <c r="Q372" i="73"/>
  <c r="P372" i="73"/>
  <c r="O372" i="73"/>
  <c r="N372" i="73"/>
  <c r="M372" i="73"/>
  <c r="AB371" i="73"/>
  <c r="AA371" i="73"/>
  <c r="Q371" i="73"/>
  <c r="P371" i="73"/>
  <c r="O371" i="73"/>
  <c r="N371" i="73"/>
  <c r="M371" i="73"/>
  <c r="AB370" i="73"/>
  <c r="AA370" i="73"/>
  <c r="Q370" i="73"/>
  <c r="P370" i="73"/>
  <c r="O370" i="73"/>
  <c r="N370" i="73"/>
  <c r="M370" i="73"/>
  <c r="AB369" i="73"/>
  <c r="AA369" i="73"/>
  <c r="Q369" i="73"/>
  <c r="P369" i="73"/>
  <c r="O369" i="73"/>
  <c r="N369" i="73"/>
  <c r="M369" i="73"/>
  <c r="AB368" i="73"/>
  <c r="AA368" i="73"/>
  <c r="Q368" i="73"/>
  <c r="P368" i="73"/>
  <c r="O368" i="73"/>
  <c r="N368" i="73"/>
  <c r="M368" i="73"/>
  <c r="AB367" i="73"/>
  <c r="AA367" i="73"/>
  <c r="Q367" i="73"/>
  <c r="P367" i="73"/>
  <c r="O367" i="73"/>
  <c r="N367" i="73"/>
  <c r="M367" i="73"/>
  <c r="AB366" i="73"/>
  <c r="AA366" i="73"/>
  <c r="Q366" i="73"/>
  <c r="P366" i="73"/>
  <c r="O366" i="73"/>
  <c r="N366" i="73"/>
  <c r="M366" i="73"/>
  <c r="AB365" i="73"/>
  <c r="AA365" i="73"/>
  <c r="Q365" i="73"/>
  <c r="P365" i="73"/>
  <c r="O365" i="73"/>
  <c r="N365" i="73"/>
  <c r="M365" i="73"/>
  <c r="AB364" i="73"/>
  <c r="AA364" i="73"/>
  <c r="Q364" i="73"/>
  <c r="P364" i="73"/>
  <c r="O364" i="73"/>
  <c r="N364" i="73"/>
  <c r="M364" i="73"/>
  <c r="AB363" i="73"/>
  <c r="AA363" i="73"/>
  <c r="Q363" i="73"/>
  <c r="P363" i="73"/>
  <c r="O363" i="73"/>
  <c r="N363" i="73"/>
  <c r="M363" i="73"/>
  <c r="AB362" i="73"/>
  <c r="AA362" i="73"/>
  <c r="Q362" i="73"/>
  <c r="P362" i="73"/>
  <c r="O362" i="73"/>
  <c r="N362" i="73"/>
  <c r="M362" i="73"/>
  <c r="AB361" i="73"/>
  <c r="AA361" i="73"/>
  <c r="Q361" i="73"/>
  <c r="P361" i="73"/>
  <c r="O361" i="73"/>
  <c r="N361" i="73"/>
  <c r="M361" i="73"/>
  <c r="AB360" i="73"/>
  <c r="AA360" i="73"/>
  <c r="Q360" i="73"/>
  <c r="P360" i="73"/>
  <c r="O360" i="73"/>
  <c r="N360" i="73"/>
  <c r="M360" i="73"/>
  <c r="AB359" i="73"/>
  <c r="AA359" i="73"/>
  <c r="Q359" i="73"/>
  <c r="P359" i="73"/>
  <c r="O359" i="73"/>
  <c r="N359" i="73"/>
  <c r="M359" i="73"/>
  <c r="AB358" i="73"/>
  <c r="AA358" i="73"/>
  <c r="Q358" i="73"/>
  <c r="P358" i="73"/>
  <c r="O358" i="73"/>
  <c r="N358" i="73"/>
  <c r="M358" i="73"/>
  <c r="AB357" i="73"/>
  <c r="AA357" i="73"/>
  <c r="Q357" i="73"/>
  <c r="P357" i="73"/>
  <c r="O357" i="73"/>
  <c r="N357" i="73"/>
  <c r="M357" i="73"/>
  <c r="AB356" i="73"/>
  <c r="AA356" i="73"/>
  <c r="Q356" i="73"/>
  <c r="P356" i="73"/>
  <c r="O356" i="73"/>
  <c r="N356" i="73"/>
  <c r="M356" i="73"/>
  <c r="AB355" i="73"/>
  <c r="AA355" i="73"/>
  <c r="Q355" i="73"/>
  <c r="P355" i="73"/>
  <c r="O355" i="73"/>
  <c r="N355" i="73"/>
  <c r="M355" i="73"/>
  <c r="AB354" i="73"/>
  <c r="AA354" i="73"/>
  <c r="Q354" i="73"/>
  <c r="P354" i="73"/>
  <c r="O354" i="73"/>
  <c r="N354" i="73"/>
  <c r="M354" i="73"/>
  <c r="AB353" i="73"/>
  <c r="AA353" i="73"/>
  <c r="U353" i="73"/>
  <c r="Q353" i="73"/>
  <c r="P353" i="73"/>
  <c r="O353" i="73"/>
  <c r="N353" i="73"/>
  <c r="M353" i="73"/>
  <c r="AB352" i="73"/>
  <c r="AA352" i="73"/>
  <c r="Q352" i="73"/>
  <c r="P352" i="73"/>
  <c r="O352" i="73"/>
  <c r="N352" i="73"/>
  <c r="M352" i="73"/>
  <c r="AB351" i="73"/>
  <c r="AA351" i="73"/>
  <c r="Q351" i="73"/>
  <c r="P351" i="73"/>
  <c r="O351" i="73"/>
  <c r="N351" i="73"/>
  <c r="M351" i="73"/>
  <c r="AB350" i="73"/>
  <c r="AA350" i="73"/>
  <c r="Q350" i="73"/>
  <c r="P350" i="73"/>
  <c r="O350" i="73"/>
  <c r="N350" i="73"/>
  <c r="M350" i="73"/>
  <c r="AB349" i="73"/>
  <c r="AA349" i="73"/>
  <c r="Q349" i="73"/>
  <c r="P349" i="73"/>
  <c r="O349" i="73"/>
  <c r="N349" i="73"/>
  <c r="M349" i="73"/>
  <c r="AB348" i="73"/>
  <c r="AA348" i="73"/>
  <c r="Q348" i="73"/>
  <c r="P348" i="73"/>
  <c r="O348" i="73"/>
  <c r="N348" i="73"/>
  <c r="M348" i="73"/>
  <c r="AB347" i="73"/>
  <c r="AA347" i="73"/>
  <c r="Q347" i="73"/>
  <c r="P347" i="73"/>
  <c r="O347" i="73"/>
  <c r="N347" i="73"/>
  <c r="M347" i="73"/>
  <c r="AB346" i="73"/>
  <c r="AA346" i="73"/>
  <c r="Q346" i="73"/>
  <c r="P346" i="73"/>
  <c r="O346" i="73"/>
  <c r="N346" i="73"/>
  <c r="M346" i="73"/>
  <c r="AB345" i="73"/>
  <c r="AA345" i="73"/>
  <c r="Q345" i="73"/>
  <c r="P345" i="73"/>
  <c r="O345" i="73"/>
  <c r="N345" i="73"/>
  <c r="M345" i="73"/>
  <c r="AB344" i="73"/>
  <c r="AA344" i="73"/>
  <c r="Q344" i="73"/>
  <c r="P344" i="73"/>
  <c r="O344" i="73"/>
  <c r="N344" i="73"/>
  <c r="M344" i="73"/>
  <c r="AB343" i="73"/>
  <c r="AA343" i="73"/>
  <c r="Q343" i="73"/>
  <c r="P343" i="73"/>
  <c r="O343" i="73"/>
  <c r="N343" i="73"/>
  <c r="M343" i="73"/>
  <c r="AB342" i="73"/>
  <c r="AA342" i="73"/>
  <c r="Q342" i="73"/>
  <c r="P342" i="73"/>
  <c r="O342" i="73"/>
  <c r="N342" i="73"/>
  <c r="M342" i="73"/>
  <c r="AB341" i="73"/>
  <c r="AA341" i="73"/>
  <c r="W341" i="73"/>
  <c r="V341" i="73"/>
  <c r="Q341" i="73"/>
  <c r="P341" i="73"/>
  <c r="O341" i="73"/>
  <c r="N341" i="73"/>
  <c r="M341" i="73"/>
  <c r="AB340" i="73"/>
  <c r="AA340" i="73"/>
  <c r="U340" i="73"/>
  <c r="Q340" i="73"/>
  <c r="P340" i="73"/>
  <c r="O340" i="73"/>
  <c r="N340" i="73"/>
  <c r="M340" i="73"/>
  <c r="AB339" i="73"/>
  <c r="AA339" i="73"/>
  <c r="Q339" i="73"/>
  <c r="P339" i="73"/>
  <c r="O339" i="73"/>
  <c r="N339" i="73"/>
  <c r="M339" i="73"/>
  <c r="AB338" i="73"/>
  <c r="AA338" i="73"/>
  <c r="Q338" i="73"/>
  <c r="P338" i="73"/>
  <c r="O338" i="73"/>
  <c r="N338" i="73"/>
  <c r="M338" i="73"/>
  <c r="AB337" i="73"/>
  <c r="AA337" i="73"/>
  <c r="Q337" i="73"/>
  <c r="P337" i="73"/>
  <c r="O337" i="73"/>
  <c r="N337" i="73"/>
  <c r="M337" i="73"/>
  <c r="AB336" i="73"/>
  <c r="AA336" i="73"/>
  <c r="Q336" i="73"/>
  <c r="P336" i="73"/>
  <c r="O336" i="73"/>
  <c r="N336" i="73"/>
  <c r="M336" i="73"/>
  <c r="AB335" i="73"/>
  <c r="AA335" i="73"/>
  <c r="Q335" i="73"/>
  <c r="P335" i="73"/>
  <c r="O335" i="73"/>
  <c r="N335" i="73"/>
  <c r="M335" i="73"/>
  <c r="AB334" i="73"/>
  <c r="AA334" i="73"/>
  <c r="Q334" i="73"/>
  <c r="P334" i="73"/>
  <c r="O334" i="73"/>
  <c r="N334" i="73"/>
  <c r="M334" i="73"/>
  <c r="AB333" i="73"/>
  <c r="AA333" i="73"/>
  <c r="Q333" i="73"/>
  <c r="P333" i="73"/>
  <c r="O333" i="73"/>
  <c r="N333" i="73"/>
  <c r="M333" i="73"/>
  <c r="AB332" i="73"/>
  <c r="AA332" i="73"/>
  <c r="Q332" i="73"/>
  <c r="P332" i="73"/>
  <c r="O332" i="73"/>
  <c r="N332" i="73"/>
  <c r="M332" i="73"/>
  <c r="AB331" i="73"/>
  <c r="AA331" i="73"/>
  <c r="Q331" i="73"/>
  <c r="P331" i="73"/>
  <c r="O331" i="73"/>
  <c r="N331" i="73"/>
  <c r="M331" i="73"/>
  <c r="AB330" i="73"/>
  <c r="AA330" i="73"/>
  <c r="Q330" i="73"/>
  <c r="P330" i="73"/>
  <c r="O330" i="73"/>
  <c r="N330" i="73"/>
  <c r="M330" i="73"/>
  <c r="AB329" i="73"/>
  <c r="AA329" i="73"/>
  <c r="Q329" i="73"/>
  <c r="P329" i="73"/>
  <c r="O329" i="73"/>
  <c r="N329" i="73"/>
  <c r="M329" i="73"/>
  <c r="AB328" i="73"/>
  <c r="AA328" i="73"/>
  <c r="Q328" i="73"/>
  <c r="P328" i="73"/>
  <c r="O328" i="73"/>
  <c r="N328" i="73"/>
  <c r="M328" i="73"/>
  <c r="AB327" i="73"/>
  <c r="AA327" i="73"/>
  <c r="Q327" i="73"/>
  <c r="P327" i="73"/>
  <c r="O327" i="73"/>
  <c r="N327" i="73"/>
  <c r="M327" i="73"/>
  <c r="AB326" i="73"/>
  <c r="AA326" i="73"/>
  <c r="Q326" i="73"/>
  <c r="P326" i="73"/>
  <c r="O326" i="73"/>
  <c r="N326" i="73"/>
  <c r="M326" i="73"/>
  <c r="AB325" i="73"/>
  <c r="AA325" i="73"/>
  <c r="Q325" i="73"/>
  <c r="P325" i="73"/>
  <c r="O325" i="73"/>
  <c r="N325" i="73"/>
  <c r="M325" i="73"/>
  <c r="AB324" i="73"/>
  <c r="AA324" i="73"/>
  <c r="Q324" i="73"/>
  <c r="P324" i="73"/>
  <c r="O324" i="73"/>
  <c r="N324" i="73"/>
  <c r="M324" i="73"/>
  <c r="AB323" i="73"/>
  <c r="AA323" i="73"/>
  <c r="Q323" i="73"/>
  <c r="P323" i="73"/>
  <c r="N323" i="73"/>
  <c r="J323" i="73"/>
  <c r="AB322" i="73"/>
  <c r="AA322" i="73"/>
  <c r="Q322" i="73"/>
  <c r="P322" i="73"/>
  <c r="O322" i="73"/>
  <c r="N322" i="73"/>
  <c r="M322" i="73"/>
  <c r="AB321" i="73"/>
  <c r="AA321" i="73"/>
  <c r="Q321" i="73"/>
  <c r="P321" i="73"/>
  <c r="O321" i="73"/>
  <c r="N321" i="73"/>
  <c r="M321" i="73"/>
  <c r="AB320" i="73"/>
  <c r="AA320" i="73"/>
  <c r="Q320" i="73"/>
  <c r="P320" i="73"/>
  <c r="O320" i="73"/>
  <c r="N320" i="73"/>
  <c r="M320" i="73"/>
  <c r="AB319" i="73"/>
  <c r="AA319" i="73"/>
  <c r="Q319" i="73"/>
  <c r="P319" i="73"/>
  <c r="O319" i="73"/>
  <c r="N319" i="73"/>
  <c r="M319" i="73"/>
  <c r="AB318" i="73"/>
  <c r="AA318" i="73"/>
  <c r="Q318" i="73"/>
  <c r="P318" i="73"/>
  <c r="O318" i="73"/>
  <c r="N318" i="73"/>
  <c r="M318" i="73"/>
  <c r="AB317" i="73"/>
  <c r="AA317" i="73"/>
  <c r="Q317" i="73"/>
  <c r="P317" i="73"/>
  <c r="O317" i="73"/>
  <c r="N317" i="73"/>
  <c r="M317" i="73"/>
  <c r="AB316" i="73"/>
  <c r="AA316" i="73"/>
  <c r="Q316" i="73"/>
  <c r="P316" i="73"/>
  <c r="O316" i="73"/>
  <c r="N316" i="73"/>
  <c r="M316" i="73"/>
  <c r="AB315" i="73"/>
  <c r="AA315" i="73"/>
  <c r="Q315" i="73"/>
  <c r="P315" i="73"/>
  <c r="O315" i="73"/>
  <c r="N315" i="73"/>
  <c r="M315" i="73"/>
  <c r="AB314" i="73"/>
  <c r="AA314" i="73"/>
  <c r="Q314" i="73"/>
  <c r="P314" i="73"/>
  <c r="O314" i="73"/>
  <c r="N314" i="73"/>
  <c r="M314" i="73"/>
  <c r="AB313" i="73"/>
  <c r="AA313" i="73"/>
  <c r="Q313" i="73"/>
  <c r="P313" i="73"/>
  <c r="O313" i="73"/>
  <c r="N313" i="73"/>
  <c r="M313" i="73"/>
  <c r="AB312" i="73"/>
  <c r="AA312" i="73"/>
  <c r="Q312" i="73"/>
  <c r="P312" i="73"/>
  <c r="O312" i="73"/>
  <c r="N312" i="73"/>
  <c r="M312" i="73"/>
  <c r="AB311" i="73"/>
  <c r="AA311" i="73"/>
  <c r="Q311" i="73"/>
  <c r="P311" i="73"/>
  <c r="O311" i="73"/>
  <c r="N311" i="73"/>
  <c r="M311" i="73"/>
  <c r="AB310" i="73"/>
  <c r="AA310" i="73"/>
  <c r="Q310" i="73"/>
  <c r="P310" i="73"/>
  <c r="O310" i="73"/>
  <c r="N310" i="73"/>
  <c r="M310" i="73"/>
  <c r="AB309" i="73"/>
  <c r="AA309" i="73"/>
  <c r="Q309" i="73"/>
  <c r="P309" i="73"/>
  <c r="O309" i="73"/>
  <c r="N309" i="73"/>
  <c r="M309" i="73"/>
  <c r="AB308" i="73"/>
  <c r="AA308" i="73"/>
  <c r="Q308" i="73"/>
  <c r="P308" i="73"/>
  <c r="O308" i="73"/>
  <c r="N308" i="73"/>
  <c r="R308" i="73" s="1"/>
  <c r="M308" i="73"/>
  <c r="AB307" i="73"/>
  <c r="AA307" i="73"/>
  <c r="Q307" i="73"/>
  <c r="P307" i="73"/>
  <c r="O307" i="73"/>
  <c r="N307" i="73"/>
  <c r="M307" i="73"/>
  <c r="AB306" i="73"/>
  <c r="AA306" i="73"/>
  <c r="Q306" i="73"/>
  <c r="P306" i="73"/>
  <c r="O306" i="73"/>
  <c r="N306" i="73"/>
  <c r="M306" i="73"/>
  <c r="AB305" i="73"/>
  <c r="AA305" i="73"/>
  <c r="Q305" i="73"/>
  <c r="P305" i="73"/>
  <c r="O305" i="73"/>
  <c r="N305" i="73"/>
  <c r="M305" i="73"/>
  <c r="AB304" i="73"/>
  <c r="AA304" i="73"/>
  <c r="Q304" i="73"/>
  <c r="P304" i="73"/>
  <c r="O304" i="73"/>
  <c r="N304" i="73"/>
  <c r="M304" i="73"/>
  <c r="AB303" i="73"/>
  <c r="AA303" i="73"/>
  <c r="Q303" i="73"/>
  <c r="P303" i="73"/>
  <c r="O303" i="73"/>
  <c r="N303" i="73"/>
  <c r="M303" i="73"/>
  <c r="AB302" i="73"/>
  <c r="AA302" i="73"/>
  <c r="Q302" i="73"/>
  <c r="P302" i="73"/>
  <c r="O302" i="73"/>
  <c r="N302" i="73"/>
  <c r="M302" i="73"/>
  <c r="AB301" i="73"/>
  <c r="AA301" i="73"/>
  <c r="Q301" i="73"/>
  <c r="P301" i="73"/>
  <c r="O301" i="73"/>
  <c r="N301" i="73"/>
  <c r="M301" i="73"/>
  <c r="AB300" i="73"/>
  <c r="AA300" i="73"/>
  <c r="Q300" i="73"/>
  <c r="P300" i="73"/>
  <c r="O300" i="73"/>
  <c r="N300" i="73"/>
  <c r="M300" i="73"/>
  <c r="AB299" i="73"/>
  <c r="AA299" i="73"/>
  <c r="Q299" i="73"/>
  <c r="P299" i="73"/>
  <c r="O299" i="73"/>
  <c r="N299" i="73"/>
  <c r="M299" i="73"/>
  <c r="AB298" i="73"/>
  <c r="AA298" i="73"/>
  <c r="Q298" i="73"/>
  <c r="P298" i="73"/>
  <c r="O298" i="73"/>
  <c r="N298" i="73"/>
  <c r="M298" i="73"/>
  <c r="AB297" i="73"/>
  <c r="AA297" i="73"/>
  <c r="Q297" i="73"/>
  <c r="P297" i="73"/>
  <c r="O297" i="73"/>
  <c r="N297" i="73"/>
  <c r="M297" i="73"/>
  <c r="AB296" i="73"/>
  <c r="AA296" i="73"/>
  <c r="Q296" i="73"/>
  <c r="P296" i="73"/>
  <c r="O296" i="73"/>
  <c r="N296" i="73"/>
  <c r="M296" i="73"/>
  <c r="AB295" i="73"/>
  <c r="AA295" i="73"/>
  <c r="Q295" i="73"/>
  <c r="P295" i="73"/>
  <c r="O295" i="73"/>
  <c r="N295" i="73"/>
  <c r="M295" i="73"/>
  <c r="AB294" i="73"/>
  <c r="AA294" i="73"/>
  <c r="Q294" i="73"/>
  <c r="P294" i="73"/>
  <c r="O294" i="73"/>
  <c r="N294" i="73"/>
  <c r="M294" i="73"/>
  <c r="AB293" i="73"/>
  <c r="AA293" i="73"/>
  <c r="Q293" i="73"/>
  <c r="P293" i="73"/>
  <c r="O293" i="73"/>
  <c r="N293" i="73"/>
  <c r="M293" i="73"/>
  <c r="AB292" i="73"/>
  <c r="AA292" i="73"/>
  <c r="W292" i="73"/>
  <c r="V292" i="73"/>
  <c r="Q292" i="73"/>
  <c r="P292" i="73"/>
  <c r="O292" i="73"/>
  <c r="N292" i="73"/>
  <c r="M292" i="73"/>
  <c r="AB291" i="73"/>
  <c r="AA291" i="73"/>
  <c r="W291" i="73"/>
  <c r="V291" i="73"/>
  <c r="U291" i="73"/>
  <c r="Q291" i="73"/>
  <c r="P291" i="73"/>
  <c r="O291" i="73"/>
  <c r="N291" i="73"/>
  <c r="M291" i="73"/>
  <c r="AB290" i="73"/>
  <c r="AA290" i="73"/>
  <c r="Q290" i="73"/>
  <c r="P290" i="73"/>
  <c r="O290" i="73"/>
  <c r="N290" i="73"/>
  <c r="M290" i="73"/>
  <c r="AB289" i="73"/>
  <c r="AA289" i="73"/>
  <c r="Q289" i="73"/>
  <c r="P289" i="73"/>
  <c r="O289" i="73"/>
  <c r="N289" i="73"/>
  <c r="M289" i="73"/>
  <c r="AB288" i="73"/>
  <c r="AA288" i="73"/>
  <c r="Q288" i="73"/>
  <c r="P288" i="73"/>
  <c r="O288" i="73"/>
  <c r="N288" i="73"/>
  <c r="M288" i="73"/>
  <c r="AB287" i="73"/>
  <c r="AA287" i="73"/>
  <c r="Q287" i="73"/>
  <c r="P287" i="73"/>
  <c r="O287" i="73"/>
  <c r="N287" i="73"/>
  <c r="M287" i="73"/>
  <c r="AB286" i="73"/>
  <c r="AA286" i="73"/>
  <c r="Q286" i="73"/>
  <c r="P286" i="73"/>
  <c r="O286" i="73"/>
  <c r="N286" i="73"/>
  <c r="M286" i="73"/>
  <c r="AB285" i="73"/>
  <c r="AA285" i="73"/>
  <c r="Q285" i="73"/>
  <c r="P285" i="73"/>
  <c r="O285" i="73"/>
  <c r="N285" i="73"/>
  <c r="M285" i="73"/>
  <c r="AB284" i="73"/>
  <c r="AA284" i="73"/>
  <c r="Q284" i="73"/>
  <c r="P284" i="73"/>
  <c r="O284" i="73"/>
  <c r="N284" i="73"/>
  <c r="M284" i="73"/>
  <c r="AB283" i="73"/>
  <c r="AA283" i="73"/>
  <c r="Q283" i="73"/>
  <c r="P283" i="73"/>
  <c r="O283" i="73"/>
  <c r="N283" i="73"/>
  <c r="M283" i="73"/>
  <c r="AB282" i="73"/>
  <c r="AA282" i="73"/>
  <c r="Q282" i="73"/>
  <c r="P282" i="73"/>
  <c r="O282" i="73"/>
  <c r="N282" i="73"/>
  <c r="M282" i="73"/>
  <c r="AB281" i="73"/>
  <c r="AA281" i="73"/>
  <c r="Q281" i="73"/>
  <c r="P281" i="73"/>
  <c r="O281" i="73"/>
  <c r="N281" i="73"/>
  <c r="M281" i="73"/>
  <c r="AB280" i="73"/>
  <c r="AA280" i="73"/>
  <c r="Q280" i="73"/>
  <c r="P280" i="73"/>
  <c r="O280" i="73"/>
  <c r="N280" i="73"/>
  <c r="M280" i="73"/>
  <c r="AB279" i="73"/>
  <c r="AA279" i="73"/>
  <c r="Q279" i="73"/>
  <c r="P279" i="73"/>
  <c r="O279" i="73"/>
  <c r="N279" i="73"/>
  <c r="M279" i="73"/>
  <c r="AB278" i="73"/>
  <c r="AA278" i="73"/>
  <c r="Q278" i="73"/>
  <c r="P278" i="73"/>
  <c r="O278" i="73"/>
  <c r="N278" i="73"/>
  <c r="M278" i="73"/>
  <c r="AB277" i="73"/>
  <c r="AA277" i="73"/>
  <c r="Q277" i="73"/>
  <c r="P277" i="73"/>
  <c r="O277" i="73"/>
  <c r="N277" i="73"/>
  <c r="M277" i="73"/>
  <c r="AB276" i="73"/>
  <c r="AA276" i="73"/>
  <c r="Q276" i="73"/>
  <c r="P276" i="73"/>
  <c r="O276" i="73"/>
  <c r="N276" i="73"/>
  <c r="M276" i="73"/>
  <c r="AB275" i="73"/>
  <c r="AA275" i="73"/>
  <c r="Q275" i="73"/>
  <c r="P275" i="73"/>
  <c r="O275" i="73"/>
  <c r="N275" i="73"/>
  <c r="M275" i="73"/>
  <c r="AB274" i="73"/>
  <c r="AA274" i="73"/>
  <c r="Q274" i="73"/>
  <c r="P274" i="73"/>
  <c r="O274" i="73"/>
  <c r="N274" i="73"/>
  <c r="M274" i="73"/>
  <c r="AB273" i="73"/>
  <c r="AA273" i="73"/>
  <c r="W273" i="73"/>
  <c r="V273" i="73"/>
  <c r="Q273" i="73"/>
  <c r="P273" i="73"/>
  <c r="O273" i="73"/>
  <c r="N273" i="73"/>
  <c r="M273" i="73"/>
  <c r="AB272" i="73"/>
  <c r="AA272" i="73"/>
  <c r="Q272" i="73"/>
  <c r="P272" i="73"/>
  <c r="O272" i="73"/>
  <c r="N272" i="73"/>
  <c r="M272" i="73"/>
  <c r="AB271" i="73"/>
  <c r="AA271" i="73"/>
  <c r="Q271" i="73"/>
  <c r="P271" i="73"/>
  <c r="O271" i="73"/>
  <c r="N271" i="73"/>
  <c r="M271" i="73"/>
  <c r="AB270" i="73"/>
  <c r="AA270" i="73"/>
  <c r="Q270" i="73"/>
  <c r="P270" i="73"/>
  <c r="O270" i="73"/>
  <c r="N270" i="73"/>
  <c r="M270" i="73"/>
  <c r="AB269" i="73"/>
  <c r="AA269" i="73"/>
  <c r="Q269" i="73"/>
  <c r="P269" i="73"/>
  <c r="O269" i="73"/>
  <c r="N269" i="73"/>
  <c r="M269" i="73"/>
  <c r="AB268" i="73"/>
  <c r="AA268" i="73"/>
  <c r="Q268" i="73"/>
  <c r="P268" i="73"/>
  <c r="O268" i="73"/>
  <c r="N268" i="73"/>
  <c r="M268" i="73"/>
  <c r="AB267" i="73"/>
  <c r="AA267" i="73"/>
  <c r="Q267" i="73"/>
  <c r="P267" i="73"/>
  <c r="O267" i="73"/>
  <c r="N267" i="73"/>
  <c r="M267" i="73"/>
  <c r="AB266" i="73"/>
  <c r="AA266" i="73"/>
  <c r="Q266" i="73"/>
  <c r="P266" i="73"/>
  <c r="O266" i="73"/>
  <c r="N266" i="73"/>
  <c r="M266" i="73"/>
  <c r="AB265" i="73"/>
  <c r="AA265" i="73"/>
  <c r="Q265" i="73"/>
  <c r="P265" i="73"/>
  <c r="O265" i="73"/>
  <c r="N265" i="73"/>
  <c r="M265" i="73"/>
  <c r="AB264" i="73"/>
  <c r="AA264" i="73"/>
  <c r="Q264" i="73"/>
  <c r="P264" i="73"/>
  <c r="O264" i="73"/>
  <c r="N264" i="73"/>
  <c r="M264" i="73"/>
  <c r="AB263" i="73"/>
  <c r="AA263" i="73"/>
  <c r="Q263" i="73"/>
  <c r="P263" i="73"/>
  <c r="O263" i="73"/>
  <c r="N263" i="73"/>
  <c r="M263" i="73"/>
  <c r="AB262" i="73"/>
  <c r="AA262" i="73"/>
  <c r="Q262" i="73"/>
  <c r="P262" i="73"/>
  <c r="O262" i="73"/>
  <c r="N262" i="73"/>
  <c r="M262" i="73"/>
  <c r="AB261" i="73"/>
  <c r="AA261" i="73"/>
  <c r="Q261" i="73"/>
  <c r="P261" i="73"/>
  <c r="O261" i="73"/>
  <c r="N261" i="73"/>
  <c r="M261" i="73"/>
  <c r="AB260" i="73"/>
  <c r="AA260" i="73"/>
  <c r="Q260" i="73"/>
  <c r="P260" i="73"/>
  <c r="O260" i="73"/>
  <c r="N260" i="73"/>
  <c r="M260" i="73"/>
  <c r="AB259" i="73"/>
  <c r="AA259" i="73"/>
  <c r="Q259" i="73"/>
  <c r="P259" i="73"/>
  <c r="O259" i="73"/>
  <c r="N259" i="73"/>
  <c r="M259" i="73"/>
  <c r="AB258" i="73"/>
  <c r="AA258" i="73"/>
  <c r="Q258" i="73"/>
  <c r="P258" i="73"/>
  <c r="O258" i="73"/>
  <c r="N258" i="73"/>
  <c r="M258" i="73"/>
  <c r="AB257" i="73"/>
  <c r="AA257" i="73"/>
  <c r="Q257" i="73"/>
  <c r="P257" i="73"/>
  <c r="O257" i="73"/>
  <c r="N257" i="73"/>
  <c r="M257" i="73"/>
  <c r="AB256" i="73"/>
  <c r="AA256" i="73"/>
  <c r="Q256" i="73"/>
  <c r="P256" i="73"/>
  <c r="O256" i="73"/>
  <c r="N256" i="73"/>
  <c r="M256" i="73"/>
  <c r="AB255" i="73"/>
  <c r="AA255" i="73"/>
  <c r="Q255" i="73"/>
  <c r="P255" i="73"/>
  <c r="O255" i="73"/>
  <c r="N255" i="73"/>
  <c r="M255" i="73"/>
  <c r="AB254" i="73"/>
  <c r="AA254" i="73"/>
  <c r="Q254" i="73"/>
  <c r="P254" i="73"/>
  <c r="O254" i="73"/>
  <c r="N254" i="73"/>
  <c r="M254" i="73"/>
  <c r="AB253" i="73"/>
  <c r="AA253" i="73"/>
  <c r="Q253" i="73"/>
  <c r="P253" i="73"/>
  <c r="O253" i="73"/>
  <c r="N253" i="73"/>
  <c r="M253" i="73"/>
  <c r="AB252" i="73"/>
  <c r="AA252" i="73"/>
  <c r="Q252" i="73"/>
  <c r="P252" i="73"/>
  <c r="O252" i="73"/>
  <c r="N252" i="73"/>
  <c r="M252" i="73"/>
  <c r="AB251" i="73"/>
  <c r="AA251" i="73"/>
  <c r="Q251" i="73"/>
  <c r="P251" i="73"/>
  <c r="O251" i="73"/>
  <c r="N251" i="73"/>
  <c r="M251" i="73"/>
  <c r="AB250" i="73"/>
  <c r="AA250" i="73"/>
  <c r="Q250" i="73"/>
  <c r="P250" i="73"/>
  <c r="O250" i="73"/>
  <c r="N250" i="73"/>
  <c r="M250" i="73"/>
  <c r="AB249" i="73"/>
  <c r="AA249" i="73"/>
  <c r="Q249" i="73"/>
  <c r="P249" i="73"/>
  <c r="O249" i="73"/>
  <c r="N249" i="73"/>
  <c r="M249" i="73"/>
  <c r="AB248" i="73"/>
  <c r="AA248" i="73"/>
  <c r="Q248" i="73"/>
  <c r="P248" i="73"/>
  <c r="O248" i="73"/>
  <c r="N248" i="73"/>
  <c r="M248" i="73"/>
  <c r="AB247" i="73"/>
  <c r="AA247" i="73"/>
  <c r="Q247" i="73"/>
  <c r="P247" i="73"/>
  <c r="O247" i="73"/>
  <c r="N247" i="73"/>
  <c r="M247" i="73"/>
  <c r="AB246" i="73"/>
  <c r="AA246" i="73"/>
  <c r="U246" i="73"/>
  <c r="Q246" i="73"/>
  <c r="P246" i="73"/>
  <c r="O246" i="73"/>
  <c r="N246" i="73"/>
  <c r="M246" i="73"/>
  <c r="AB245" i="73"/>
  <c r="AA245" i="73"/>
  <c r="U245" i="73"/>
  <c r="Q245" i="73"/>
  <c r="P245" i="73"/>
  <c r="O245" i="73"/>
  <c r="N245" i="73"/>
  <c r="M245" i="73"/>
  <c r="AB244" i="73"/>
  <c r="AA244" i="73"/>
  <c r="U244" i="73"/>
  <c r="Q244" i="73"/>
  <c r="P244" i="73"/>
  <c r="O244" i="73"/>
  <c r="N244" i="73"/>
  <c r="M244" i="73"/>
  <c r="AB243" i="73"/>
  <c r="AA243" i="73"/>
  <c r="U243" i="73"/>
  <c r="Q243" i="73"/>
  <c r="P243" i="73"/>
  <c r="O243" i="73"/>
  <c r="N243" i="73"/>
  <c r="M243" i="73"/>
  <c r="AB242" i="73"/>
  <c r="AA242" i="73"/>
  <c r="Q242" i="73"/>
  <c r="P242" i="73"/>
  <c r="O242" i="73"/>
  <c r="N242" i="73"/>
  <c r="M242" i="73"/>
  <c r="AB241" i="73"/>
  <c r="AA241" i="73"/>
  <c r="Q241" i="73"/>
  <c r="P241" i="73"/>
  <c r="O241" i="73"/>
  <c r="N241" i="73"/>
  <c r="M241" i="73"/>
  <c r="AB240" i="73"/>
  <c r="AA240" i="73"/>
  <c r="U240" i="73"/>
  <c r="Q240" i="73"/>
  <c r="P240" i="73"/>
  <c r="O240" i="73"/>
  <c r="N240" i="73"/>
  <c r="M240" i="73"/>
  <c r="AB239" i="73"/>
  <c r="AA239" i="73"/>
  <c r="Q239" i="73"/>
  <c r="P239" i="73"/>
  <c r="O239" i="73"/>
  <c r="N239" i="73"/>
  <c r="M239" i="73"/>
  <c r="AB238" i="73"/>
  <c r="AA238" i="73"/>
  <c r="U238" i="73"/>
  <c r="Q238" i="73"/>
  <c r="P238" i="73"/>
  <c r="O238" i="73"/>
  <c r="N238" i="73"/>
  <c r="M238" i="73"/>
  <c r="AB237" i="73"/>
  <c r="AA237" i="73"/>
  <c r="U237" i="73"/>
  <c r="Q237" i="73"/>
  <c r="P237" i="73"/>
  <c r="O237" i="73"/>
  <c r="N237" i="73"/>
  <c r="M237" i="73"/>
  <c r="AB236" i="73"/>
  <c r="AA236" i="73"/>
  <c r="U236" i="73"/>
  <c r="Q236" i="73"/>
  <c r="P236" i="73"/>
  <c r="O236" i="73"/>
  <c r="N236" i="73"/>
  <c r="M236" i="73"/>
  <c r="AB235" i="73"/>
  <c r="AA235" i="73"/>
  <c r="U235" i="73"/>
  <c r="Q235" i="73"/>
  <c r="P235" i="73"/>
  <c r="O235" i="73"/>
  <c r="N235" i="73"/>
  <c r="M235" i="73"/>
  <c r="AB234" i="73"/>
  <c r="AA234" i="73"/>
  <c r="Q234" i="73"/>
  <c r="P234" i="73"/>
  <c r="O234" i="73"/>
  <c r="N234" i="73"/>
  <c r="M234" i="73"/>
  <c r="AB233" i="73"/>
  <c r="AA233" i="73"/>
  <c r="U233" i="73"/>
  <c r="Q233" i="73"/>
  <c r="P233" i="73"/>
  <c r="O233" i="73"/>
  <c r="N233" i="73"/>
  <c r="M233" i="73"/>
  <c r="AB232" i="73"/>
  <c r="AA232" i="73"/>
  <c r="Q232" i="73"/>
  <c r="P232" i="73"/>
  <c r="O232" i="73"/>
  <c r="N232" i="73"/>
  <c r="M232" i="73"/>
  <c r="AB231" i="73"/>
  <c r="AA231" i="73"/>
  <c r="Q231" i="73"/>
  <c r="P231" i="73"/>
  <c r="O231" i="73"/>
  <c r="N231" i="73"/>
  <c r="M231" i="73"/>
  <c r="AB230" i="73"/>
  <c r="AA230" i="73"/>
  <c r="Q230" i="73"/>
  <c r="P230" i="73"/>
  <c r="O230" i="73"/>
  <c r="N230" i="73"/>
  <c r="M230" i="73"/>
  <c r="AB229" i="73"/>
  <c r="AA229" i="73"/>
  <c r="Q229" i="73"/>
  <c r="P229" i="73"/>
  <c r="O229" i="73"/>
  <c r="N229" i="73"/>
  <c r="M229" i="73"/>
  <c r="AB228" i="73"/>
  <c r="AA228" i="73"/>
  <c r="Q228" i="73"/>
  <c r="P228" i="73"/>
  <c r="O228" i="73"/>
  <c r="N228" i="73"/>
  <c r="M228" i="73"/>
  <c r="AB227" i="73"/>
  <c r="AA227" i="73"/>
  <c r="Q227" i="73"/>
  <c r="P227" i="73"/>
  <c r="O227" i="73"/>
  <c r="N227" i="73"/>
  <c r="M227" i="73"/>
  <c r="AB226" i="73"/>
  <c r="AA226" i="73"/>
  <c r="Q226" i="73"/>
  <c r="P226" i="73"/>
  <c r="O226" i="73"/>
  <c r="N226" i="73"/>
  <c r="M226" i="73"/>
  <c r="AB225" i="73"/>
  <c r="AA225" i="73"/>
  <c r="Q225" i="73"/>
  <c r="P225" i="73"/>
  <c r="O225" i="73"/>
  <c r="N225" i="73"/>
  <c r="M225" i="73"/>
  <c r="AB224" i="73"/>
  <c r="AA224" i="73"/>
  <c r="Q224" i="73"/>
  <c r="P224" i="73"/>
  <c r="O224" i="73"/>
  <c r="N224" i="73"/>
  <c r="M224" i="73"/>
  <c r="AB223" i="73"/>
  <c r="AA223" i="73"/>
  <c r="Q223" i="73"/>
  <c r="P223" i="73"/>
  <c r="O223" i="73"/>
  <c r="N223" i="73"/>
  <c r="M223" i="73"/>
  <c r="AB222" i="73"/>
  <c r="AA222" i="73"/>
  <c r="Q222" i="73"/>
  <c r="P222" i="73"/>
  <c r="O222" i="73"/>
  <c r="N222" i="73"/>
  <c r="M222" i="73"/>
  <c r="AB221" i="73"/>
  <c r="AA221" i="73"/>
  <c r="Q221" i="73"/>
  <c r="P221" i="73"/>
  <c r="O221" i="73"/>
  <c r="N221" i="73"/>
  <c r="M221" i="73"/>
  <c r="AB220" i="73"/>
  <c r="AA220" i="73"/>
  <c r="Q220" i="73"/>
  <c r="P220" i="73"/>
  <c r="O220" i="73"/>
  <c r="N220" i="73"/>
  <c r="M220" i="73"/>
  <c r="AB219" i="73"/>
  <c r="AA219" i="73"/>
  <c r="Q219" i="73"/>
  <c r="P219" i="73"/>
  <c r="O219" i="73"/>
  <c r="N219" i="73"/>
  <c r="M219" i="73"/>
  <c r="AB218" i="73"/>
  <c r="AA218" i="73"/>
  <c r="U218" i="73"/>
  <c r="V218" i="73" s="1"/>
  <c r="W218" i="73" s="1"/>
  <c r="Q218" i="73"/>
  <c r="P218" i="73"/>
  <c r="O218" i="73"/>
  <c r="N218" i="73"/>
  <c r="M218" i="73"/>
  <c r="AB217" i="73"/>
  <c r="AA217" i="73"/>
  <c r="V217" i="73"/>
  <c r="W217" i="73" s="1"/>
  <c r="Q217" i="73"/>
  <c r="P217" i="73"/>
  <c r="O217" i="73"/>
  <c r="N217" i="73"/>
  <c r="M217" i="73"/>
  <c r="AB216" i="73"/>
  <c r="AA216" i="73"/>
  <c r="W216" i="73"/>
  <c r="V216" i="73"/>
  <c r="Q216" i="73"/>
  <c r="P216" i="73"/>
  <c r="O216" i="73"/>
  <c r="N216" i="73"/>
  <c r="M216" i="73"/>
  <c r="AB215" i="73"/>
  <c r="AA215" i="73"/>
  <c r="V215" i="73"/>
  <c r="W215" i="73" s="1"/>
  <c r="Q215" i="73"/>
  <c r="P215" i="73"/>
  <c r="O215" i="73"/>
  <c r="N215" i="73"/>
  <c r="R215" i="73" s="1"/>
  <c r="M215" i="73"/>
  <c r="AB214" i="73"/>
  <c r="AA214" i="73"/>
  <c r="W214" i="73"/>
  <c r="V214" i="73"/>
  <c r="Q214" i="73"/>
  <c r="P214" i="73"/>
  <c r="O214" i="73"/>
  <c r="N214" i="73"/>
  <c r="M214" i="73"/>
  <c r="AB213" i="73"/>
  <c r="AA213" i="73"/>
  <c r="V213" i="73"/>
  <c r="W213" i="73" s="1"/>
  <c r="Q213" i="73"/>
  <c r="P213" i="73"/>
  <c r="O213" i="73"/>
  <c r="N213" i="73"/>
  <c r="M213" i="73"/>
  <c r="AB212" i="73"/>
  <c r="AA212" i="73"/>
  <c r="U212" i="73"/>
  <c r="V212" i="73" s="1"/>
  <c r="W212" i="73" s="1"/>
  <c r="Q212" i="73"/>
  <c r="P212" i="73"/>
  <c r="O212" i="73"/>
  <c r="N212" i="73"/>
  <c r="M212" i="73"/>
  <c r="AB211" i="73"/>
  <c r="AA211" i="73"/>
  <c r="V211" i="73"/>
  <c r="W211" i="73" s="1"/>
  <c r="U211" i="73"/>
  <c r="Q211" i="73"/>
  <c r="P211" i="73"/>
  <c r="O211" i="73"/>
  <c r="N211" i="73"/>
  <c r="M211" i="73"/>
  <c r="AB210" i="73"/>
  <c r="AA210" i="73"/>
  <c r="U210" i="73"/>
  <c r="V210" i="73" s="1"/>
  <c r="W210" i="73" s="1"/>
  <c r="Q210" i="73"/>
  <c r="P210" i="73"/>
  <c r="O210" i="73"/>
  <c r="N210" i="73"/>
  <c r="M210" i="73"/>
  <c r="AB209" i="73"/>
  <c r="AA209" i="73"/>
  <c r="W209" i="73"/>
  <c r="V209" i="73"/>
  <c r="U209" i="73"/>
  <c r="Q209" i="73"/>
  <c r="P209" i="73"/>
  <c r="O209" i="73"/>
  <c r="N209" i="73"/>
  <c r="M209" i="73"/>
  <c r="AB208" i="73"/>
  <c r="AA208" i="73"/>
  <c r="Q208" i="73"/>
  <c r="P208" i="73"/>
  <c r="O208" i="73"/>
  <c r="N208" i="73"/>
  <c r="M208" i="73"/>
  <c r="AB207" i="73"/>
  <c r="AA207" i="73"/>
  <c r="Q207" i="73"/>
  <c r="P207" i="73"/>
  <c r="O207" i="73"/>
  <c r="N207" i="73"/>
  <c r="M207" i="73"/>
  <c r="AB206" i="73"/>
  <c r="AA206" i="73"/>
  <c r="W206" i="73"/>
  <c r="V206" i="73"/>
  <c r="U206" i="73"/>
  <c r="Q206" i="73"/>
  <c r="P206" i="73"/>
  <c r="O206" i="73"/>
  <c r="N206" i="73"/>
  <c r="M206" i="73"/>
  <c r="AB205" i="73"/>
  <c r="AA205" i="73"/>
  <c r="Q205" i="73"/>
  <c r="P205" i="73"/>
  <c r="O205" i="73"/>
  <c r="N205" i="73"/>
  <c r="M205" i="73"/>
  <c r="AB204" i="73"/>
  <c r="AA204" i="73"/>
  <c r="V204" i="73"/>
  <c r="W204" i="73" s="1"/>
  <c r="Q204" i="73"/>
  <c r="P204" i="73"/>
  <c r="O204" i="73"/>
  <c r="N204" i="73"/>
  <c r="M204" i="73"/>
  <c r="AB203" i="73"/>
  <c r="AA203" i="73"/>
  <c r="Q203" i="73"/>
  <c r="P203" i="73"/>
  <c r="O203" i="73"/>
  <c r="N203" i="73"/>
  <c r="M203" i="73"/>
  <c r="AB202" i="73"/>
  <c r="AA202" i="73"/>
  <c r="Q202" i="73"/>
  <c r="P202" i="73"/>
  <c r="O202" i="73"/>
  <c r="N202" i="73"/>
  <c r="M202" i="73"/>
  <c r="AB201" i="73"/>
  <c r="AA201" i="73"/>
  <c r="V201" i="73"/>
  <c r="W201" i="73" s="1"/>
  <c r="Q201" i="73"/>
  <c r="P201" i="73"/>
  <c r="O201" i="73"/>
  <c r="N201" i="73"/>
  <c r="M201" i="73"/>
  <c r="AB200" i="73"/>
  <c r="AA200" i="73"/>
  <c r="Q200" i="73"/>
  <c r="P200" i="73"/>
  <c r="O200" i="73"/>
  <c r="N200" i="73"/>
  <c r="R200" i="73" s="1"/>
  <c r="M200" i="73"/>
  <c r="AB199" i="73"/>
  <c r="AA199" i="73"/>
  <c r="V199" i="73"/>
  <c r="W199" i="73" s="1"/>
  <c r="Q199" i="73"/>
  <c r="P199" i="73"/>
  <c r="O199" i="73"/>
  <c r="N199" i="73"/>
  <c r="R199" i="73" s="1"/>
  <c r="M199" i="73"/>
  <c r="AB198" i="73"/>
  <c r="AA198" i="73"/>
  <c r="Q198" i="73"/>
  <c r="P198" i="73"/>
  <c r="O198" i="73"/>
  <c r="N198" i="73"/>
  <c r="M198" i="73"/>
  <c r="AB197" i="73"/>
  <c r="AA197" i="73"/>
  <c r="V197" i="73"/>
  <c r="W197" i="73" s="1"/>
  <c r="Q197" i="73"/>
  <c r="P197" i="73"/>
  <c r="O197" i="73"/>
  <c r="N197" i="73"/>
  <c r="M197" i="73"/>
  <c r="AB196" i="73"/>
  <c r="AA196" i="73"/>
  <c r="V196" i="73"/>
  <c r="W196" i="73" s="1"/>
  <c r="U196" i="73"/>
  <c r="Q196" i="73"/>
  <c r="P196" i="73"/>
  <c r="O196" i="73"/>
  <c r="N196" i="73"/>
  <c r="R196" i="73" s="1"/>
  <c r="M196" i="73"/>
  <c r="AB195" i="73"/>
  <c r="AA195" i="73"/>
  <c r="U195" i="73"/>
  <c r="V195" i="73" s="1"/>
  <c r="W195" i="73" s="1"/>
  <c r="Q195" i="73"/>
  <c r="P195" i="73"/>
  <c r="O195" i="73"/>
  <c r="N195" i="73"/>
  <c r="R195" i="73" s="1"/>
  <c r="M195" i="73"/>
  <c r="AB194" i="73"/>
  <c r="AA194" i="73"/>
  <c r="V194" i="73"/>
  <c r="W194" i="73" s="1"/>
  <c r="U194" i="73"/>
  <c r="Q194" i="73"/>
  <c r="P194" i="73"/>
  <c r="O194" i="73"/>
  <c r="N194" i="73"/>
  <c r="M194" i="73"/>
  <c r="AB193" i="73"/>
  <c r="AA193" i="73"/>
  <c r="U193" i="73"/>
  <c r="V193" i="73" s="1"/>
  <c r="W193" i="73" s="1"/>
  <c r="Q193" i="73"/>
  <c r="P193" i="73"/>
  <c r="O193" i="73"/>
  <c r="N193" i="73"/>
  <c r="M193" i="73"/>
  <c r="AB192" i="73"/>
  <c r="AA192" i="73"/>
  <c r="Q192" i="73"/>
  <c r="P192" i="73"/>
  <c r="O192" i="73"/>
  <c r="N192" i="73"/>
  <c r="M192" i="73"/>
  <c r="AB191" i="73"/>
  <c r="AA191" i="73"/>
  <c r="Q191" i="73"/>
  <c r="P191" i="73"/>
  <c r="O191" i="73"/>
  <c r="N191" i="73"/>
  <c r="M191" i="73"/>
  <c r="AB190" i="73"/>
  <c r="AA190" i="73"/>
  <c r="Q190" i="73"/>
  <c r="P190" i="73"/>
  <c r="O190" i="73"/>
  <c r="N190" i="73"/>
  <c r="M190" i="73"/>
  <c r="AB189" i="73"/>
  <c r="AA189" i="73"/>
  <c r="Q189" i="73"/>
  <c r="P189" i="73"/>
  <c r="N189" i="73"/>
  <c r="J189" i="73"/>
  <c r="M189" i="73" s="1"/>
  <c r="AB188" i="73"/>
  <c r="AA188" i="73"/>
  <c r="Q188" i="73"/>
  <c r="P188" i="73"/>
  <c r="O188" i="73"/>
  <c r="N188" i="73"/>
  <c r="M188" i="73"/>
  <c r="AB187" i="73"/>
  <c r="AA187" i="73"/>
  <c r="Q187" i="73"/>
  <c r="P187" i="73"/>
  <c r="O187" i="73"/>
  <c r="N187" i="73"/>
  <c r="M187" i="73"/>
  <c r="AB186" i="73"/>
  <c r="AA186" i="73"/>
  <c r="Q186" i="73"/>
  <c r="P186" i="73"/>
  <c r="O186" i="73"/>
  <c r="N186" i="73"/>
  <c r="M186" i="73"/>
  <c r="AB185" i="73"/>
  <c r="AA185" i="73"/>
  <c r="Q185" i="73"/>
  <c r="P185" i="73"/>
  <c r="O185" i="73"/>
  <c r="N185" i="73"/>
  <c r="M185" i="73"/>
  <c r="AB184" i="73"/>
  <c r="AA184" i="73"/>
  <c r="Q184" i="73"/>
  <c r="P184" i="73"/>
  <c r="O184" i="73"/>
  <c r="N184" i="73"/>
  <c r="M184" i="73"/>
  <c r="AB183" i="73"/>
  <c r="AA183" i="73"/>
  <c r="Q183" i="73"/>
  <c r="P183" i="73"/>
  <c r="O183" i="73"/>
  <c r="N183" i="73"/>
  <c r="M183" i="73"/>
  <c r="AB182" i="73"/>
  <c r="AA182" i="73"/>
  <c r="Q182" i="73"/>
  <c r="P182" i="73"/>
  <c r="O182" i="73"/>
  <c r="N182" i="73"/>
  <c r="M182" i="73"/>
  <c r="AB181" i="73"/>
  <c r="AA181" i="73"/>
  <c r="Q181" i="73"/>
  <c r="P181" i="73"/>
  <c r="O181" i="73"/>
  <c r="N181" i="73"/>
  <c r="M181" i="73"/>
  <c r="AB180" i="73"/>
  <c r="AA180" i="73"/>
  <c r="Q180" i="73"/>
  <c r="P180" i="73"/>
  <c r="O180" i="73"/>
  <c r="N180" i="73"/>
  <c r="M180" i="73"/>
  <c r="AB179" i="73"/>
  <c r="AA179" i="73"/>
  <c r="U179" i="73"/>
  <c r="Q179" i="73"/>
  <c r="P179" i="73"/>
  <c r="O179" i="73"/>
  <c r="N179" i="73"/>
  <c r="M179" i="73"/>
  <c r="AB178" i="73"/>
  <c r="AA178" i="73"/>
  <c r="Q178" i="73"/>
  <c r="P178" i="73"/>
  <c r="O178" i="73"/>
  <c r="N178" i="73"/>
  <c r="M178" i="73"/>
  <c r="AB177" i="73"/>
  <c r="AA177" i="73"/>
  <c r="Q177" i="73"/>
  <c r="P177" i="73"/>
  <c r="O177" i="73"/>
  <c r="N177" i="73"/>
  <c r="M177" i="73"/>
  <c r="AB176" i="73"/>
  <c r="AA176" i="73"/>
  <c r="Q176" i="73"/>
  <c r="P176" i="73"/>
  <c r="O176" i="73"/>
  <c r="N176" i="73"/>
  <c r="M176" i="73"/>
  <c r="AB175" i="73"/>
  <c r="AA175" i="73"/>
  <c r="Q175" i="73"/>
  <c r="P175" i="73"/>
  <c r="O175" i="73"/>
  <c r="N175" i="73"/>
  <c r="M175" i="73"/>
  <c r="AB174" i="73"/>
  <c r="AA174" i="73"/>
  <c r="Q174" i="73"/>
  <c r="P174" i="73"/>
  <c r="O174" i="73"/>
  <c r="N174" i="73"/>
  <c r="M174" i="73"/>
  <c r="AB173" i="73"/>
  <c r="AA173" i="73"/>
  <c r="Q173" i="73"/>
  <c r="P173" i="73"/>
  <c r="O173" i="73"/>
  <c r="N173" i="73"/>
  <c r="M173" i="73"/>
  <c r="AB172" i="73"/>
  <c r="AA172" i="73"/>
  <c r="Q172" i="73"/>
  <c r="P172" i="73"/>
  <c r="O172" i="73"/>
  <c r="N172" i="73"/>
  <c r="M172" i="73"/>
  <c r="AB171" i="73"/>
  <c r="AA171" i="73"/>
  <c r="Q171" i="73"/>
  <c r="P171" i="73"/>
  <c r="O171" i="73"/>
  <c r="N171" i="73"/>
  <c r="M171" i="73"/>
  <c r="AB170" i="73"/>
  <c r="AA170" i="73"/>
  <c r="Q170" i="73"/>
  <c r="P170" i="73"/>
  <c r="O170" i="73"/>
  <c r="N170" i="73"/>
  <c r="M170" i="73"/>
  <c r="AB169" i="73"/>
  <c r="AA169" i="73"/>
  <c r="Q169" i="73"/>
  <c r="P169" i="73"/>
  <c r="O169" i="73"/>
  <c r="N169" i="73"/>
  <c r="M169" i="73"/>
  <c r="AB168" i="73"/>
  <c r="AA168" i="73"/>
  <c r="Q168" i="73"/>
  <c r="P168" i="73"/>
  <c r="O168" i="73"/>
  <c r="N168" i="73"/>
  <c r="M168" i="73"/>
  <c r="AB167" i="73"/>
  <c r="AA167" i="73"/>
  <c r="Q167" i="73"/>
  <c r="P167" i="73"/>
  <c r="O167" i="73"/>
  <c r="N167" i="73"/>
  <c r="M167" i="73"/>
  <c r="AB166" i="73"/>
  <c r="AA166" i="73"/>
  <c r="Q166" i="73"/>
  <c r="P166" i="73"/>
  <c r="O166" i="73"/>
  <c r="N166" i="73"/>
  <c r="M166" i="73"/>
  <c r="AB165" i="73"/>
  <c r="AA165" i="73"/>
  <c r="Q165" i="73"/>
  <c r="P165" i="73"/>
  <c r="O165" i="73"/>
  <c r="N165" i="73"/>
  <c r="M165" i="73"/>
  <c r="AB164" i="73"/>
  <c r="AA164" i="73"/>
  <c r="Q164" i="73"/>
  <c r="P164" i="73"/>
  <c r="O164" i="73"/>
  <c r="N164" i="73"/>
  <c r="M164" i="73"/>
  <c r="AB163" i="73"/>
  <c r="AA163" i="73"/>
  <c r="Q163" i="73"/>
  <c r="P163" i="73"/>
  <c r="O163" i="73"/>
  <c r="N163" i="73"/>
  <c r="M163" i="73"/>
  <c r="AB162" i="73"/>
  <c r="AA162" i="73"/>
  <c r="Q162" i="73"/>
  <c r="P162" i="73"/>
  <c r="O162" i="73"/>
  <c r="N162" i="73"/>
  <c r="M162" i="73"/>
  <c r="AB161" i="73"/>
  <c r="AA161" i="73"/>
  <c r="Q161" i="73"/>
  <c r="P161" i="73"/>
  <c r="O161" i="73"/>
  <c r="N161" i="73"/>
  <c r="M161" i="73"/>
  <c r="AB160" i="73"/>
  <c r="AA160" i="73"/>
  <c r="W160" i="73"/>
  <c r="V160" i="73"/>
  <c r="Q160" i="73"/>
  <c r="P160" i="73"/>
  <c r="O160" i="73"/>
  <c r="N160" i="73"/>
  <c r="M160" i="73"/>
  <c r="AB159" i="73"/>
  <c r="AA159" i="73"/>
  <c r="Q159" i="73"/>
  <c r="P159" i="73"/>
  <c r="O159" i="73"/>
  <c r="N159" i="73"/>
  <c r="M159" i="73"/>
  <c r="AB158" i="73"/>
  <c r="AA158" i="73"/>
  <c r="W158" i="73"/>
  <c r="V158" i="73"/>
  <c r="Q158" i="73"/>
  <c r="P158" i="73"/>
  <c r="O158" i="73"/>
  <c r="N158" i="73"/>
  <c r="M158" i="73"/>
  <c r="AB157" i="73"/>
  <c r="AA157" i="73"/>
  <c r="V157" i="73"/>
  <c r="W157" i="73" s="1"/>
  <c r="Q157" i="73"/>
  <c r="P157" i="73"/>
  <c r="O157" i="73"/>
  <c r="N157" i="73"/>
  <c r="M157" i="73"/>
  <c r="AB156" i="73"/>
  <c r="AA156" i="73"/>
  <c r="W156" i="73"/>
  <c r="V156" i="73"/>
  <c r="Q156" i="73"/>
  <c r="P156" i="73"/>
  <c r="O156" i="73"/>
  <c r="N156" i="73"/>
  <c r="M156" i="73"/>
  <c r="AB155" i="73"/>
  <c r="AA155" i="73"/>
  <c r="W155" i="73"/>
  <c r="V155" i="73"/>
  <c r="Q155" i="73"/>
  <c r="P155" i="73"/>
  <c r="O155" i="73"/>
  <c r="N155" i="73"/>
  <c r="R155" i="73" s="1"/>
  <c r="M155" i="73"/>
  <c r="AB154" i="73"/>
  <c r="AA154" i="73"/>
  <c r="W154" i="73"/>
  <c r="V154" i="73"/>
  <c r="Q154" i="73"/>
  <c r="P154" i="73"/>
  <c r="O154" i="73"/>
  <c r="N154" i="73"/>
  <c r="M154" i="73"/>
  <c r="AB153" i="73"/>
  <c r="AA153" i="73"/>
  <c r="V153" i="73"/>
  <c r="W153" i="73" s="1"/>
  <c r="Q153" i="73"/>
  <c r="P153" i="73"/>
  <c r="O153" i="73"/>
  <c r="N153" i="73"/>
  <c r="M153" i="73"/>
  <c r="AB152" i="73"/>
  <c r="AA152" i="73"/>
  <c r="V152" i="73"/>
  <c r="W152" i="73" s="1"/>
  <c r="Q152" i="73"/>
  <c r="P152" i="73"/>
  <c r="O152" i="73"/>
  <c r="N152" i="73"/>
  <c r="M152" i="73"/>
  <c r="AB151" i="73"/>
  <c r="AA151" i="73"/>
  <c r="Q151" i="73"/>
  <c r="P151" i="73"/>
  <c r="O151" i="73"/>
  <c r="N151" i="73"/>
  <c r="R151" i="73" s="1"/>
  <c r="M151" i="73"/>
  <c r="AB150" i="73"/>
  <c r="AA150" i="73"/>
  <c r="Q150" i="73"/>
  <c r="P150" i="73"/>
  <c r="O150" i="73"/>
  <c r="N150" i="73"/>
  <c r="M150" i="73"/>
  <c r="AB149" i="73"/>
  <c r="AA149" i="73"/>
  <c r="Q149" i="73"/>
  <c r="P149" i="73"/>
  <c r="O149" i="73"/>
  <c r="N149" i="73"/>
  <c r="M149" i="73"/>
  <c r="AB148" i="73"/>
  <c r="AA148" i="73"/>
  <c r="Q148" i="73"/>
  <c r="P148" i="73"/>
  <c r="O148" i="73"/>
  <c r="N148" i="73"/>
  <c r="M148" i="73"/>
  <c r="AB147" i="73"/>
  <c r="AA147" i="73"/>
  <c r="Q147" i="73"/>
  <c r="P147" i="73"/>
  <c r="O147" i="73"/>
  <c r="N147" i="73"/>
  <c r="M147" i="73"/>
  <c r="AB146" i="73"/>
  <c r="AA146" i="73"/>
  <c r="Q146" i="73"/>
  <c r="P146" i="73"/>
  <c r="O146" i="73"/>
  <c r="N146" i="73"/>
  <c r="M146" i="73"/>
  <c r="AB145" i="73"/>
  <c r="AA145" i="73"/>
  <c r="Q145" i="73"/>
  <c r="P145" i="73"/>
  <c r="O145" i="73"/>
  <c r="N145" i="73"/>
  <c r="M145" i="73"/>
  <c r="AB144" i="73"/>
  <c r="AA144" i="73"/>
  <c r="Q144" i="73"/>
  <c r="P144" i="73"/>
  <c r="O144" i="73"/>
  <c r="N144" i="73"/>
  <c r="M144" i="73"/>
  <c r="AB143" i="73"/>
  <c r="AA143" i="73"/>
  <c r="Q143" i="73"/>
  <c r="P143" i="73"/>
  <c r="O143" i="73"/>
  <c r="N143" i="73"/>
  <c r="R143" i="73" s="1"/>
  <c r="M143" i="73"/>
  <c r="AB142" i="73"/>
  <c r="AA142" i="73"/>
  <c r="Q142" i="73"/>
  <c r="P142" i="73"/>
  <c r="O142" i="73"/>
  <c r="N142" i="73"/>
  <c r="M142" i="73"/>
  <c r="AB141" i="73"/>
  <c r="AA141" i="73"/>
  <c r="Q141" i="73"/>
  <c r="P141" i="73"/>
  <c r="O141" i="73"/>
  <c r="N141" i="73"/>
  <c r="M141" i="73"/>
  <c r="AB140" i="73"/>
  <c r="AA140" i="73"/>
  <c r="Q140" i="73"/>
  <c r="P140" i="73"/>
  <c r="O140" i="73"/>
  <c r="N140" i="73"/>
  <c r="M140" i="73"/>
  <c r="AB139" i="73"/>
  <c r="AA139" i="73"/>
  <c r="Q139" i="73"/>
  <c r="P139" i="73"/>
  <c r="O139" i="73"/>
  <c r="N139" i="73"/>
  <c r="M139" i="73"/>
  <c r="AB138" i="73"/>
  <c r="AA138" i="73"/>
  <c r="Q138" i="73"/>
  <c r="P138" i="73"/>
  <c r="O138" i="73"/>
  <c r="N138" i="73"/>
  <c r="M138" i="73"/>
  <c r="AB137" i="73"/>
  <c r="AA137" i="73"/>
  <c r="Q137" i="73"/>
  <c r="P137" i="73"/>
  <c r="O137" i="73"/>
  <c r="N137" i="73"/>
  <c r="M137" i="73"/>
  <c r="AB136" i="73"/>
  <c r="AA136" i="73"/>
  <c r="Q136" i="73"/>
  <c r="P136" i="73"/>
  <c r="O136" i="73"/>
  <c r="N136" i="73"/>
  <c r="M136" i="73"/>
  <c r="AB135" i="73"/>
  <c r="AA135" i="73"/>
  <c r="Q135" i="73"/>
  <c r="P135" i="73"/>
  <c r="O135" i="73"/>
  <c r="N135" i="73"/>
  <c r="R135" i="73" s="1"/>
  <c r="M135" i="73"/>
  <c r="AB134" i="73"/>
  <c r="AA134" i="73"/>
  <c r="Q134" i="73"/>
  <c r="P134" i="73"/>
  <c r="O134" i="73"/>
  <c r="N134" i="73"/>
  <c r="M134" i="73"/>
  <c r="AB133" i="73"/>
  <c r="AA133" i="73"/>
  <c r="Q133" i="73"/>
  <c r="P133" i="73"/>
  <c r="O133" i="73"/>
  <c r="N133" i="73"/>
  <c r="M133" i="73"/>
  <c r="AB132" i="73"/>
  <c r="AA132" i="73"/>
  <c r="Q132" i="73"/>
  <c r="P132" i="73"/>
  <c r="O132" i="73"/>
  <c r="N132" i="73"/>
  <c r="M132" i="73"/>
  <c r="AB131" i="73"/>
  <c r="AA131" i="73"/>
  <c r="Q131" i="73"/>
  <c r="P131" i="73"/>
  <c r="O131" i="73"/>
  <c r="N131" i="73"/>
  <c r="M131" i="73"/>
  <c r="AB130" i="73"/>
  <c r="AA130" i="73"/>
  <c r="Q130" i="73"/>
  <c r="P130" i="73"/>
  <c r="O130" i="73"/>
  <c r="N130" i="73"/>
  <c r="M130" i="73"/>
  <c r="AB129" i="73"/>
  <c r="AA129" i="73"/>
  <c r="Q129" i="73"/>
  <c r="P129" i="73"/>
  <c r="O129" i="73"/>
  <c r="N129" i="73"/>
  <c r="M129" i="73"/>
  <c r="AB128" i="73"/>
  <c r="AA128" i="73"/>
  <c r="Q128" i="73"/>
  <c r="P128" i="73"/>
  <c r="O128" i="73"/>
  <c r="N128" i="73"/>
  <c r="M128" i="73"/>
  <c r="AB127" i="73"/>
  <c r="AA127" i="73"/>
  <c r="W127" i="73"/>
  <c r="V127" i="73"/>
  <c r="Q127" i="73"/>
  <c r="P127" i="73"/>
  <c r="O127" i="73"/>
  <c r="N127" i="73"/>
  <c r="M127" i="73"/>
  <c r="AB126" i="73"/>
  <c r="AA126" i="73"/>
  <c r="Q126" i="73"/>
  <c r="P126" i="73"/>
  <c r="O126" i="73"/>
  <c r="N126" i="73"/>
  <c r="M126" i="73"/>
  <c r="AB125" i="73"/>
  <c r="AA125" i="73"/>
  <c r="Q125" i="73"/>
  <c r="P125" i="73"/>
  <c r="O125" i="73"/>
  <c r="N125" i="73"/>
  <c r="R125" i="73" s="1"/>
  <c r="M125" i="73"/>
  <c r="AB124" i="73"/>
  <c r="AA124" i="73"/>
  <c r="U124" i="73"/>
  <c r="Q124" i="73"/>
  <c r="P124" i="73"/>
  <c r="O124" i="73"/>
  <c r="N124" i="73"/>
  <c r="R124" i="73" s="1"/>
  <c r="M124" i="73"/>
  <c r="AB123" i="73"/>
  <c r="AA123" i="73"/>
  <c r="Q123" i="73"/>
  <c r="P123" i="73"/>
  <c r="O123" i="73"/>
  <c r="N123" i="73"/>
  <c r="M123" i="73"/>
  <c r="AB122" i="73"/>
  <c r="AA122" i="73"/>
  <c r="Q122" i="73"/>
  <c r="P122" i="73"/>
  <c r="O122" i="73"/>
  <c r="N122" i="73"/>
  <c r="M122" i="73"/>
  <c r="AB121" i="73"/>
  <c r="AA121" i="73"/>
  <c r="Q121" i="73"/>
  <c r="P121" i="73"/>
  <c r="O121" i="73"/>
  <c r="N121" i="73"/>
  <c r="M121" i="73"/>
  <c r="AB120" i="73"/>
  <c r="AA120" i="73"/>
  <c r="Q120" i="73"/>
  <c r="P120" i="73"/>
  <c r="O120" i="73"/>
  <c r="N120" i="73"/>
  <c r="M120" i="73"/>
  <c r="AB119" i="73"/>
  <c r="AA119" i="73"/>
  <c r="Q119" i="73"/>
  <c r="P119" i="73"/>
  <c r="O119" i="73"/>
  <c r="N119" i="73"/>
  <c r="M119" i="73"/>
  <c r="AB118" i="73"/>
  <c r="AA118" i="73"/>
  <c r="Q118" i="73"/>
  <c r="P118" i="73"/>
  <c r="O118" i="73"/>
  <c r="N118" i="73"/>
  <c r="M118" i="73"/>
  <c r="AB117" i="73"/>
  <c r="AA117" i="73"/>
  <c r="Q117" i="73"/>
  <c r="P117" i="73"/>
  <c r="O117" i="73"/>
  <c r="N117" i="73"/>
  <c r="M117" i="73"/>
  <c r="AB116" i="73"/>
  <c r="AA116" i="73"/>
  <c r="W116" i="73"/>
  <c r="V116" i="73"/>
  <c r="Q116" i="73"/>
  <c r="P116" i="73"/>
  <c r="O116" i="73"/>
  <c r="N116" i="73"/>
  <c r="M116" i="73"/>
  <c r="AB115" i="73"/>
  <c r="AA115" i="73"/>
  <c r="Q115" i="73"/>
  <c r="O115" i="73"/>
  <c r="N115" i="73"/>
  <c r="K115" i="73"/>
  <c r="P115" i="73" s="1"/>
  <c r="AB114" i="73"/>
  <c r="AA114" i="73"/>
  <c r="Q114" i="73"/>
  <c r="O114" i="73"/>
  <c r="N114" i="73"/>
  <c r="K114" i="73"/>
  <c r="M114" i="73" s="1"/>
  <c r="AB113" i="73"/>
  <c r="AA113" i="73"/>
  <c r="Q113" i="73"/>
  <c r="O113" i="73"/>
  <c r="N113" i="73"/>
  <c r="K113" i="73"/>
  <c r="P113" i="73" s="1"/>
  <c r="AB112" i="73"/>
  <c r="AA112" i="73"/>
  <c r="Q112" i="73"/>
  <c r="O112" i="73"/>
  <c r="N112" i="73"/>
  <c r="K112" i="73"/>
  <c r="M112" i="73" s="1"/>
  <c r="AB111" i="73"/>
  <c r="AA111" i="73"/>
  <c r="Q111" i="73"/>
  <c r="O111" i="73"/>
  <c r="N111" i="73"/>
  <c r="K111" i="73"/>
  <c r="P111" i="73" s="1"/>
  <c r="AB110" i="73"/>
  <c r="AA110" i="73"/>
  <c r="Q110" i="73"/>
  <c r="O110" i="73"/>
  <c r="N110" i="73"/>
  <c r="K110" i="73"/>
  <c r="M110" i="73" s="1"/>
  <c r="AB109" i="73"/>
  <c r="AA109" i="73"/>
  <c r="Q109" i="73"/>
  <c r="O109" i="73"/>
  <c r="N109" i="73"/>
  <c r="K109" i="73"/>
  <c r="P109" i="73" s="1"/>
  <c r="AB108" i="73"/>
  <c r="AA108" i="73"/>
  <c r="Q108" i="73"/>
  <c r="P108" i="73"/>
  <c r="O108" i="73"/>
  <c r="N108" i="73"/>
  <c r="R108" i="73" s="1"/>
  <c r="K108" i="73"/>
  <c r="M108" i="73" s="1"/>
  <c r="AB107" i="73"/>
  <c r="AA107" i="73"/>
  <c r="Q107" i="73"/>
  <c r="O107" i="73"/>
  <c r="N107" i="73"/>
  <c r="K107" i="73"/>
  <c r="P107" i="73" s="1"/>
  <c r="AB106" i="73"/>
  <c r="AA106" i="73"/>
  <c r="W106" i="73"/>
  <c r="V106" i="73"/>
  <c r="Q106" i="73"/>
  <c r="O106" i="73"/>
  <c r="N106" i="73"/>
  <c r="K106" i="73"/>
  <c r="M106" i="73" s="1"/>
  <c r="AB105" i="73"/>
  <c r="AA105" i="73"/>
  <c r="Q105" i="73"/>
  <c r="O105" i="73"/>
  <c r="N105" i="73"/>
  <c r="M105" i="73"/>
  <c r="K105" i="73"/>
  <c r="P105" i="73" s="1"/>
  <c r="AB104" i="73"/>
  <c r="AA104" i="73"/>
  <c r="Q104" i="73"/>
  <c r="O104" i="73"/>
  <c r="N104" i="73"/>
  <c r="K104" i="73"/>
  <c r="M104" i="73" s="1"/>
  <c r="AB103" i="73"/>
  <c r="AA103" i="73"/>
  <c r="Q103" i="73"/>
  <c r="O103" i="73"/>
  <c r="N103" i="73"/>
  <c r="K103" i="73"/>
  <c r="P103" i="73" s="1"/>
  <c r="AB102" i="73"/>
  <c r="AA102" i="73"/>
  <c r="Q102" i="73"/>
  <c r="O102" i="73"/>
  <c r="N102" i="73"/>
  <c r="K102" i="73"/>
  <c r="M102" i="73" s="1"/>
  <c r="AB101" i="73"/>
  <c r="AA101" i="73"/>
  <c r="Q101" i="73"/>
  <c r="O101" i="73"/>
  <c r="N101" i="73"/>
  <c r="K101" i="73"/>
  <c r="P101" i="73" s="1"/>
  <c r="AB100" i="73"/>
  <c r="AA100" i="73"/>
  <c r="Q100" i="73"/>
  <c r="P100" i="73"/>
  <c r="O100" i="73"/>
  <c r="N100" i="73"/>
  <c r="R100" i="73" s="1"/>
  <c r="M100" i="73"/>
  <c r="AB99" i="73"/>
  <c r="AA99" i="73"/>
  <c r="Q99" i="73"/>
  <c r="P99" i="73"/>
  <c r="O99" i="73"/>
  <c r="N99" i="73"/>
  <c r="M99" i="73"/>
  <c r="AB98" i="73"/>
  <c r="AA98" i="73"/>
  <c r="Q98" i="73"/>
  <c r="P98" i="73"/>
  <c r="N98" i="73"/>
  <c r="J98" i="73"/>
  <c r="AB97" i="73"/>
  <c r="AA97" i="73"/>
  <c r="Q97" i="73"/>
  <c r="P97" i="73"/>
  <c r="N97" i="73"/>
  <c r="J97" i="73"/>
  <c r="M97" i="73" s="1"/>
  <c r="AB96" i="73"/>
  <c r="AA96" i="73"/>
  <c r="Q96" i="73"/>
  <c r="P96" i="73"/>
  <c r="N96" i="73"/>
  <c r="J96" i="73"/>
  <c r="AB95" i="73"/>
  <c r="AA95" i="73"/>
  <c r="Q95" i="73"/>
  <c r="P95" i="73"/>
  <c r="N95" i="73"/>
  <c r="J95" i="73"/>
  <c r="O95" i="73" s="1"/>
  <c r="AB94" i="73"/>
  <c r="AA94" i="73"/>
  <c r="Q94" i="73"/>
  <c r="P94" i="73"/>
  <c r="O94" i="73"/>
  <c r="N94" i="73"/>
  <c r="M94" i="73"/>
  <c r="AB93" i="73"/>
  <c r="AA93" i="73"/>
  <c r="Q93" i="73"/>
  <c r="P93" i="73"/>
  <c r="O93" i="73"/>
  <c r="N93" i="73"/>
  <c r="M93" i="73"/>
  <c r="AB92" i="73"/>
  <c r="AA92" i="73"/>
  <c r="Q92" i="73"/>
  <c r="P92" i="73"/>
  <c r="O92" i="73"/>
  <c r="N92" i="73"/>
  <c r="M92" i="73"/>
  <c r="AB91" i="73"/>
  <c r="AA91" i="73"/>
  <c r="Q91" i="73"/>
  <c r="P91" i="73"/>
  <c r="O91" i="73"/>
  <c r="N91" i="73"/>
  <c r="M91" i="73"/>
  <c r="AB90" i="73"/>
  <c r="AA90" i="73"/>
  <c r="Q90" i="73"/>
  <c r="P90" i="73"/>
  <c r="O90" i="73"/>
  <c r="N90" i="73"/>
  <c r="R90" i="73" s="1"/>
  <c r="M90" i="73"/>
  <c r="AB89" i="73"/>
  <c r="AA89" i="73"/>
  <c r="Q89" i="73"/>
  <c r="P89" i="73"/>
  <c r="O89" i="73"/>
  <c r="N89" i="73"/>
  <c r="M89" i="73"/>
  <c r="AB88" i="73"/>
  <c r="AA88" i="73"/>
  <c r="Q88" i="73"/>
  <c r="P88" i="73"/>
  <c r="O88" i="73"/>
  <c r="N88" i="73"/>
  <c r="M88" i="73"/>
  <c r="AB87" i="73"/>
  <c r="AA87" i="73"/>
  <c r="Q87" i="73"/>
  <c r="P87" i="73"/>
  <c r="O87" i="73"/>
  <c r="N87" i="73"/>
  <c r="M87" i="73"/>
  <c r="AB86" i="73"/>
  <c r="AA86" i="73"/>
  <c r="Q86" i="73"/>
  <c r="P86" i="73"/>
  <c r="O86" i="73"/>
  <c r="N86" i="73"/>
  <c r="M86" i="73"/>
  <c r="AB85" i="73"/>
  <c r="AA85" i="73"/>
  <c r="Q85" i="73"/>
  <c r="P85" i="73"/>
  <c r="O85" i="73"/>
  <c r="N85" i="73"/>
  <c r="M85" i="73"/>
  <c r="AB84" i="73"/>
  <c r="AA84" i="73"/>
  <c r="Q84" i="73"/>
  <c r="P84" i="73"/>
  <c r="O84" i="73"/>
  <c r="N84" i="73"/>
  <c r="M84" i="73"/>
  <c r="AB83" i="73"/>
  <c r="AA83" i="73"/>
  <c r="Q83" i="73"/>
  <c r="P83" i="73"/>
  <c r="O83" i="73"/>
  <c r="N83" i="73"/>
  <c r="M83" i="73"/>
  <c r="AB82" i="73"/>
  <c r="AA82" i="73"/>
  <c r="Q82" i="73"/>
  <c r="P82" i="73"/>
  <c r="O82" i="73"/>
  <c r="N82" i="73"/>
  <c r="R82" i="73" s="1"/>
  <c r="M82" i="73"/>
  <c r="AB81" i="73"/>
  <c r="AA81" i="73"/>
  <c r="Q81" i="73"/>
  <c r="P81" i="73"/>
  <c r="O81" i="73"/>
  <c r="N81" i="73"/>
  <c r="M81" i="73"/>
  <c r="AB80" i="73"/>
  <c r="AA80" i="73"/>
  <c r="Q80" i="73"/>
  <c r="P80" i="73"/>
  <c r="O80" i="73"/>
  <c r="N80" i="73"/>
  <c r="M80" i="73"/>
  <c r="AB79" i="73"/>
  <c r="AA79" i="73"/>
  <c r="Q79" i="73"/>
  <c r="P79" i="73"/>
  <c r="O79" i="73"/>
  <c r="N79" i="73"/>
  <c r="M79" i="73"/>
  <c r="AB78" i="73"/>
  <c r="AA78" i="73"/>
  <c r="Q78" i="73"/>
  <c r="P78" i="73"/>
  <c r="O78" i="73"/>
  <c r="N78" i="73"/>
  <c r="M78" i="73"/>
  <c r="AB77" i="73"/>
  <c r="AA77" i="73"/>
  <c r="Q77" i="73"/>
  <c r="P77" i="73"/>
  <c r="O77" i="73"/>
  <c r="N77" i="73"/>
  <c r="M77" i="73"/>
  <c r="AB76" i="73"/>
  <c r="AA76" i="73"/>
  <c r="Q76" i="73"/>
  <c r="P76" i="73"/>
  <c r="O76" i="73"/>
  <c r="N76" i="73"/>
  <c r="M76" i="73"/>
  <c r="AB75" i="73"/>
  <c r="AA75" i="73"/>
  <c r="Q75" i="73"/>
  <c r="P75" i="73"/>
  <c r="O75" i="73"/>
  <c r="N75" i="73"/>
  <c r="M75" i="73"/>
  <c r="AB74" i="73"/>
  <c r="AA74" i="73"/>
  <c r="Q74" i="73"/>
  <c r="P74" i="73"/>
  <c r="O74" i="73"/>
  <c r="N74" i="73"/>
  <c r="R74" i="73" s="1"/>
  <c r="M74" i="73"/>
  <c r="AB73" i="73"/>
  <c r="AA73" i="73"/>
  <c r="Q73" i="73"/>
  <c r="P73" i="73"/>
  <c r="O73" i="73"/>
  <c r="N73" i="73"/>
  <c r="M73" i="73"/>
  <c r="AB72" i="73"/>
  <c r="AA72" i="73"/>
  <c r="Q72" i="73"/>
  <c r="P72" i="73"/>
  <c r="O72" i="73"/>
  <c r="N72" i="73"/>
  <c r="M72" i="73"/>
  <c r="AB71" i="73"/>
  <c r="AA71" i="73"/>
  <c r="Q71" i="73"/>
  <c r="P71" i="73"/>
  <c r="O71" i="73"/>
  <c r="N71" i="73"/>
  <c r="M71" i="73"/>
  <c r="AB70" i="73"/>
  <c r="AA70" i="73"/>
  <c r="Q70" i="73"/>
  <c r="P70" i="73"/>
  <c r="O70" i="73"/>
  <c r="N70" i="73"/>
  <c r="M70" i="73"/>
  <c r="AB69" i="73"/>
  <c r="AA69" i="73"/>
  <c r="Q69" i="73"/>
  <c r="P69" i="73"/>
  <c r="O69" i="73"/>
  <c r="N69" i="73"/>
  <c r="M69" i="73"/>
  <c r="AB68" i="73"/>
  <c r="AA68" i="73"/>
  <c r="Q68" i="73"/>
  <c r="P68" i="73"/>
  <c r="O68" i="73"/>
  <c r="N68" i="73"/>
  <c r="M68" i="73"/>
  <c r="AB67" i="73"/>
  <c r="AA67" i="73"/>
  <c r="Q67" i="73"/>
  <c r="P67" i="73"/>
  <c r="O67" i="73"/>
  <c r="N67" i="73"/>
  <c r="M67" i="73"/>
  <c r="AB66" i="73"/>
  <c r="AA66" i="73"/>
  <c r="Q66" i="73"/>
  <c r="P66" i="73"/>
  <c r="O66" i="73"/>
  <c r="N66" i="73"/>
  <c r="R66" i="73" s="1"/>
  <c r="M66" i="73"/>
  <c r="AB65" i="73"/>
  <c r="AA65" i="73"/>
  <c r="Q65" i="73"/>
  <c r="P65" i="73"/>
  <c r="O65" i="73"/>
  <c r="N65" i="73"/>
  <c r="M65" i="73"/>
  <c r="AB64" i="73"/>
  <c r="AA64" i="73"/>
  <c r="Q64" i="73"/>
  <c r="P64" i="73"/>
  <c r="O64" i="73"/>
  <c r="N64" i="73"/>
  <c r="M64" i="73"/>
  <c r="AB63" i="73"/>
  <c r="AA63" i="73"/>
  <c r="Q63" i="73"/>
  <c r="P63" i="73"/>
  <c r="O63" i="73"/>
  <c r="N63" i="73"/>
  <c r="M63" i="73"/>
  <c r="AB62" i="73"/>
  <c r="AA62" i="73"/>
  <c r="Q62" i="73"/>
  <c r="P62" i="73"/>
  <c r="O62" i="73"/>
  <c r="N62" i="73"/>
  <c r="M62" i="73"/>
  <c r="AB61" i="73"/>
  <c r="AA61" i="73"/>
  <c r="Q61" i="73"/>
  <c r="P61" i="73"/>
  <c r="O61" i="73"/>
  <c r="N61" i="73"/>
  <c r="M61" i="73"/>
  <c r="AB60" i="73"/>
  <c r="AA60" i="73"/>
  <c r="U60" i="73"/>
  <c r="Q60" i="73"/>
  <c r="P60" i="73"/>
  <c r="O60" i="73"/>
  <c r="N60" i="73"/>
  <c r="M60" i="73"/>
  <c r="AB59" i="73"/>
  <c r="AA59" i="73"/>
  <c r="Q59" i="73"/>
  <c r="P59" i="73"/>
  <c r="O59" i="73"/>
  <c r="N59" i="73"/>
  <c r="M59" i="73"/>
  <c r="AB58" i="73"/>
  <c r="AA58" i="73"/>
  <c r="Q58" i="73"/>
  <c r="P58" i="73"/>
  <c r="O58" i="73"/>
  <c r="N58" i="73"/>
  <c r="M58" i="73"/>
  <c r="AB57" i="73"/>
  <c r="AA57" i="73"/>
  <c r="Q57" i="73"/>
  <c r="P57" i="73"/>
  <c r="O57" i="73"/>
  <c r="N57" i="73"/>
  <c r="R57" i="73" s="1"/>
  <c r="M57" i="73"/>
  <c r="AB56" i="73"/>
  <c r="AA56" i="73"/>
  <c r="Q56" i="73"/>
  <c r="P56" i="73"/>
  <c r="O56" i="73"/>
  <c r="N56" i="73"/>
  <c r="M56" i="73"/>
  <c r="AB55" i="73"/>
  <c r="AA55" i="73"/>
  <c r="Q55" i="73"/>
  <c r="P55" i="73"/>
  <c r="O55" i="73"/>
  <c r="N55" i="73"/>
  <c r="M55" i="73"/>
  <c r="AB54" i="73"/>
  <c r="AA54" i="73"/>
  <c r="Q54" i="73"/>
  <c r="P54" i="73"/>
  <c r="O54" i="73"/>
  <c r="N54" i="73"/>
  <c r="M54" i="73"/>
  <c r="AB53" i="73"/>
  <c r="AA53" i="73"/>
  <c r="Q53" i="73"/>
  <c r="P53" i="73"/>
  <c r="O53" i="73"/>
  <c r="N53" i="73"/>
  <c r="M53" i="73"/>
  <c r="AB52" i="73"/>
  <c r="AA52" i="73"/>
  <c r="Q52" i="73"/>
  <c r="P52" i="73"/>
  <c r="O52" i="73"/>
  <c r="N52" i="73"/>
  <c r="M52" i="73"/>
  <c r="AB51" i="73"/>
  <c r="AA51" i="73"/>
  <c r="Q51" i="73"/>
  <c r="P51" i="73"/>
  <c r="O51" i="73"/>
  <c r="N51" i="73"/>
  <c r="M51" i="73"/>
  <c r="AB50" i="73"/>
  <c r="AA50" i="73"/>
  <c r="Q50" i="73"/>
  <c r="P50" i="73"/>
  <c r="O50" i="73"/>
  <c r="N50" i="73"/>
  <c r="M50" i="73"/>
  <c r="AB49" i="73"/>
  <c r="AA49" i="73"/>
  <c r="Q49" i="73"/>
  <c r="P49" i="73"/>
  <c r="O49" i="73"/>
  <c r="N49" i="73"/>
  <c r="R49" i="73" s="1"/>
  <c r="M49" i="73"/>
  <c r="AB48" i="73"/>
  <c r="AA48" i="73"/>
  <c r="Q48" i="73"/>
  <c r="P48" i="73"/>
  <c r="O48" i="73"/>
  <c r="N48" i="73"/>
  <c r="M48" i="73"/>
  <c r="AB47" i="73"/>
  <c r="AA47" i="73"/>
  <c r="Q47" i="73"/>
  <c r="P47" i="73"/>
  <c r="O47" i="73"/>
  <c r="N47" i="73"/>
  <c r="M47" i="73"/>
  <c r="AB46" i="73"/>
  <c r="AA46" i="73"/>
  <c r="Q46" i="73"/>
  <c r="P46" i="73"/>
  <c r="O46" i="73"/>
  <c r="N46" i="73"/>
  <c r="M46" i="73"/>
  <c r="AB45" i="73"/>
  <c r="AA45" i="73"/>
  <c r="Q45" i="73"/>
  <c r="P45" i="73"/>
  <c r="O45" i="73"/>
  <c r="N45" i="73"/>
  <c r="M45" i="73"/>
  <c r="AB44" i="73"/>
  <c r="AA44" i="73"/>
  <c r="Q44" i="73"/>
  <c r="P44" i="73"/>
  <c r="O44" i="73"/>
  <c r="N44" i="73"/>
  <c r="M44" i="73"/>
  <c r="AB43" i="73"/>
  <c r="AA43" i="73"/>
  <c r="Q43" i="73"/>
  <c r="P43" i="73"/>
  <c r="O43" i="73"/>
  <c r="N43" i="73"/>
  <c r="M43" i="73"/>
  <c r="AB42" i="73"/>
  <c r="AA42" i="73"/>
  <c r="Q42" i="73"/>
  <c r="P42" i="73"/>
  <c r="O42" i="73"/>
  <c r="N42" i="73"/>
  <c r="M42" i="73"/>
  <c r="AB41" i="73"/>
  <c r="AA41" i="73"/>
  <c r="Q41" i="73"/>
  <c r="P41" i="73"/>
  <c r="O41" i="73"/>
  <c r="N41" i="73"/>
  <c r="R41" i="73" s="1"/>
  <c r="M41" i="73"/>
  <c r="AB40" i="73"/>
  <c r="AA40" i="73"/>
  <c r="Q40" i="73"/>
  <c r="P40" i="73"/>
  <c r="O40" i="73"/>
  <c r="N40" i="73"/>
  <c r="M40" i="73"/>
  <c r="AB39" i="73"/>
  <c r="AA39" i="73"/>
  <c r="Q39" i="73"/>
  <c r="P39" i="73"/>
  <c r="O39" i="73"/>
  <c r="N39" i="73"/>
  <c r="M39" i="73"/>
  <c r="AB38" i="73"/>
  <c r="AA38" i="73"/>
  <c r="Q38" i="73"/>
  <c r="P38" i="73"/>
  <c r="N38" i="73"/>
  <c r="J38" i="73"/>
  <c r="O38" i="73" s="1"/>
  <c r="AB37" i="73"/>
  <c r="AA37" i="73"/>
  <c r="Q37" i="73"/>
  <c r="P37" i="73"/>
  <c r="O37" i="73"/>
  <c r="N37" i="73"/>
  <c r="M37" i="73"/>
  <c r="AB36" i="73"/>
  <c r="AA36" i="73"/>
  <c r="Q36" i="73"/>
  <c r="P36" i="73"/>
  <c r="O36" i="73"/>
  <c r="N36" i="73"/>
  <c r="M36" i="73"/>
  <c r="AB35" i="73"/>
  <c r="AA35" i="73"/>
  <c r="Q35" i="73"/>
  <c r="P35" i="73"/>
  <c r="O35" i="73"/>
  <c r="N35" i="73"/>
  <c r="M35" i="73"/>
  <c r="AB34" i="73"/>
  <c r="AA34" i="73"/>
  <c r="Q34" i="73"/>
  <c r="P34" i="73"/>
  <c r="O34" i="73"/>
  <c r="N34" i="73"/>
  <c r="R34" i="73" s="1"/>
  <c r="M34" i="73"/>
  <c r="AB33" i="73"/>
  <c r="AA33" i="73"/>
  <c r="Q33" i="73"/>
  <c r="P33" i="73"/>
  <c r="O33" i="73"/>
  <c r="N33" i="73"/>
  <c r="M33" i="73"/>
  <c r="AB32" i="73"/>
  <c r="AA32" i="73"/>
  <c r="Q32" i="73"/>
  <c r="P32" i="73"/>
  <c r="O32" i="73"/>
  <c r="N32" i="73"/>
  <c r="M32" i="73"/>
  <c r="AB31" i="73"/>
  <c r="AA31" i="73"/>
  <c r="Q31" i="73"/>
  <c r="P31" i="73"/>
  <c r="O31" i="73"/>
  <c r="N31" i="73"/>
  <c r="M31" i="73"/>
  <c r="AB30" i="73"/>
  <c r="AA30" i="73"/>
  <c r="Q30" i="73"/>
  <c r="P30" i="73"/>
  <c r="O30" i="73"/>
  <c r="N30" i="73"/>
  <c r="M30" i="73"/>
  <c r="AB29" i="73"/>
  <c r="AA29" i="73"/>
  <c r="Q29" i="73"/>
  <c r="P29" i="73"/>
  <c r="O29" i="73"/>
  <c r="N29" i="73"/>
  <c r="M29" i="73"/>
  <c r="AB28" i="73"/>
  <c r="AA28" i="73"/>
  <c r="Q28" i="73"/>
  <c r="P28" i="73"/>
  <c r="O28" i="73"/>
  <c r="N28" i="73"/>
  <c r="M28" i="73"/>
  <c r="AB27" i="73"/>
  <c r="AA27" i="73"/>
  <c r="Q27" i="73"/>
  <c r="P27" i="73"/>
  <c r="O27" i="73"/>
  <c r="N27" i="73"/>
  <c r="M27" i="73"/>
  <c r="AB26" i="73"/>
  <c r="AA26" i="73"/>
  <c r="Q26" i="73"/>
  <c r="P26" i="73"/>
  <c r="O26" i="73"/>
  <c r="N26" i="73"/>
  <c r="R26" i="73" s="1"/>
  <c r="M26" i="73"/>
  <c r="AB25" i="73"/>
  <c r="AA25" i="73"/>
  <c r="Q25" i="73"/>
  <c r="P25" i="73"/>
  <c r="O25" i="73"/>
  <c r="N25" i="73"/>
  <c r="M25" i="73"/>
  <c r="AB24" i="73"/>
  <c r="AA24" i="73"/>
  <c r="Q24" i="73"/>
  <c r="P24" i="73"/>
  <c r="O24" i="73"/>
  <c r="N24" i="73"/>
  <c r="M24" i="73"/>
  <c r="AB23" i="73"/>
  <c r="AA23" i="73"/>
  <c r="Q23" i="73"/>
  <c r="P23" i="73"/>
  <c r="O23" i="73"/>
  <c r="N23" i="73"/>
  <c r="R23" i="73" s="1"/>
  <c r="M23" i="73"/>
  <c r="AB22" i="73"/>
  <c r="AA22" i="73"/>
  <c r="Q22" i="73"/>
  <c r="P22" i="73"/>
  <c r="O22" i="73"/>
  <c r="N22" i="73"/>
  <c r="M22" i="73"/>
  <c r="AB21" i="73"/>
  <c r="AA21" i="73"/>
  <c r="Q21" i="73"/>
  <c r="P21" i="73"/>
  <c r="O21" i="73"/>
  <c r="N21" i="73"/>
  <c r="M21" i="73"/>
  <c r="AB20" i="73"/>
  <c r="AA20" i="73"/>
  <c r="Q20" i="73"/>
  <c r="P20" i="73"/>
  <c r="O20" i="73"/>
  <c r="N20" i="73"/>
  <c r="M20" i="73"/>
  <c r="AB19" i="73"/>
  <c r="AA19" i="73"/>
  <c r="Q19" i="73"/>
  <c r="P19" i="73"/>
  <c r="O19" i="73"/>
  <c r="N19" i="73"/>
  <c r="M19" i="73"/>
  <c r="AB18" i="73"/>
  <c r="AA18" i="73"/>
  <c r="Q18" i="73"/>
  <c r="P18" i="73"/>
  <c r="O18" i="73"/>
  <c r="N18" i="73"/>
  <c r="R18" i="73" s="1"/>
  <c r="M18" i="73"/>
  <c r="AB17" i="73"/>
  <c r="AA17" i="73"/>
  <c r="Q17" i="73"/>
  <c r="P17" i="73"/>
  <c r="O17" i="73"/>
  <c r="N17" i="73"/>
  <c r="M17" i="73"/>
  <c r="AB16" i="73"/>
  <c r="AA16" i="73"/>
  <c r="Q16" i="73"/>
  <c r="P16" i="73"/>
  <c r="O16" i="73"/>
  <c r="N16" i="73"/>
  <c r="M16" i="73"/>
  <c r="AB15" i="73"/>
  <c r="AA15" i="73"/>
  <c r="Q15" i="73"/>
  <c r="P15" i="73"/>
  <c r="O15" i="73"/>
  <c r="N15" i="73"/>
  <c r="R15" i="73" s="1"/>
  <c r="M15" i="73"/>
  <c r="AB14" i="73"/>
  <c r="AA14" i="73"/>
  <c r="Q14" i="73"/>
  <c r="P14" i="73"/>
  <c r="O14" i="73"/>
  <c r="N14" i="73"/>
  <c r="M14" i="73"/>
  <c r="AB13" i="73"/>
  <c r="AA13" i="73"/>
  <c r="Q13" i="73"/>
  <c r="P13" i="73"/>
  <c r="O13" i="73"/>
  <c r="N13" i="73"/>
  <c r="M13" i="73"/>
  <c r="AB12" i="73"/>
  <c r="AA12" i="73"/>
  <c r="Q12" i="73"/>
  <c r="P12" i="73"/>
  <c r="O12" i="73"/>
  <c r="N12" i="73"/>
  <c r="M12" i="73"/>
  <c r="AB11" i="73"/>
  <c r="AA11" i="73"/>
  <c r="Q11" i="73"/>
  <c r="P11" i="73"/>
  <c r="O11" i="73"/>
  <c r="N11" i="73"/>
  <c r="M11" i="73"/>
  <c r="AB10" i="73"/>
  <c r="AA10" i="73"/>
  <c r="Q10" i="73"/>
  <c r="P10" i="73"/>
  <c r="O10" i="73"/>
  <c r="N10" i="73"/>
  <c r="R10" i="73" s="1"/>
  <c r="M10" i="73"/>
  <c r="AB9" i="73"/>
  <c r="AA9" i="73"/>
  <c r="Q9" i="73"/>
  <c r="P9" i="73"/>
  <c r="O9" i="73"/>
  <c r="N9" i="73"/>
  <c r="M9" i="73"/>
  <c r="AB8" i="73"/>
  <c r="AA8" i="73"/>
  <c r="Q8" i="73"/>
  <c r="P8" i="73"/>
  <c r="O8" i="73"/>
  <c r="N8" i="73"/>
  <c r="M8" i="73"/>
  <c r="AB7" i="73"/>
  <c r="AA7" i="73"/>
  <c r="Q7" i="73"/>
  <c r="P7" i="73"/>
  <c r="O7" i="73"/>
  <c r="N7" i="73"/>
  <c r="R7" i="73" s="1"/>
  <c r="M7" i="73"/>
  <c r="AB6" i="73"/>
  <c r="AA6" i="73"/>
  <c r="Q6" i="73"/>
  <c r="P6" i="73"/>
  <c r="O6" i="73"/>
  <c r="N6" i="73"/>
  <c r="M6" i="73"/>
  <c r="AN5" i="73"/>
  <c r="AM5" i="73"/>
  <c r="AL5" i="73"/>
  <c r="AK5" i="73"/>
  <c r="AJ5" i="73"/>
  <c r="AI5" i="73"/>
  <c r="AH5" i="73"/>
  <c r="AG5" i="73"/>
  <c r="AF5" i="73"/>
  <c r="AE5" i="73"/>
  <c r="AD5" i="73"/>
  <c r="AC5" i="73"/>
  <c r="AB5" i="73"/>
  <c r="AA5" i="73"/>
  <c r="Z5" i="73"/>
  <c r="Y5" i="73"/>
  <c r="X5" i="73"/>
  <c r="V5" i="73"/>
  <c r="U5" i="73"/>
  <c r="T5" i="73"/>
  <c r="S5" i="73"/>
  <c r="R5" i="73"/>
  <c r="Q5" i="73"/>
  <c r="P5" i="73"/>
  <c r="O5" i="73"/>
  <c r="N5" i="73"/>
  <c r="L5" i="73"/>
  <c r="K5" i="73"/>
  <c r="J5" i="73"/>
  <c r="I5" i="73"/>
  <c r="H5" i="73"/>
  <c r="G5" i="73"/>
  <c r="F5" i="73"/>
  <c r="E5" i="73"/>
  <c r="D5" i="73"/>
  <c r="C5" i="73"/>
  <c r="B5" i="73"/>
  <c r="A5" i="73"/>
  <c r="AB4" i="73"/>
  <c r="AA4" i="73"/>
  <c r="AB3" i="73"/>
  <c r="AA3" i="73"/>
  <c r="R40" i="73" l="1"/>
  <c r="R48" i="73"/>
  <c r="R56" i="73"/>
  <c r="R65" i="73"/>
  <c r="R73" i="73"/>
  <c r="R81" i="73"/>
  <c r="R89" i="73"/>
  <c r="R167" i="73"/>
  <c r="R175" i="73"/>
  <c r="R184" i="73"/>
  <c r="R240" i="73"/>
  <c r="R241" i="73"/>
  <c r="R253" i="73"/>
  <c r="R261" i="73"/>
  <c r="R269" i="73"/>
  <c r="R279" i="73"/>
  <c r="R287" i="73"/>
  <c r="R300" i="73"/>
  <c r="R8" i="73"/>
  <c r="R16" i="73"/>
  <c r="R24" i="73"/>
  <c r="R32" i="73"/>
  <c r="R190" i="73"/>
  <c r="R429" i="73"/>
  <c r="R31" i="73"/>
  <c r="M95" i="73"/>
  <c r="R153" i="73"/>
  <c r="R165" i="73"/>
  <c r="R173" i="73"/>
  <c r="R182" i="73"/>
  <c r="R234" i="73"/>
  <c r="R251" i="73"/>
  <c r="R259" i="73"/>
  <c r="R267" i="73"/>
  <c r="R277" i="73"/>
  <c r="R285" i="73"/>
  <c r="R298" i="73"/>
  <c r="R306" i="73"/>
  <c r="R329" i="73"/>
  <c r="R337" i="73"/>
  <c r="R357" i="73"/>
  <c r="R365" i="73"/>
  <c r="R373" i="73"/>
  <c r="R381" i="73"/>
  <c r="R389" i="73"/>
  <c r="R406" i="73"/>
  <c r="R164" i="73"/>
  <c r="R181" i="73"/>
  <c r="R224" i="73"/>
  <c r="R232" i="73"/>
  <c r="R297" i="73"/>
  <c r="R305" i="73"/>
  <c r="R313" i="73"/>
  <c r="R321" i="73"/>
  <c r="R328" i="73"/>
  <c r="R336" i="73"/>
  <c r="R347" i="73"/>
  <c r="R356" i="73"/>
  <c r="R364" i="73"/>
  <c r="R372" i="73"/>
  <c r="R380" i="73"/>
  <c r="R388" i="73"/>
  <c r="R156" i="73"/>
  <c r="R249" i="73"/>
  <c r="R257" i="73"/>
  <c r="R265" i="73"/>
  <c r="R273" i="73"/>
  <c r="R275" i="73"/>
  <c r="R283" i="73"/>
  <c r="R291" i="73"/>
  <c r="R355" i="73"/>
  <c r="R43" i="73"/>
  <c r="R51" i="73"/>
  <c r="R59" i="73"/>
  <c r="R68" i="73"/>
  <c r="R76" i="73"/>
  <c r="R84" i="73"/>
  <c r="R92" i="73"/>
  <c r="R122" i="73"/>
  <c r="R133" i="73"/>
  <c r="R141" i="73"/>
  <c r="R149" i="73"/>
  <c r="R203" i="73"/>
  <c r="R207" i="73"/>
  <c r="M113" i="73"/>
  <c r="R132" i="73"/>
  <c r="R140" i="73"/>
  <c r="R148" i="73"/>
  <c r="R212" i="73"/>
  <c r="R213" i="73"/>
  <c r="R214" i="73"/>
  <c r="R331" i="73"/>
  <c r="R339" i="73"/>
  <c r="R359" i="73"/>
  <c r="R367" i="73"/>
  <c r="R375" i="73"/>
  <c r="R383" i="73"/>
  <c r="R391" i="73"/>
  <c r="R400" i="73"/>
  <c r="R408" i="73"/>
  <c r="R415" i="73"/>
  <c r="R423" i="73"/>
  <c r="R431" i="73"/>
  <c r="R451" i="73"/>
  <c r="R459" i="73"/>
  <c r="R9" i="73"/>
  <c r="R17" i="73"/>
  <c r="R25" i="73"/>
  <c r="R33" i="73"/>
  <c r="R42" i="73"/>
  <c r="R50" i="73"/>
  <c r="R58" i="73"/>
  <c r="R67" i="73"/>
  <c r="R75" i="73"/>
  <c r="R83" i="73"/>
  <c r="R91" i="73"/>
  <c r="R99" i="73"/>
  <c r="M107" i="73"/>
  <c r="R134" i="73"/>
  <c r="R142" i="73"/>
  <c r="R150" i="73"/>
  <c r="R154" i="73"/>
  <c r="R166" i="73"/>
  <c r="R183" i="73"/>
  <c r="R192" i="73"/>
  <c r="R194" i="73"/>
  <c r="R211" i="73"/>
  <c r="R226" i="73"/>
  <c r="R235" i="73"/>
  <c r="R236" i="73"/>
  <c r="R237" i="73"/>
  <c r="R239" i="73"/>
  <c r="R299" i="73"/>
  <c r="R307" i="73"/>
  <c r="R315" i="73"/>
  <c r="R330" i="73"/>
  <c r="R338" i="73"/>
  <c r="R349" i="73"/>
  <c r="R358" i="73"/>
  <c r="R366" i="73"/>
  <c r="R374" i="73"/>
  <c r="R382" i="73"/>
  <c r="R390" i="73"/>
  <c r="R414" i="73"/>
  <c r="R6" i="73"/>
  <c r="R14" i="73"/>
  <c r="R22" i="73"/>
  <c r="R30" i="73"/>
  <c r="M38" i="73"/>
  <c r="R39" i="73"/>
  <c r="R47" i="73"/>
  <c r="R55" i="73"/>
  <c r="R64" i="73"/>
  <c r="R72" i="73"/>
  <c r="R80" i="73"/>
  <c r="R88" i="73"/>
  <c r="M103" i="73"/>
  <c r="M111" i="73"/>
  <c r="R120" i="73"/>
  <c r="R131" i="73"/>
  <c r="R139" i="73"/>
  <c r="R147" i="73"/>
  <c r="R157" i="73"/>
  <c r="R163" i="73"/>
  <c r="R171" i="73"/>
  <c r="R179" i="73"/>
  <c r="R180" i="73"/>
  <c r="R188" i="73"/>
  <c r="R296" i="73"/>
  <c r="R304" i="73"/>
  <c r="R312" i="73"/>
  <c r="R327" i="73"/>
  <c r="R335" i="73"/>
  <c r="R363" i="73"/>
  <c r="R371" i="73"/>
  <c r="R379" i="73"/>
  <c r="R387" i="73"/>
  <c r="R396" i="73"/>
  <c r="R404" i="73"/>
  <c r="R412" i="73"/>
  <c r="R419" i="73"/>
  <c r="R427" i="73"/>
  <c r="R435" i="73"/>
  <c r="R455" i="73"/>
  <c r="R463" i="73"/>
  <c r="R13" i="73"/>
  <c r="R21" i="73"/>
  <c r="R29" i="73"/>
  <c r="R37" i="73"/>
  <c r="R38" i="73"/>
  <c r="R46" i="73"/>
  <c r="R54" i="73"/>
  <c r="R63" i="73"/>
  <c r="R71" i="73"/>
  <c r="R79" i="73"/>
  <c r="R87" i="73"/>
  <c r="O97" i="73"/>
  <c r="R97" i="73" s="1"/>
  <c r="P104" i="73"/>
  <c r="R104" i="73" s="1"/>
  <c r="P112" i="73"/>
  <c r="R112" i="73" s="1"/>
  <c r="R130" i="73"/>
  <c r="R138" i="73"/>
  <c r="R146" i="73"/>
  <c r="R158" i="73"/>
  <c r="R160" i="73"/>
  <c r="R162" i="73"/>
  <c r="R187" i="73"/>
  <c r="O189" i="73"/>
  <c r="R189" i="73" s="1"/>
  <c r="R216" i="73"/>
  <c r="R222" i="73"/>
  <c r="R230" i="73"/>
  <c r="R295" i="73"/>
  <c r="R303" i="73"/>
  <c r="R311" i="73"/>
  <c r="R319" i="73"/>
  <c r="R326" i="73"/>
  <c r="R334" i="73"/>
  <c r="R345" i="73"/>
  <c r="R353" i="73"/>
  <c r="R354" i="73"/>
  <c r="R362" i="73"/>
  <c r="R370" i="73"/>
  <c r="R378" i="73"/>
  <c r="R386" i="73"/>
  <c r="M418" i="73"/>
  <c r="R12" i="73"/>
  <c r="R20" i="73"/>
  <c r="R28" i="73"/>
  <c r="R36" i="73"/>
  <c r="R45" i="73"/>
  <c r="R53" i="73"/>
  <c r="R62" i="73"/>
  <c r="R70" i="73"/>
  <c r="R78" i="73"/>
  <c r="R86" i="73"/>
  <c r="R94" i="73"/>
  <c r="R116" i="73"/>
  <c r="R118" i="73"/>
  <c r="R127" i="73"/>
  <c r="R129" i="73"/>
  <c r="R137" i="73"/>
  <c r="R145" i="73"/>
  <c r="R159" i="73"/>
  <c r="R161" i="73"/>
  <c r="R169" i="73"/>
  <c r="R177" i="73"/>
  <c r="R186" i="73"/>
  <c r="R206" i="73"/>
  <c r="R209" i="73"/>
  <c r="R217" i="73"/>
  <c r="R243" i="73"/>
  <c r="R244" i="73"/>
  <c r="R246" i="73"/>
  <c r="R247" i="73"/>
  <c r="R255" i="73"/>
  <c r="R263" i="73"/>
  <c r="R271" i="73"/>
  <c r="R281" i="73"/>
  <c r="R289" i="73"/>
  <c r="R292" i="73"/>
  <c r="R294" i="73"/>
  <c r="R302" i="73"/>
  <c r="R310" i="73"/>
  <c r="R325" i="73"/>
  <c r="R333" i="73"/>
  <c r="R361" i="73"/>
  <c r="R369" i="73"/>
  <c r="R377" i="73"/>
  <c r="R385" i="73"/>
  <c r="R394" i="73"/>
  <c r="R410" i="73"/>
  <c r="R417" i="73"/>
  <c r="R425" i="73"/>
  <c r="R433" i="73"/>
  <c r="R453" i="73"/>
  <c r="R461" i="73"/>
  <c r="R11" i="73"/>
  <c r="R19" i="73"/>
  <c r="R27" i="73"/>
  <c r="R35" i="73"/>
  <c r="R44" i="73"/>
  <c r="R52" i="73"/>
  <c r="R60" i="73"/>
  <c r="R61" i="73"/>
  <c r="R69" i="73"/>
  <c r="R77" i="73"/>
  <c r="R85" i="73"/>
  <c r="R93" i="73"/>
  <c r="M101" i="73"/>
  <c r="M109" i="73"/>
  <c r="M115" i="73"/>
  <c r="R126" i="73"/>
  <c r="R128" i="73"/>
  <c r="R136" i="73"/>
  <c r="R144" i="73"/>
  <c r="R152" i="73"/>
  <c r="R168" i="73"/>
  <c r="R185" i="73"/>
  <c r="R208" i="73"/>
  <c r="R218" i="73"/>
  <c r="R220" i="73"/>
  <c r="R228" i="73"/>
  <c r="R293" i="73"/>
  <c r="R301" i="73"/>
  <c r="R309" i="73"/>
  <c r="R317" i="73"/>
  <c r="R324" i="73"/>
  <c r="R332" i="73"/>
  <c r="R340" i="73"/>
  <c r="R341" i="73"/>
  <c r="R343" i="73"/>
  <c r="R351" i="73"/>
  <c r="R360" i="73"/>
  <c r="R368" i="73"/>
  <c r="R376" i="73"/>
  <c r="R384" i="73"/>
  <c r="R392" i="73"/>
  <c r="R416" i="73"/>
  <c r="R95" i="73"/>
  <c r="O96" i="73"/>
  <c r="R96" i="73" s="1"/>
  <c r="M96" i="73"/>
  <c r="R101" i="73"/>
  <c r="P102" i="73"/>
  <c r="R102" i="73" s="1"/>
  <c r="R105" i="73"/>
  <c r="P106" i="73"/>
  <c r="R106" i="73" s="1"/>
  <c r="R109" i="73"/>
  <c r="P110" i="73"/>
  <c r="R110" i="73" s="1"/>
  <c r="R113" i="73"/>
  <c r="P114" i="73"/>
  <c r="R114" i="73" s="1"/>
  <c r="R117" i="73"/>
  <c r="R119" i="73"/>
  <c r="R121" i="73"/>
  <c r="R123" i="73"/>
  <c r="O98" i="73"/>
  <c r="R98" i="73" s="1"/>
  <c r="M98" i="73"/>
  <c r="R103" i="73"/>
  <c r="R107" i="73"/>
  <c r="R111" i="73"/>
  <c r="R115" i="73"/>
  <c r="M413" i="73"/>
  <c r="P413" i="73"/>
  <c r="R413" i="73" s="1"/>
  <c r="R418" i="73"/>
  <c r="R170" i="73"/>
  <c r="R172" i="73"/>
  <c r="R174" i="73"/>
  <c r="R176" i="73"/>
  <c r="R178" i="73"/>
  <c r="R191" i="73"/>
  <c r="R193" i="73"/>
  <c r="R197" i="73"/>
  <c r="R198" i="73"/>
  <c r="R201" i="73"/>
  <c r="R202" i="73"/>
  <c r="R204" i="73"/>
  <c r="R205" i="73"/>
  <c r="R210" i="73"/>
  <c r="R219" i="73"/>
  <c r="R221" i="73"/>
  <c r="R223" i="73"/>
  <c r="R225" i="73"/>
  <c r="R227" i="73"/>
  <c r="R229" i="73"/>
  <c r="R231" i="73"/>
  <c r="R233" i="73"/>
  <c r="R238" i="73"/>
  <c r="R242" i="73"/>
  <c r="R245" i="73"/>
  <c r="R248" i="73"/>
  <c r="R250" i="73"/>
  <c r="R252" i="73"/>
  <c r="R254" i="73"/>
  <c r="R256" i="73"/>
  <c r="R258" i="73"/>
  <c r="R260" i="73"/>
  <c r="R262" i="73"/>
  <c r="R264" i="73"/>
  <c r="R266" i="73"/>
  <c r="R268" i="73"/>
  <c r="R270" i="73"/>
  <c r="R272" i="73"/>
  <c r="R274" i="73"/>
  <c r="R276" i="73"/>
  <c r="R278" i="73"/>
  <c r="R280" i="73"/>
  <c r="R282" i="73"/>
  <c r="R284" i="73"/>
  <c r="R286" i="73"/>
  <c r="R288" i="73"/>
  <c r="R290" i="73"/>
  <c r="R314" i="73"/>
  <c r="R316" i="73"/>
  <c r="R318" i="73"/>
  <c r="R320" i="73"/>
  <c r="R322" i="73"/>
  <c r="O323" i="73"/>
  <c r="R323" i="73" s="1"/>
  <c r="M323" i="73"/>
  <c r="R342" i="73"/>
  <c r="R344" i="73"/>
  <c r="R346" i="73"/>
  <c r="R348" i="73"/>
  <c r="R350" i="73"/>
  <c r="R352" i="73"/>
  <c r="R393" i="73"/>
  <c r="R395" i="73"/>
  <c r="R397" i="73"/>
  <c r="R399" i="73"/>
  <c r="R401" i="73"/>
  <c r="R403" i="73"/>
  <c r="R405" i="73"/>
  <c r="R407" i="73"/>
  <c r="R409" i="73"/>
  <c r="R411" i="73"/>
  <c r="R420" i="73"/>
  <c r="R422" i="73"/>
  <c r="R424" i="73"/>
  <c r="R426" i="73"/>
  <c r="R428" i="73"/>
  <c r="R430" i="73"/>
  <c r="R432" i="73"/>
  <c r="R434" i="73"/>
  <c r="R436" i="73"/>
  <c r="R438" i="73"/>
  <c r="R450" i="73"/>
  <c r="R452" i="73"/>
  <c r="R454" i="73"/>
  <c r="R456" i="73"/>
  <c r="R458" i="73"/>
  <c r="R460" i="73"/>
  <c r="R462" i="73"/>
  <c r="R464" i="73"/>
  <c r="E38" i="72" l="1"/>
  <c r="E39" i="72"/>
  <c r="O118" i="69"/>
  <c r="O119" i="69"/>
  <c r="AB462" i="69"/>
  <c r="AA462" i="69"/>
  <c r="Q462" i="69"/>
  <c r="P462" i="69"/>
  <c r="O462" i="69"/>
  <c r="N462" i="69"/>
  <c r="M462" i="69"/>
  <c r="AB461" i="69"/>
  <c r="AA461" i="69"/>
  <c r="Q461" i="69"/>
  <c r="P461" i="69"/>
  <c r="O461" i="69"/>
  <c r="N461" i="69"/>
  <c r="M461" i="69"/>
  <c r="AB460" i="69"/>
  <c r="AA460" i="69"/>
  <c r="Q460" i="69"/>
  <c r="P460" i="69"/>
  <c r="O460" i="69"/>
  <c r="N460" i="69"/>
  <c r="M460" i="69"/>
  <c r="AB459" i="69"/>
  <c r="AA459" i="69"/>
  <c r="Q459" i="69"/>
  <c r="P459" i="69"/>
  <c r="O459" i="69"/>
  <c r="N459" i="69"/>
  <c r="M459" i="69"/>
  <c r="AB458" i="69"/>
  <c r="AA458" i="69"/>
  <c r="Q458" i="69"/>
  <c r="P458" i="69"/>
  <c r="O458" i="69"/>
  <c r="N458" i="69"/>
  <c r="M458" i="69"/>
  <c r="AB457" i="69"/>
  <c r="AA457" i="69"/>
  <c r="Q457" i="69"/>
  <c r="P457" i="69"/>
  <c r="O457" i="69"/>
  <c r="N457" i="69"/>
  <c r="M457" i="69"/>
  <c r="AB456" i="69"/>
  <c r="AA456" i="69"/>
  <c r="Q456" i="69"/>
  <c r="P456" i="69"/>
  <c r="O456" i="69"/>
  <c r="N456" i="69"/>
  <c r="M456" i="69"/>
  <c r="AB455" i="69"/>
  <c r="AA455" i="69"/>
  <c r="Q455" i="69"/>
  <c r="P455" i="69"/>
  <c r="O455" i="69"/>
  <c r="N455" i="69"/>
  <c r="M455" i="69"/>
  <c r="AB454" i="69"/>
  <c r="AA454" i="69"/>
  <c r="Q454" i="69"/>
  <c r="P454" i="69"/>
  <c r="O454" i="69"/>
  <c r="N454" i="69"/>
  <c r="M454" i="69"/>
  <c r="AB453" i="69"/>
  <c r="AA453" i="69"/>
  <c r="Q453" i="69"/>
  <c r="P453" i="69"/>
  <c r="O453" i="69"/>
  <c r="N453" i="69"/>
  <c r="M453" i="69"/>
  <c r="AB452" i="69"/>
  <c r="AA452" i="69"/>
  <c r="Q452" i="69"/>
  <c r="P452" i="69"/>
  <c r="O452" i="69"/>
  <c r="N452" i="69"/>
  <c r="M452" i="69"/>
  <c r="AB451" i="69"/>
  <c r="AA451" i="69"/>
  <c r="Q451" i="69"/>
  <c r="P451" i="69"/>
  <c r="O451" i="69"/>
  <c r="N451" i="69"/>
  <c r="M451" i="69"/>
  <c r="AB450" i="69"/>
  <c r="AA450" i="69"/>
  <c r="Q450" i="69"/>
  <c r="P450" i="69"/>
  <c r="O450" i="69"/>
  <c r="N450" i="69"/>
  <c r="M450" i="69"/>
  <c r="AB449" i="69"/>
  <c r="AA449" i="69"/>
  <c r="Q449" i="69"/>
  <c r="P449" i="69"/>
  <c r="O449" i="69"/>
  <c r="N449" i="69"/>
  <c r="M449" i="69"/>
  <c r="AB448" i="69"/>
  <c r="AA448" i="69"/>
  <c r="Q448" i="69"/>
  <c r="P448" i="69"/>
  <c r="O448" i="69"/>
  <c r="N448" i="69"/>
  <c r="M448" i="69"/>
  <c r="AB447" i="69"/>
  <c r="AA447" i="69"/>
  <c r="Q447" i="69"/>
  <c r="P447" i="69"/>
  <c r="O447" i="69"/>
  <c r="N447" i="69"/>
  <c r="M447" i="69"/>
  <c r="M446" i="69"/>
  <c r="M445" i="69"/>
  <c r="M444" i="69"/>
  <c r="M443" i="69"/>
  <c r="M442" i="69"/>
  <c r="M441" i="69"/>
  <c r="M440" i="69"/>
  <c r="M439" i="69"/>
  <c r="M438" i="69"/>
  <c r="M437" i="69"/>
  <c r="AB436" i="69"/>
  <c r="AA436" i="69"/>
  <c r="Q436" i="69"/>
  <c r="P436" i="69"/>
  <c r="O436" i="69"/>
  <c r="N436" i="69"/>
  <c r="M436" i="69"/>
  <c r="AB435" i="69"/>
  <c r="AA435" i="69"/>
  <c r="Q435" i="69"/>
  <c r="P435" i="69"/>
  <c r="O435" i="69"/>
  <c r="N435" i="69"/>
  <c r="M435" i="69"/>
  <c r="AB434" i="69"/>
  <c r="AA434" i="69"/>
  <c r="Q434" i="69"/>
  <c r="P434" i="69"/>
  <c r="O434" i="69"/>
  <c r="N434" i="69"/>
  <c r="M434" i="69"/>
  <c r="AB433" i="69"/>
  <c r="AA433" i="69"/>
  <c r="Q433" i="69"/>
  <c r="P433" i="69"/>
  <c r="O433" i="69"/>
  <c r="N433" i="69"/>
  <c r="M433" i="69"/>
  <c r="AB432" i="69"/>
  <c r="AA432" i="69"/>
  <c r="Q432" i="69"/>
  <c r="P432" i="69"/>
  <c r="O432" i="69"/>
  <c r="N432" i="69"/>
  <c r="M432" i="69"/>
  <c r="AB431" i="69"/>
  <c r="AA431" i="69"/>
  <c r="Q431" i="69"/>
  <c r="P431" i="69"/>
  <c r="O431" i="69"/>
  <c r="N431" i="69"/>
  <c r="M431" i="69"/>
  <c r="AB430" i="69"/>
  <c r="AA430" i="69"/>
  <c r="Q430" i="69"/>
  <c r="P430" i="69"/>
  <c r="O430" i="69"/>
  <c r="N430" i="69"/>
  <c r="M430" i="69"/>
  <c r="AB429" i="69"/>
  <c r="AA429" i="69"/>
  <c r="Q429" i="69"/>
  <c r="P429" i="69"/>
  <c r="O429" i="69"/>
  <c r="N429" i="69"/>
  <c r="M429" i="69"/>
  <c r="AB428" i="69"/>
  <c r="AA428" i="69"/>
  <c r="Q428" i="69"/>
  <c r="P428" i="69"/>
  <c r="O428" i="69"/>
  <c r="N428" i="69"/>
  <c r="M428" i="69"/>
  <c r="AB427" i="69"/>
  <c r="AA427" i="69"/>
  <c r="Q427" i="69"/>
  <c r="P427" i="69"/>
  <c r="O427" i="69"/>
  <c r="N427" i="69"/>
  <c r="M427" i="69"/>
  <c r="AB426" i="69"/>
  <c r="AA426" i="69"/>
  <c r="Q426" i="69"/>
  <c r="P426" i="69"/>
  <c r="O426" i="69"/>
  <c r="N426" i="69"/>
  <c r="M426" i="69"/>
  <c r="AB425" i="69"/>
  <c r="AA425" i="69"/>
  <c r="Q425" i="69"/>
  <c r="P425" i="69"/>
  <c r="O425" i="69"/>
  <c r="N425" i="69"/>
  <c r="M425" i="69"/>
  <c r="AB424" i="69"/>
  <c r="AA424" i="69"/>
  <c r="Q424" i="69"/>
  <c r="P424" i="69"/>
  <c r="O424" i="69"/>
  <c r="N424" i="69"/>
  <c r="M424" i="69"/>
  <c r="AB423" i="69"/>
  <c r="AA423" i="69"/>
  <c r="Q423" i="69"/>
  <c r="P423" i="69"/>
  <c r="O423" i="69"/>
  <c r="N423" i="69"/>
  <c r="M423" i="69"/>
  <c r="AB422" i="69"/>
  <c r="AA422" i="69"/>
  <c r="Q422" i="69"/>
  <c r="P422" i="69"/>
  <c r="O422" i="69"/>
  <c r="N422" i="69"/>
  <c r="M422" i="69"/>
  <c r="AB421" i="69"/>
  <c r="AA421" i="69"/>
  <c r="Q421" i="69"/>
  <c r="P421" i="69"/>
  <c r="O421" i="69"/>
  <c r="N421" i="69"/>
  <c r="M421" i="69"/>
  <c r="AB420" i="69"/>
  <c r="AA420" i="69"/>
  <c r="Q420" i="69"/>
  <c r="P420" i="69"/>
  <c r="O420" i="69"/>
  <c r="N420" i="69"/>
  <c r="M420" i="69"/>
  <c r="AB419" i="69"/>
  <c r="AA419" i="69"/>
  <c r="Q419" i="69"/>
  <c r="P419" i="69"/>
  <c r="O419" i="69"/>
  <c r="N419" i="69"/>
  <c r="M419" i="69"/>
  <c r="AB418" i="69"/>
  <c r="AA418" i="69"/>
  <c r="Q418" i="69"/>
  <c r="P418" i="69"/>
  <c r="O418" i="69"/>
  <c r="N418" i="69"/>
  <c r="M418" i="69"/>
  <c r="AB417" i="69"/>
  <c r="AA417" i="69"/>
  <c r="Q417" i="69"/>
  <c r="P417" i="69"/>
  <c r="O417" i="69"/>
  <c r="N417" i="69"/>
  <c r="M417" i="69"/>
  <c r="AB416" i="69"/>
  <c r="AA416" i="69"/>
  <c r="Q416" i="69"/>
  <c r="O416" i="69"/>
  <c r="N416" i="69"/>
  <c r="K416" i="69"/>
  <c r="P416" i="69" s="1"/>
  <c r="AB415" i="69"/>
  <c r="AA415" i="69"/>
  <c r="Q415" i="69"/>
  <c r="P415" i="69"/>
  <c r="O415" i="69"/>
  <c r="N415" i="69"/>
  <c r="M415" i="69"/>
  <c r="AB414" i="69"/>
  <c r="AA414" i="69"/>
  <c r="Q414" i="69"/>
  <c r="P414" i="69"/>
  <c r="O414" i="69"/>
  <c r="N414" i="69"/>
  <c r="M414" i="69"/>
  <c r="AB413" i="69"/>
  <c r="AA413" i="69"/>
  <c r="Q413" i="69"/>
  <c r="P413" i="69"/>
  <c r="O413" i="69"/>
  <c r="N413" i="69"/>
  <c r="M413" i="69"/>
  <c r="AB412" i="69"/>
  <c r="AA412" i="69"/>
  <c r="Q412" i="69"/>
  <c r="P412" i="69"/>
  <c r="O412" i="69"/>
  <c r="N412" i="69"/>
  <c r="M412" i="69"/>
  <c r="AB411" i="69"/>
  <c r="AA411" i="69"/>
  <c r="Q411" i="69"/>
  <c r="O411" i="69"/>
  <c r="N411" i="69"/>
  <c r="K411" i="69"/>
  <c r="M411" i="69" s="1"/>
  <c r="AB410" i="69"/>
  <c r="AA410" i="69"/>
  <c r="Q410" i="69"/>
  <c r="P410" i="69"/>
  <c r="O410" i="69"/>
  <c r="N410" i="69"/>
  <c r="M410" i="69"/>
  <c r="AB409" i="69"/>
  <c r="AA409" i="69"/>
  <c r="Q409" i="69"/>
  <c r="P409" i="69"/>
  <c r="O409" i="69"/>
  <c r="N409" i="69"/>
  <c r="M409" i="69"/>
  <c r="AB408" i="69"/>
  <c r="AA408" i="69"/>
  <c r="Q408" i="69"/>
  <c r="P408" i="69"/>
  <c r="O408" i="69"/>
  <c r="N408" i="69"/>
  <c r="M408" i="69"/>
  <c r="AB407" i="69"/>
  <c r="AA407" i="69"/>
  <c r="Q407" i="69"/>
  <c r="P407" i="69"/>
  <c r="O407" i="69"/>
  <c r="N407" i="69"/>
  <c r="M407" i="69"/>
  <c r="AB406" i="69"/>
  <c r="AA406" i="69"/>
  <c r="Q406" i="69"/>
  <c r="P406" i="69"/>
  <c r="O406" i="69"/>
  <c r="N406" i="69"/>
  <c r="M406" i="69"/>
  <c r="AB405" i="69"/>
  <c r="AA405" i="69"/>
  <c r="Q405" i="69"/>
  <c r="P405" i="69"/>
  <c r="O405" i="69"/>
  <c r="N405" i="69"/>
  <c r="M405" i="69"/>
  <c r="AB404" i="69"/>
  <c r="AA404" i="69"/>
  <c r="Q404" i="69"/>
  <c r="P404" i="69"/>
  <c r="O404" i="69"/>
  <c r="N404" i="69"/>
  <c r="M404" i="69"/>
  <c r="AB403" i="69"/>
  <c r="AA403" i="69"/>
  <c r="Q403" i="69"/>
  <c r="P403" i="69"/>
  <c r="O403" i="69"/>
  <c r="N403" i="69"/>
  <c r="M403" i="69"/>
  <c r="AB402" i="69"/>
  <c r="AA402" i="69"/>
  <c r="Q402" i="69"/>
  <c r="P402" i="69"/>
  <c r="O402" i="69"/>
  <c r="N402" i="69"/>
  <c r="M402" i="69"/>
  <c r="AB401" i="69"/>
  <c r="AA401" i="69"/>
  <c r="W401" i="69"/>
  <c r="V401" i="69"/>
  <c r="Q401" i="69"/>
  <c r="P401" i="69"/>
  <c r="O401" i="69"/>
  <c r="N401" i="69"/>
  <c r="M401" i="69"/>
  <c r="AB400" i="69"/>
  <c r="AA400" i="69"/>
  <c r="W400" i="69"/>
  <c r="V400" i="69"/>
  <c r="Q400" i="69"/>
  <c r="P400" i="69"/>
  <c r="O400" i="69"/>
  <c r="N400" i="69"/>
  <c r="M400" i="69"/>
  <c r="AB399" i="69"/>
  <c r="AA399" i="69"/>
  <c r="W399" i="69"/>
  <c r="V399" i="69"/>
  <c r="Q399" i="69"/>
  <c r="P399" i="69"/>
  <c r="O399" i="69"/>
  <c r="N399" i="69"/>
  <c r="M399" i="69"/>
  <c r="AB398" i="69"/>
  <c r="AA398" i="69"/>
  <c r="W398" i="69"/>
  <c r="V398" i="69"/>
  <c r="Q398" i="69"/>
  <c r="P398" i="69"/>
  <c r="O398" i="69"/>
  <c r="N398" i="69"/>
  <c r="M398" i="69"/>
  <c r="AB397" i="69"/>
  <c r="AA397" i="69"/>
  <c r="Q397" i="69"/>
  <c r="P397" i="69"/>
  <c r="O397" i="69"/>
  <c r="N397" i="69"/>
  <c r="M397" i="69"/>
  <c r="AB396" i="69"/>
  <c r="AA396" i="69"/>
  <c r="Q396" i="69"/>
  <c r="P396" i="69"/>
  <c r="O396" i="69"/>
  <c r="N396" i="69"/>
  <c r="M396" i="69"/>
  <c r="AB395" i="69"/>
  <c r="AA395" i="69"/>
  <c r="Q395" i="69"/>
  <c r="P395" i="69"/>
  <c r="O395" i="69"/>
  <c r="N395" i="69"/>
  <c r="M395" i="69"/>
  <c r="AB394" i="69"/>
  <c r="AA394" i="69"/>
  <c r="Q394" i="69"/>
  <c r="P394" i="69"/>
  <c r="O394" i="69"/>
  <c r="N394" i="69"/>
  <c r="M394" i="69"/>
  <c r="AB393" i="69"/>
  <c r="AA393" i="69"/>
  <c r="Q393" i="69"/>
  <c r="P393" i="69"/>
  <c r="O393" i="69"/>
  <c r="N393" i="69"/>
  <c r="M393" i="69"/>
  <c r="AB392" i="69"/>
  <c r="AA392" i="69"/>
  <c r="Q392" i="69"/>
  <c r="P392" i="69"/>
  <c r="O392" i="69"/>
  <c r="N392" i="69"/>
  <c r="M392" i="69"/>
  <c r="AB391" i="69"/>
  <c r="AA391" i="69"/>
  <c r="Q391" i="69"/>
  <c r="P391" i="69"/>
  <c r="O391" i="69"/>
  <c r="N391" i="69"/>
  <c r="M391" i="69"/>
  <c r="AB390" i="69"/>
  <c r="AA390" i="69"/>
  <c r="U390" i="69"/>
  <c r="Q390" i="69"/>
  <c r="P390" i="69"/>
  <c r="O390" i="69"/>
  <c r="N390" i="69"/>
  <c r="M390" i="69"/>
  <c r="AB389" i="69"/>
  <c r="AA389" i="69"/>
  <c r="Q389" i="69"/>
  <c r="P389" i="69"/>
  <c r="O389" i="69"/>
  <c r="N389" i="69"/>
  <c r="M389" i="69"/>
  <c r="AB388" i="69"/>
  <c r="AA388" i="69"/>
  <c r="Q388" i="69"/>
  <c r="P388" i="69"/>
  <c r="O388" i="69"/>
  <c r="N388" i="69"/>
  <c r="M388" i="69"/>
  <c r="AB387" i="69"/>
  <c r="AA387" i="69"/>
  <c r="Q387" i="69"/>
  <c r="P387" i="69"/>
  <c r="O387" i="69"/>
  <c r="N387" i="69"/>
  <c r="M387" i="69"/>
  <c r="AB386" i="69"/>
  <c r="AA386" i="69"/>
  <c r="Q386" i="69"/>
  <c r="P386" i="69"/>
  <c r="O386" i="69"/>
  <c r="N386" i="69"/>
  <c r="M386" i="69"/>
  <c r="AB385" i="69"/>
  <c r="AA385" i="69"/>
  <c r="Q385" i="69"/>
  <c r="P385" i="69"/>
  <c r="O385" i="69"/>
  <c r="N385" i="69"/>
  <c r="M385" i="69"/>
  <c r="AB384" i="69"/>
  <c r="AA384" i="69"/>
  <c r="Q384" i="69"/>
  <c r="P384" i="69"/>
  <c r="O384" i="69"/>
  <c r="N384" i="69"/>
  <c r="M384" i="69"/>
  <c r="AB383" i="69"/>
  <c r="AA383" i="69"/>
  <c r="Q383" i="69"/>
  <c r="P383" i="69"/>
  <c r="O383" i="69"/>
  <c r="N383" i="69"/>
  <c r="M383" i="69"/>
  <c r="AB382" i="69"/>
  <c r="AA382" i="69"/>
  <c r="Q382" i="69"/>
  <c r="P382" i="69"/>
  <c r="O382" i="69"/>
  <c r="N382" i="69"/>
  <c r="M382" i="69"/>
  <c r="AB381" i="69"/>
  <c r="AA381" i="69"/>
  <c r="Q381" i="69"/>
  <c r="P381" i="69"/>
  <c r="O381" i="69"/>
  <c r="N381" i="69"/>
  <c r="M381" i="69"/>
  <c r="AB380" i="69"/>
  <c r="AA380" i="69"/>
  <c r="Q380" i="69"/>
  <c r="P380" i="69"/>
  <c r="O380" i="69"/>
  <c r="N380" i="69"/>
  <c r="M380" i="69"/>
  <c r="AB379" i="69"/>
  <c r="AA379" i="69"/>
  <c r="Q379" i="69"/>
  <c r="P379" i="69"/>
  <c r="O379" i="69"/>
  <c r="N379" i="69"/>
  <c r="M379" i="69"/>
  <c r="AB378" i="69"/>
  <c r="AA378" i="69"/>
  <c r="Q378" i="69"/>
  <c r="P378" i="69"/>
  <c r="O378" i="69"/>
  <c r="N378" i="69"/>
  <c r="M378" i="69"/>
  <c r="AB377" i="69"/>
  <c r="AA377" i="69"/>
  <c r="Q377" i="69"/>
  <c r="P377" i="69"/>
  <c r="O377" i="69"/>
  <c r="N377" i="69"/>
  <c r="M377" i="69"/>
  <c r="AB376" i="69"/>
  <c r="AA376" i="69"/>
  <c r="Q376" i="69"/>
  <c r="P376" i="69"/>
  <c r="O376" i="69"/>
  <c r="N376" i="69"/>
  <c r="M376" i="69"/>
  <c r="AB375" i="69"/>
  <c r="AA375" i="69"/>
  <c r="Q375" i="69"/>
  <c r="P375" i="69"/>
  <c r="O375" i="69"/>
  <c r="N375" i="69"/>
  <c r="M375" i="69"/>
  <c r="AB374" i="69"/>
  <c r="AA374" i="69"/>
  <c r="Q374" i="69"/>
  <c r="P374" i="69"/>
  <c r="O374" i="69"/>
  <c r="N374" i="69"/>
  <c r="M374" i="69"/>
  <c r="AB373" i="69"/>
  <c r="AA373" i="69"/>
  <c r="Q373" i="69"/>
  <c r="P373" i="69"/>
  <c r="O373" i="69"/>
  <c r="N373" i="69"/>
  <c r="M373" i="69"/>
  <c r="AB372" i="69"/>
  <c r="AA372" i="69"/>
  <c r="Q372" i="69"/>
  <c r="P372" i="69"/>
  <c r="O372" i="69"/>
  <c r="N372" i="69"/>
  <c r="M372" i="69"/>
  <c r="AB371" i="69"/>
  <c r="AA371" i="69"/>
  <c r="Q371" i="69"/>
  <c r="P371" i="69"/>
  <c r="O371" i="69"/>
  <c r="N371" i="69"/>
  <c r="M371" i="69"/>
  <c r="AB370" i="69"/>
  <c r="AA370" i="69"/>
  <c r="Q370" i="69"/>
  <c r="P370" i="69"/>
  <c r="O370" i="69"/>
  <c r="N370" i="69"/>
  <c r="M370" i="69"/>
  <c r="AB369" i="69"/>
  <c r="AA369" i="69"/>
  <c r="Q369" i="69"/>
  <c r="P369" i="69"/>
  <c r="O369" i="69"/>
  <c r="N369" i="69"/>
  <c r="M369" i="69"/>
  <c r="AB368" i="69"/>
  <c r="AA368" i="69"/>
  <c r="Q368" i="69"/>
  <c r="P368" i="69"/>
  <c r="O368" i="69"/>
  <c r="N368" i="69"/>
  <c r="M368" i="69"/>
  <c r="AB367" i="69"/>
  <c r="AA367" i="69"/>
  <c r="Q367" i="69"/>
  <c r="P367" i="69"/>
  <c r="O367" i="69"/>
  <c r="N367" i="69"/>
  <c r="M367" i="69"/>
  <c r="AB366" i="69"/>
  <c r="AA366" i="69"/>
  <c r="Q366" i="69"/>
  <c r="P366" i="69"/>
  <c r="O366" i="69"/>
  <c r="N366" i="69"/>
  <c r="M366" i="69"/>
  <c r="AB365" i="69"/>
  <c r="AA365" i="69"/>
  <c r="Q365" i="69"/>
  <c r="P365" i="69"/>
  <c r="O365" i="69"/>
  <c r="N365" i="69"/>
  <c r="M365" i="69"/>
  <c r="AB364" i="69"/>
  <c r="AA364" i="69"/>
  <c r="Q364" i="69"/>
  <c r="P364" i="69"/>
  <c r="O364" i="69"/>
  <c r="N364" i="69"/>
  <c r="M364" i="69"/>
  <c r="AB363" i="69"/>
  <c r="AA363" i="69"/>
  <c r="Q363" i="69"/>
  <c r="P363" i="69"/>
  <c r="O363" i="69"/>
  <c r="N363" i="69"/>
  <c r="M363" i="69"/>
  <c r="AB362" i="69"/>
  <c r="AA362" i="69"/>
  <c r="Q362" i="69"/>
  <c r="P362" i="69"/>
  <c r="O362" i="69"/>
  <c r="N362" i="69"/>
  <c r="M362" i="69"/>
  <c r="AB361" i="69"/>
  <c r="AA361" i="69"/>
  <c r="Q361" i="69"/>
  <c r="P361" i="69"/>
  <c r="O361" i="69"/>
  <c r="N361" i="69"/>
  <c r="M361" i="69"/>
  <c r="AB360" i="69"/>
  <c r="AA360" i="69"/>
  <c r="Q360" i="69"/>
  <c r="P360" i="69"/>
  <c r="O360" i="69"/>
  <c r="N360" i="69"/>
  <c r="M360" i="69"/>
  <c r="AB359" i="69"/>
  <c r="AA359" i="69"/>
  <c r="Q359" i="69"/>
  <c r="P359" i="69"/>
  <c r="O359" i="69"/>
  <c r="N359" i="69"/>
  <c r="M359" i="69"/>
  <c r="AB358" i="69"/>
  <c r="AA358" i="69"/>
  <c r="Q358" i="69"/>
  <c r="P358" i="69"/>
  <c r="O358" i="69"/>
  <c r="N358" i="69"/>
  <c r="M358" i="69"/>
  <c r="AB357" i="69"/>
  <c r="AA357" i="69"/>
  <c r="Q357" i="69"/>
  <c r="P357" i="69"/>
  <c r="O357" i="69"/>
  <c r="N357" i="69"/>
  <c r="M357" i="69"/>
  <c r="AB356" i="69"/>
  <c r="AA356" i="69"/>
  <c r="Q356" i="69"/>
  <c r="P356" i="69"/>
  <c r="O356" i="69"/>
  <c r="N356" i="69"/>
  <c r="M356" i="69"/>
  <c r="AB355" i="69"/>
  <c r="AA355" i="69"/>
  <c r="Q355" i="69"/>
  <c r="P355" i="69"/>
  <c r="O355" i="69"/>
  <c r="N355" i="69"/>
  <c r="M355" i="69"/>
  <c r="AB354" i="69"/>
  <c r="AA354" i="69"/>
  <c r="Q354" i="69"/>
  <c r="P354" i="69"/>
  <c r="O354" i="69"/>
  <c r="N354" i="69"/>
  <c r="M354" i="69"/>
  <c r="AB353" i="69"/>
  <c r="AA353" i="69"/>
  <c r="Q353" i="69"/>
  <c r="P353" i="69"/>
  <c r="O353" i="69"/>
  <c r="N353" i="69"/>
  <c r="M353" i="69"/>
  <c r="AB352" i="69"/>
  <c r="AA352" i="69"/>
  <c r="Q352" i="69"/>
  <c r="P352" i="69"/>
  <c r="O352" i="69"/>
  <c r="N352" i="69"/>
  <c r="M352" i="69"/>
  <c r="AB351" i="69"/>
  <c r="AA351" i="69"/>
  <c r="U351" i="69"/>
  <c r="Q351" i="69"/>
  <c r="P351" i="69"/>
  <c r="O351" i="69"/>
  <c r="N351" i="69"/>
  <c r="M351" i="69"/>
  <c r="AB350" i="69"/>
  <c r="AA350" i="69"/>
  <c r="Q350" i="69"/>
  <c r="P350" i="69"/>
  <c r="O350" i="69"/>
  <c r="N350" i="69"/>
  <c r="M350" i="69"/>
  <c r="AB349" i="69"/>
  <c r="AA349" i="69"/>
  <c r="Q349" i="69"/>
  <c r="P349" i="69"/>
  <c r="O349" i="69"/>
  <c r="N349" i="69"/>
  <c r="M349" i="69"/>
  <c r="AB348" i="69"/>
  <c r="AA348" i="69"/>
  <c r="Q348" i="69"/>
  <c r="P348" i="69"/>
  <c r="O348" i="69"/>
  <c r="N348" i="69"/>
  <c r="M348" i="69"/>
  <c r="AB347" i="69"/>
  <c r="AA347" i="69"/>
  <c r="Q347" i="69"/>
  <c r="P347" i="69"/>
  <c r="O347" i="69"/>
  <c r="N347" i="69"/>
  <c r="M347" i="69"/>
  <c r="AB346" i="69"/>
  <c r="AA346" i="69"/>
  <c r="Q346" i="69"/>
  <c r="P346" i="69"/>
  <c r="O346" i="69"/>
  <c r="N346" i="69"/>
  <c r="M346" i="69"/>
  <c r="AB345" i="69"/>
  <c r="AA345" i="69"/>
  <c r="Q345" i="69"/>
  <c r="P345" i="69"/>
  <c r="O345" i="69"/>
  <c r="N345" i="69"/>
  <c r="M345" i="69"/>
  <c r="AB344" i="69"/>
  <c r="AA344" i="69"/>
  <c r="Q344" i="69"/>
  <c r="P344" i="69"/>
  <c r="O344" i="69"/>
  <c r="N344" i="69"/>
  <c r="M344" i="69"/>
  <c r="AB343" i="69"/>
  <c r="AA343" i="69"/>
  <c r="Q343" i="69"/>
  <c r="P343" i="69"/>
  <c r="O343" i="69"/>
  <c r="N343" i="69"/>
  <c r="M343" i="69"/>
  <c r="AB342" i="69"/>
  <c r="AA342" i="69"/>
  <c r="Q342" i="69"/>
  <c r="P342" i="69"/>
  <c r="O342" i="69"/>
  <c r="N342" i="69"/>
  <c r="M342" i="69"/>
  <c r="AB341" i="69"/>
  <c r="AA341" i="69"/>
  <c r="Q341" i="69"/>
  <c r="P341" i="69"/>
  <c r="O341" i="69"/>
  <c r="N341" i="69"/>
  <c r="M341" i="69"/>
  <c r="AB340" i="69"/>
  <c r="AA340" i="69"/>
  <c r="Q340" i="69"/>
  <c r="P340" i="69"/>
  <c r="O340" i="69"/>
  <c r="N340" i="69"/>
  <c r="M340" i="69"/>
  <c r="AB339" i="69"/>
  <c r="AA339" i="69"/>
  <c r="W339" i="69"/>
  <c r="V339" i="69"/>
  <c r="Q339" i="69"/>
  <c r="P339" i="69"/>
  <c r="O339" i="69"/>
  <c r="N339" i="69"/>
  <c r="M339" i="69"/>
  <c r="AB338" i="69"/>
  <c r="AA338" i="69"/>
  <c r="U338" i="69"/>
  <c r="Q338" i="69"/>
  <c r="P338" i="69"/>
  <c r="O338" i="69"/>
  <c r="N338" i="69"/>
  <c r="M338" i="69"/>
  <c r="AB337" i="69"/>
  <c r="AA337" i="69"/>
  <c r="Q337" i="69"/>
  <c r="P337" i="69"/>
  <c r="O337" i="69"/>
  <c r="N337" i="69"/>
  <c r="M337" i="69"/>
  <c r="AB336" i="69"/>
  <c r="AA336" i="69"/>
  <c r="Q336" i="69"/>
  <c r="P336" i="69"/>
  <c r="O336" i="69"/>
  <c r="N336" i="69"/>
  <c r="M336" i="69"/>
  <c r="AB335" i="69"/>
  <c r="AA335" i="69"/>
  <c r="Q335" i="69"/>
  <c r="P335" i="69"/>
  <c r="O335" i="69"/>
  <c r="N335" i="69"/>
  <c r="M335" i="69"/>
  <c r="AB334" i="69"/>
  <c r="AA334" i="69"/>
  <c r="Q334" i="69"/>
  <c r="P334" i="69"/>
  <c r="O334" i="69"/>
  <c r="N334" i="69"/>
  <c r="M334" i="69"/>
  <c r="AB333" i="69"/>
  <c r="AA333" i="69"/>
  <c r="Q333" i="69"/>
  <c r="P333" i="69"/>
  <c r="O333" i="69"/>
  <c r="N333" i="69"/>
  <c r="M333" i="69"/>
  <c r="AB332" i="69"/>
  <c r="AA332" i="69"/>
  <c r="Q332" i="69"/>
  <c r="P332" i="69"/>
  <c r="O332" i="69"/>
  <c r="N332" i="69"/>
  <c r="M332" i="69"/>
  <c r="AB331" i="69"/>
  <c r="AA331" i="69"/>
  <c r="Q331" i="69"/>
  <c r="P331" i="69"/>
  <c r="O331" i="69"/>
  <c r="N331" i="69"/>
  <c r="M331" i="69"/>
  <c r="AB330" i="69"/>
  <c r="AA330" i="69"/>
  <c r="Q330" i="69"/>
  <c r="P330" i="69"/>
  <c r="O330" i="69"/>
  <c r="N330" i="69"/>
  <c r="M330" i="69"/>
  <c r="AB329" i="69"/>
  <c r="AA329" i="69"/>
  <c r="Q329" i="69"/>
  <c r="P329" i="69"/>
  <c r="O329" i="69"/>
  <c r="N329" i="69"/>
  <c r="M329" i="69"/>
  <c r="AB328" i="69"/>
  <c r="AA328" i="69"/>
  <c r="Q328" i="69"/>
  <c r="P328" i="69"/>
  <c r="O328" i="69"/>
  <c r="N328" i="69"/>
  <c r="M328" i="69"/>
  <c r="AB327" i="69"/>
  <c r="AA327" i="69"/>
  <c r="Q327" i="69"/>
  <c r="P327" i="69"/>
  <c r="O327" i="69"/>
  <c r="N327" i="69"/>
  <c r="M327" i="69"/>
  <c r="AB326" i="69"/>
  <c r="AA326" i="69"/>
  <c r="Q326" i="69"/>
  <c r="P326" i="69"/>
  <c r="O326" i="69"/>
  <c r="N326" i="69"/>
  <c r="M326" i="69"/>
  <c r="AB325" i="69"/>
  <c r="AA325" i="69"/>
  <c r="Q325" i="69"/>
  <c r="P325" i="69"/>
  <c r="O325" i="69"/>
  <c r="N325" i="69"/>
  <c r="M325" i="69"/>
  <c r="AB324" i="69"/>
  <c r="AA324" i="69"/>
  <c r="Q324" i="69"/>
  <c r="P324" i="69"/>
  <c r="O324" i="69"/>
  <c r="N324" i="69"/>
  <c r="M324" i="69"/>
  <c r="AB323" i="69"/>
  <c r="AA323" i="69"/>
  <c r="Q323" i="69"/>
  <c r="P323" i="69"/>
  <c r="O323" i="69"/>
  <c r="N323" i="69"/>
  <c r="M323" i="69"/>
  <c r="AB322" i="69"/>
  <c r="AA322" i="69"/>
  <c r="Q322" i="69"/>
  <c r="P322" i="69"/>
  <c r="O322" i="69"/>
  <c r="N322" i="69"/>
  <c r="M322" i="69"/>
  <c r="AB321" i="69"/>
  <c r="AA321" i="69"/>
  <c r="Q321" i="69"/>
  <c r="P321" i="69"/>
  <c r="N321" i="69"/>
  <c r="J321" i="69"/>
  <c r="M321" i="69" s="1"/>
  <c r="AB320" i="69"/>
  <c r="AA320" i="69"/>
  <c r="Q320" i="69"/>
  <c r="P320" i="69"/>
  <c r="O320" i="69"/>
  <c r="N320" i="69"/>
  <c r="M320" i="69"/>
  <c r="AB319" i="69"/>
  <c r="AA319" i="69"/>
  <c r="Q319" i="69"/>
  <c r="P319" i="69"/>
  <c r="O319" i="69"/>
  <c r="N319" i="69"/>
  <c r="M319" i="69"/>
  <c r="AB318" i="69"/>
  <c r="AA318" i="69"/>
  <c r="Q318" i="69"/>
  <c r="P318" i="69"/>
  <c r="O318" i="69"/>
  <c r="N318" i="69"/>
  <c r="M318" i="69"/>
  <c r="AB317" i="69"/>
  <c r="AA317" i="69"/>
  <c r="Q317" i="69"/>
  <c r="P317" i="69"/>
  <c r="O317" i="69"/>
  <c r="N317" i="69"/>
  <c r="M317" i="69"/>
  <c r="AB316" i="69"/>
  <c r="AA316" i="69"/>
  <c r="Q316" i="69"/>
  <c r="P316" i="69"/>
  <c r="O316" i="69"/>
  <c r="N316" i="69"/>
  <c r="M316" i="69"/>
  <c r="AB315" i="69"/>
  <c r="AA315" i="69"/>
  <c r="Q315" i="69"/>
  <c r="P315" i="69"/>
  <c r="O315" i="69"/>
  <c r="N315" i="69"/>
  <c r="M315" i="69"/>
  <c r="AB314" i="69"/>
  <c r="AA314" i="69"/>
  <c r="Q314" i="69"/>
  <c r="P314" i="69"/>
  <c r="O314" i="69"/>
  <c r="N314" i="69"/>
  <c r="M314" i="69"/>
  <c r="AB313" i="69"/>
  <c r="AA313" i="69"/>
  <c r="Q313" i="69"/>
  <c r="P313" i="69"/>
  <c r="O313" i="69"/>
  <c r="N313" i="69"/>
  <c r="M313" i="69"/>
  <c r="AB312" i="69"/>
  <c r="AA312" i="69"/>
  <c r="Q312" i="69"/>
  <c r="P312" i="69"/>
  <c r="O312" i="69"/>
  <c r="N312" i="69"/>
  <c r="M312" i="69"/>
  <c r="AB310" i="69"/>
  <c r="AA310" i="69"/>
  <c r="Q310" i="69"/>
  <c r="P310" i="69"/>
  <c r="O310" i="69"/>
  <c r="N310" i="69"/>
  <c r="M310" i="69"/>
  <c r="AB309" i="69"/>
  <c r="AA309" i="69"/>
  <c r="Q309" i="69"/>
  <c r="P309" i="69"/>
  <c r="O309" i="69"/>
  <c r="N309" i="69"/>
  <c r="M309" i="69"/>
  <c r="AB308" i="69"/>
  <c r="AA308" i="69"/>
  <c r="Q308" i="69"/>
  <c r="P308" i="69"/>
  <c r="O308" i="69"/>
  <c r="N308" i="69"/>
  <c r="M308" i="69"/>
  <c r="AB307" i="69"/>
  <c r="AA307" i="69"/>
  <c r="Q307" i="69"/>
  <c r="P307" i="69"/>
  <c r="O307" i="69"/>
  <c r="N307" i="69"/>
  <c r="M307" i="69"/>
  <c r="AB306" i="69"/>
  <c r="AA306" i="69"/>
  <c r="Q306" i="69"/>
  <c r="P306" i="69"/>
  <c r="O306" i="69"/>
  <c r="N306" i="69"/>
  <c r="M306" i="69"/>
  <c r="AB305" i="69"/>
  <c r="AA305" i="69"/>
  <c r="Q305" i="69"/>
  <c r="P305" i="69"/>
  <c r="O305" i="69"/>
  <c r="N305" i="69"/>
  <c r="M305" i="69"/>
  <c r="AB304" i="69"/>
  <c r="AA304" i="69"/>
  <c r="Q304" i="69"/>
  <c r="P304" i="69"/>
  <c r="O304" i="69"/>
  <c r="N304" i="69"/>
  <c r="M304" i="69"/>
  <c r="AB303" i="69"/>
  <c r="AA303" i="69"/>
  <c r="Q303" i="69"/>
  <c r="P303" i="69"/>
  <c r="O303" i="69"/>
  <c r="N303" i="69"/>
  <c r="M303" i="69"/>
  <c r="AB302" i="69"/>
  <c r="AA302" i="69"/>
  <c r="Q302" i="69"/>
  <c r="P302" i="69"/>
  <c r="O302" i="69"/>
  <c r="N302" i="69"/>
  <c r="M302" i="69"/>
  <c r="AB301" i="69"/>
  <c r="AA301" i="69"/>
  <c r="Q301" i="69"/>
  <c r="P301" i="69"/>
  <c r="O301" i="69"/>
  <c r="N301" i="69"/>
  <c r="M301" i="69"/>
  <c r="AB300" i="69"/>
  <c r="AA300" i="69"/>
  <c r="Q300" i="69"/>
  <c r="P300" i="69"/>
  <c r="O300" i="69"/>
  <c r="N300" i="69"/>
  <c r="M300" i="69"/>
  <c r="AB299" i="69"/>
  <c r="AA299" i="69"/>
  <c r="Q299" i="69"/>
  <c r="P299" i="69"/>
  <c r="O299" i="69"/>
  <c r="N299" i="69"/>
  <c r="M299" i="69"/>
  <c r="AB298" i="69"/>
  <c r="AA298" i="69"/>
  <c r="Q298" i="69"/>
  <c r="P298" i="69"/>
  <c r="O298" i="69"/>
  <c r="N298" i="69"/>
  <c r="M298" i="69"/>
  <c r="AB297" i="69"/>
  <c r="AA297" i="69"/>
  <c r="Q297" i="69"/>
  <c r="P297" i="69"/>
  <c r="O297" i="69"/>
  <c r="N297" i="69"/>
  <c r="M297" i="69"/>
  <c r="AB296" i="69"/>
  <c r="AA296" i="69"/>
  <c r="Q296" i="69"/>
  <c r="P296" i="69"/>
  <c r="O296" i="69"/>
  <c r="N296" i="69"/>
  <c r="M296" i="69"/>
  <c r="AB295" i="69"/>
  <c r="AA295" i="69"/>
  <c r="Q295" i="69"/>
  <c r="P295" i="69"/>
  <c r="O295" i="69"/>
  <c r="N295" i="69"/>
  <c r="M295" i="69"/>
  <c r="AB294" i="69"/>
  <c r="AA294" i="69"/>
  <c r="Q294" i="69"/>
  <c r="P294" i="69"/>
  <c r="O294" i="69"/>
  <c r="N294" i="69"/>
  <c r="M294" i="69"/>
  <c r="AB293" i="69"/>
  <c r="AA293" i="69"/>
  <c r="Q293" i="69"/>
  <c r="P293" i="69"/>
  <c r="O293" i="69"/>
  <c r="N293" i="69"/>
  <c r="M293" i="69"/>
  <c r="AB292" i="69"/>
  <c r="AA292" i="69"/>
  <c r="Q292" i="69"/>
  <c r="P292" i="69"/>
  <c r="O292" i="69"/>
  <c r="N292" i="69"/>
  <c r="M292" i="69"/>
  <c r="AB291" i="69"/>
  <c r="AA291" i="69"/>
  <c r="Q291" i="69"/>
  <c r="P291" i="69"/>
  <c r="O291" i="69"/>
  <c r="N291" i="69"/>
  <c r="M291" i="69"/>
  <c r="AB290" i="69"/>
  <c r="AA290" i="69"/>
  <c r="Q290" i="69"/>
  <c r="P290" i="69"/>
  <c r="O290" i="69"/>
  <c r="N290" i="69"/>
  <c r="M290" i="69"/>
  <c r="AB289" i="69"/>
  <c r="AA289" i="69"/>
  <c r="W289" i="69"/>
  <c r="V289" i="69"/>
  <c r="Q289" i="69"/>
  <c r="P289" i="69"/>
  <c r="O289" i="69"/>
  <c r="N289" i="69"/>
  <c r="M289" i="69"/>
  <c r="AB288" i="69"/>
  <c r="AA288" i="69"/>
  <c r="W288" i="69"/>
  <c r="V288" i="69"/>
  <c r="U288" i="69"/>
  <c r="Q288" i="69"/>
  <c r="P288" i="69"/>
  <c r="O288" i="69"/>
  <c r="N288" i="69"/>
  <c r="M288" i="69"/>
  <c r="AB287" i="69"/>
  <c r="AA287" i="69"/>
  <c r="Q287" i="69"/>
  <c r="P287" i="69"/>
  <c r="O287" i="69"/>
  <c r="N287" i="69"/>
  <c r="M287" i="69"/>
  <c r="AB286" i="69"/>
  <c r="AA286" i="69"/>
  <c r="Q286" i="69"/>
  <c r="P286" i="69"/>
  <c r="O286" i="69"/>
  <c r="N286" i="69"/>
  <c r="M286" i="69"/>
  <c r="AB285" i="69"/>
  <c r="AA285" i="69"/>
  <c r="Q285" i="69"/>
  <c r="P285" i="69"/>
  <c r="O285" i="69"/>
  <c r="N285" i="69"/>
  <c r="M285" i="69"/>
  <c r="AB284" i="69"/>
  <c r="AA284" i="69"/>
  <c r="Q284" i="69"/>
  <c r="P284" i="69"/>
  <c r="O284" i="69"/>
  <c r="N284" i="69"/>
  <c r="M284" i="69"/>
  <c r="AB283" i="69"/>
  <c r="AA283" i="69"/>
  <c r="Q283" i="69"/>
  <c r="P283" i="69"/>
  <c r="O283" i="69"/>
  <c r="N283" i="69"/>
  <c r="M283" i="69"/>
  <c r="AB282" i="69"/>
  <c r="AA282" i="69"/>
  <c r="Q282" i="69"/>
  <c r="P282" i="69"/>
  <c r="O282" i="69"/>
  <c r="N282" i="69"/>
  <c r="M282" i="69"/>
  <c r="AB281" i="69"/>
  <c r="AA281" i="69"/>
  <c r="Q281" i="69"/>
  <c r="P281" i="69"/>
  <c r="O281" i="69"/>
  <c r="N281" i="69"/>
  <c r="M281" i="69"/>
  <c r="AB280" i="69"/>
  <c r="AA280" i="69"/>
  <c r="Q280" i="69"/>
  <c r="P280" i="69"/>
  <c r="O280" i="69"/>
  <c r="N280" i="69"/>
  <c r="M280" i="69"/>
  <c r="AB279" i="69"/>
  <c r="AA279" i="69"/>
  <c r="Q279" i="69"/>
  <c r="P279" i="69"/>
  <c r="O279" i="69"/>
  <c r="N279" i="69"/>
  <c r="M279" i="69"/>
  <c r="AB278" i="69"/>
  <c r="AA278" i="69"/>
  <c r="Q278" i="69"/>
  <c r="P278" i="69"/>
  <c r="O278" i="69"/>
  <c r="N278" i="69"/>
  <c r="M278" i="69"/>
  <c r="AB277" i="69"/>
  <c r="AA277" i="69"/>
  <c r="Q277" i="69"/>
  <c r="P277" i="69"/>
  <c r="O277" i="69"/>
  <c r="N277" i="69"/>
  <c r="M277" i="69"/>
  <c r="AB276" i="69"/>
  <c r="AA276" i="69"/>
  <c r="Q276" i="69"/>
  <c r="P276" i="69"/>
  <c r="O276" i="69"/>
  <c r="N276" i="69"/>
  <c r="M276" i="69"/>
  <c r="AB275" i="69"/>
  <c r="AA275" i="69"/>
  <c r="Q275" i="69"/>
  <c r="P275" i="69"/>
  <c r="O275" i="69"/>
  <c r="N275" i="69"/>
  <c r="M275" i="69"/>
  <c r="AB274" i="69"/>
  <c r="AA274" i="69"/>
  <c r="Q274" i="69"/>
  <c r="P274" i="69"/>
  <c r="O274" i="69"/>
  <c r="N274" i="69"/>
  <c r="M274" i="69"/>
  <c r="AB273" i="69"/>
  <c r="AA273" i="69"/>
  <c r="Q273" i="69"/>
  <c r="P273" i="69"/>
  <c r="O273" i="69"/>
  <c r="N273" i="69"/>
  <c r="M273" i="69"/>
  <c r="AB272" i="69"/>
  <c r="AA272" i="69"/>
  <c r="Q272" i="69"/>
  <c r="P272" i="69"/>
  <c r="O272" i="69"/>
  <c r="N272" i="69"/>
  <c r="M272" i="69"/>
  <c r="AB271" i="69"/>
  <c r="AA271" i="69"/>
  <c r="Q271" i="69"/>
  <c r="P271" i="69"/>
  <c r="O271" i="69"/>
  <c r="N271" i="69"/>
  <c r="M271" i="69"/>
  <c r="AB270" i="69"/>
  <c r="AA270" i="69"/>
  <c r="W270" i="69"/>
  <c r="V270" i="69"/>
  <c r="Q270" i="69"/>
  <c r="P270" i="69"/>
  <c r="O270" i="69"/>
  <c r="N270" i="69"/>
  <c r="M270" i="69"/>
  <c r="AB269" i="69"/>
  <c r="AA269" i="69"/>
  <c r="Q269" i="69"/>
  <c r="P269" i="69"/>
  <c r="O269" i="69"/>
  <c r="N269" i="69"/>
  <c r="M269" i="69"/>
  <c r="AB268" i="69"/>
  <c r="AA268" i="69"/>
  <c r="Q268" i="69"/>
  <c r="P268" i="69"/>
  <c r="O268" i="69"/>
  <c r="N268" i="69"/>
  <c r="M268" i="69"/>
  <c r="AB267" i="69"/>
  <c r="AA267" i="69"/>
  <c r="Q267" i="69"/>
  <c r="P267" i="69"/>
  <c r="O267" i="69"/>
  <c r="N267" i="69"/>
  <c r="M267" i="69"/>
  <c r="AB266" i="69"/>
  <c r="AA266" i="69"/>
  <c r="Q266" i="69"/>
  <c r="P266" i="69"/>
  <c r="O266" i="69"/>
  <c r="N266" i="69"/>
  <c r="M266" i="69"/>
  <c r="AB265" i="69"/>
  <c r="AA265" i="69"/>
  <c r="Q265" i="69"/>
  <c r="P265" i="69"/>
  <c r="O265" i="69"/>
  <c r="N265" i="69"/>
  <c r="M265" i="69"/>
  <c r="AB264" i="69"/>
  <c r="AA264" i="69"/>
  <c r="Q264" i="69"/>
  <c r="P264" i="69"/>
  <c r="O264" i="69"/>
  <c r="N264" i="69"/>
  <c r="M264" i="69"/>
  <c r="AB263" i="69"/>
  <c r="AA263" i="69"/>
  <c r="Q263" i="69"/>
  <c r="P263" i="69"/>
  <c r="O263" i="69"/>
  <c r="N263" i="69"/>
  <c r="M263" i="69"/>
  <c r="AB262" i="69"/>
  <c r="AA262" i="69"/>
  <c r="Q262" i="69"/>
  <c r="P262" i="69"/>
  <c r="O262" i="69"/>
  <c r="N262" i="69"/>
  <c r="M262" i="69"/>
  <c r="AB261" i="69"/>
  <c r="AA261" i="69"/>
  <c r="Q261" i="69"/>
  <c r="P261" i="69"/>
  <c r="O261" i="69"/>
  <c r="N261" i="69"/>
  <c r="M261" i="69"/>
  <c r="AB260" i="69"/>
  <c r="AA260" i="69"/>
  <c r="Q260" i="69"/>
  <c r="P260" i="69"/>
  <c r="O260" i="69"/>
  <c r="N260" i="69"/>
  <c r="M260" i="69"/>
  <c r="AB259" i="69"/>
  <c r="AA259" i="69"/>
  <c r="Q259" i="69"/>
  <c r="P259" i="69"/>
  <c r="O259" i="69"/>
  <c r="N259" i="69"/>
  <c r="M259" i="69"/>
  <c r="AB258" i="69"/>
  <c r="AA258" i="69"/>
  <c r="Q258" i="69"/>
  <c r="P258" i="69"/>
  <c r="O258" i="69"/>
  <c r="N258" i="69"/>
  <c r="M258" i="69"/>
  <c r="AB257" i="69"/>
  <c r="AA257" i="69"/>
  <c r="Q257" i="69"/>
  <c r="P257" i="69"/>
  <c r="O257" i="69"/>
  <c r="N257" i="69"/>
  <c r="M257" i="69"/>
  <c r="AB256" i="69"/>
  <c r="AA256" i="69"/>
  <c r="Q256" i="69"/>
  <c r="P256" i="69"/>
  <c r="O256" i="69"/>
  <c r="N256" i="69"/>
  <c r="M256" i="69"/>
  <c r="AB255" i="69"/>
  <c r="AA255" i="69"/>
  <c r="Q255" i="69"/>
  <c r="P255" i="69"/>
  <c r="O255" i="69"/>
  <c r="N255" i="69"/>
  <c r="M255" i="69"/>
  <c r="AB254" i="69"/>
  <c r="AA254" i="69"/>
  <c r="Q254" i="69"/>
  <c r="P254" i="69"/>
  <c r="O254" i="69"/>
  <c r="N254" i="69"/>
  <c r="M254" i="69"/>
  <c r="AB253" i="69"/>
  <c r="AA253" i="69"/>
  <c r="Q253" i="69"/>
  <c r="P253" i="69"/>
  <c r="O253" i="69"/>
  <c r="N253" i="69"/>
  <c r="M253" i="69"/>
  <c r="AB252" i="69"/>
  <c r="AA252" i="69"/>
  <c r="Q252" i="69"/>
  <c r="P252" i="69"/>
  <c r="O252" i="69"/>
  <c r="N252" i="69"/>
  <c r="M252" i="69"/>
  <c r="AB251" i="69"/>
  <c r="AA251" i="69"/>
  <c r="Q251" i="69"/>
  <c r="P251" i="69"/>
  <c r="O251" i="69"/>
  <c r="N251" i="69"/>
  <c r="M251" i="69"/>
  <c r="AB250" i="69"/>
  <c r="AA250" i="69"/>
  <c r="Q250" i="69"/>
  <c r="P250" i="69"/>
  <c r="O250" i="69"/>
  <c r="N250" i="69"/>
  <c r="M250" i="69"/>
  <c r="AB249" i="69"/>
  <c r="AA249" i="69"/>
  <c r="Q249" i="69"/>
  <c r="P249" i="69"/>
  <c r="O249" i="69"/>
  <c r="N249" i="69"/>
  <c r="M249" i="69"/>
  <c r="AB248" i="69"/>
  <c r="AA248" i="69"/>
  <c r="Q248" i="69"/>
  <c r="P248" i="69"/>
  <c r="O248" i="69"/>
  <c r="N248" i="69"/>
  <c r="M248" i="69"/>
  <c r="AB247" i="69"/>
  <c r="AA247" i="69"/>
  <c r="Q247" i="69"/>
  <c r="P247" i="69"/>
  <c r="O247" i="69"/>
  <c r="N247" i="69"/>
  <c r="M247" i="69"/>
  <c r="AB246" i="69"/>
  <c r="AA246" i="69"/>
  <c r="Q246" i="69"/>
  <c r="P246" i="69"/>
  <c r="O246" i="69"/>
  <c r="N246" i="69"/>
  <c r="M246" i="69"/>
  <c r="AB245" i="69"/>
  <c r="AA245" i="69"/>
  <c r="Q245" i="69"/>
  <c r="P245" i="69"/>
  <c r="O245" i="69"/>
  <c r="N245" i="69"/>
  <c r="M245" i="69"/>
  <c r="AB244" i="69"/>
  <c r="AA244" i="69"/>
  <c r="Q244" i="69"/>
  <c r="P244" i="69"/>
  <c r="O244" i="69"/>
  <c r="N244" i="69"/>
  <c r="M244" i="69"/>
  <c r="AB243" i="69"/>
  <c r="AA243" i="69"/>
  <c r="U243" i="69"/>
  <c r="Q243" i="69"/>
  <c r="P243" i="69"/>
  <c r="O243" i="69"/>
  <c r="N243" i="69"/>
  <c r="M243" i="69"/>
  <c r="AB242" i="69"/>
  <c r="AA242" i="69"/>
  <c r="U242" i="69"/>
  <c r="Q242" i="69"/>
  <c r="P242" i="69"/>
  <c r="O242" i="69"/>
  <c r="N242" i="69"/>
  <c r="M242" i="69"/>
  <c r="AB241" i="69"/>
  <c r="AA241" i="69"/>
  <c r="U241" i="69"/>
  <c r="Q241" i="69"/>
  <c r="P241" i="69"/>
  <c r="O241" i="69"/>
  <c r="N241" i="69"/>
  <c r="M241" i="69"/>
  <c r="AB240" i="69"/>
  <c r="AA240" i="69"/>
  <c r="U240" i="69"/>
  <c r="Q240" i="69"/>
  <c r="P240" i="69"/>
  <c r="O240" i="69"/>
  <c r="N240" i="69"/>
  <c r="M240" i="69"/>
  <c r="AB239" i="69"/>
  <c r="AA239" i="69"/>
  <c r="Q239" i="69"/>
  <c r="P239" i="69"/>
  <c r="O239" i="69"/>
  <c r="N239" i="69"/>
  <c r="M239" i="69"/>
  <c r="AB238" i="69"/>
  <c r="AA238" i="69"/>
  <c r="Q238" i="69"/>
  <c r="P238" i="69"/>
  <c r="O238" i="69"/>
  <c r="N238" i="69"/>
  <c r="M238" i="69"/>
  <c r="AB237" i="69"/>
  <c r="AA237" i="69"/>
  <c r="U237" i="69"/>
  <c r="Q237" i="69"/>
  <c r="P237" i="69"/>
  <c r="O237" i="69"/>
  <c r="N237" i="69"/>
  <c r="M237" i="69"/>
  <c r="AB236" i="69"/>
  <c r="AA236" i="69"/>
  <c r="Q236" i="69"/>
  <c r="P236" i="69"/>
  <c r="O236" i="69"/>
  <c r="N236" i="69"/>
  <c r="M236" i="69"/>
  <c r="AB235" i="69"/>
  <c r="AA235" i="69"/>
  <c r="U235" i="69"/>
  <c r="Q235" i="69"/>
  <c r="P235" i="69"/>
  <c r="O235" i="69"/>
  <c r="N235" i="69"/>
  <c r="M235" i="69"/>
  <c r="AB234" i="69"/>
  <c r="AA234" i="69"/>
  <c r="U234" i="69"/>
  <c r="Q234" i="69"/>
  <c r="P234" i="69"/>
  <c r="O234" i="69"/>
  <c r="N234" i="69"/>
  <c r="M234" i="69"/>
  <c r="AB233" i="69"/>
  <c r="AA233" i="69"/>
  <c r="U233" i="69"/>
  <c r="Q233" i="69"/>
  <c r="P233" i="69"/>
  <c r="O233" i="69"/>
  <c r="N233" i="69"/>
  <c r="M233" i="69"/>
  <c r="AB232" i="69"/>
  <c r="AA232" i="69"/>
  <c r="U232" i="69"/>
  <c r="Q232" i="69"/>
  <c r="P232" i="69"/>
  <c r="O232" i="69"/>
  <c r="N232" i="69"/>
  <c r="M232" i="69"/>
  <c r="AB231" i="69"/>
  <c r="AA231" i="69"/>
  <c r="Q231" i="69"/>
  <c r="P231" i="69"/>
  <c r="O231" i="69"/>
  <c r="N231" i="69"/>
  <c r="M231" i="69"/>
  <c r="AB230" i="69"/>
  <c r="AA230" i="69"/>
  <c r="U230" i="69"/>
  <c r="Q230" i="69"/>
  <c r="P230" i="69"/>
  <c r="O230" i="69"/>
  <c r="N230" i="69"/>
  <c r="M230" i="69"/>
  <c r="AB229" i="69"/>
  <c r="AA229" i="69"/>
  <c r="Q229" i="69"/>
  <c r="P229" i="69"/>
  <c r="O229" i="69"/>
  <c r="N229" i="69"/>
  <c r="M229" i="69"/>
  <c r="AB228" i="69"/>
  <c r="AA228" i="69"/>
  <c r="Q228" i="69"/>
  <c r="P228" i="69"/>
  <c r="O228" i="69"/>
  <c r="N228" i="69"/>
  <c r="M228" i="69"/>
  <c r="AB227" i="69"/>
  <c r="AA227" i="69"/>
  <c r="Q227" i="69"/>
  <c r="P227" i="69"/>
  <c r="O227" i="69"/>
  <c r="N227" i="69"/>
  <c r="M227" i="69"/>
  <c r="AB226" i="69"/>
  <c r="AA226" i="69"/>
  <c r="Q226" i="69"/>
  <c r="P226" i="69"/>
  <c r="O226" i="69"/>
  <c r="N226" i="69"/>
  <c r="M226" i="69"/>
  <c r="AB225" i="69"/>
  <c r="AA225" i="69"/>
  <c r="Q225" i="69"/>
  <c r="P225" i="69"/>
  <c r="O225" i="69"/>
  <c r="N225" i="69"/>
  <c r="M225" i="69"/>
  <c r="AB224" i="69"/>
  <c r="AA224" i="69"/>
  <c r="Q224" i="69"/>
  <c r="P224" i="69"/>
  <c r="O224" i="69"/>
  <c r="N224" i="69"/>
  <c r="M224" i="69"/>
  <c r="AB223" i="69"/>
  <c r="AA223" i="69"/>
  <c r="Q223" i="69"/>
  <c r="P223" i="69"/>
  <c r="O223" i="69"/>
  <c r="N223" i="69"/>
  <c r="M223" i="69"/>
  <c r="AB222" i="69"/>
  <c r="AA222" i="69"/>
  <c r="Q222" i="69"/>
  <c r="P222" i="69"/>
  <c r="O222" i="69"/>
  <c r="N222" i="69"/>
  <c r="M222" i="69"/>
  <c r="AB221" i="69"/>
  <c r="AA221" i="69"/>
  <c r="Q221" i="69"/>
  <c r="P221" i="69"/>
  <c r="O221" i="69"/>
  <c r="N221" i="69"/>
  <c r="M221" i="69"/>
  <c r="AB220" i="69"/>
  <c r="AA220" i="69"/>
  <c r="Q220" i="69"/>
  <c r="P220" i="69"/>
  <c r="O220" i="69"/>
  <c r="N220" i="69"/>
  <c r="M220" i="69"/>
  <c r="AB219" i="69"/>
  <c r="AA219" i="69"/>
  <c r="Q219" i="69"/>
  <c r="P219" i="69"/>
  <c r="O219" i="69"/>
  <c r="N219" i="69"/>
  <c r="M219" i="69"/>
  <c r="AB218" i="69"/>
  <c r="AA218" i="69"/>
  <c r="Q218" i="69"/>
  <c r="P218" i="69"/>
  <c r="O218" i="69"/>
  <c r="N218" i="69"/>
  <c r="M218" i="69"/>
  <c r="AB217" i="69"/>
  <c r="AA217" i="69"/>
  <c r="Q217" i="69"/>
  <c r="P217" i="69"/>
  <c r="O217" i="69"/>
  <c r="N217" i="69"/>
  <c r="M217" i="69"/>
  <c r="AB216" i="69"/>
  <c r="AA216" i="69"/>
  <c r="Q216" i="69"/>
  <c r="P216" i="69"/>
  <c r="O216" i="69"/>
  <c r="N216" i="69"/>
  <c r="M216" i="69"/>
  <c r="AB215" i="69"/>
  <c r="AA215" i="69"/>
  <c r="U215" i="69"/>
  <c r="V215" i="69" s="1"/>
  <c r="W215" i="69" s="1"/>
  <c r="Q215" i="69"/>
  <c r="P215" i="69"/>
  <c r="O215" i="69"/>
  <c r="N215" i="69"/>
  <c r="M215" i="69"/>
  <c r="AB214" i="69"/>
  <c r="AA214" i="69"/>
  <c r="V214" i="69"/>
  <c r="W214" i="69" s="1"/>
  <c r="Q214" i="69"/>
  <c r="P214" i="69"/>
  <c r="O214" i="69"/>
  <c r="N214" i="69"/>
  <c r="M214" i="69"/>
  <c r="AB213" i="69"/>
  <c r="AA213" i="69"/>
  <c r="V213" i="69"/>
  <c r="W213" i="69" s="1"/>
  <c r="Q213" i="69"/>
  <c r="P213" i="69"/>
  <c r="O213" i="69"/>
  <c r="N213" i="69"/>
  <c r="M213" i="69"/>
  <c r="AB212" i="69"/>
  <c r="AA212" i="69"/>
  <c r="V212" i="69"/>
  <c r="W212" i="69" s="1"/>
  <c r="Q212" i="69"/>
  <c r="P212" i="69"/>
  <c r="O212" i="69"/>
  <c r="N212" i="69"/>
  <c r="M212" i="69"/>
  <c r="AB211" i="69"/>
  <c r="AA211" i="69"/>
  <c r="V211" i="69"/>
  <c r="W211" i="69" s="1"/>
  <c r="Q211" i="69"/>
  <c r="P211" i="69"/>
  <c r="O211" i="69"/>
  <c r="N211" i="69"/>
  <c r="M211" i="69"/>
  <c r="AB210" i="69"/>
  <c r="AA210" i="69"/>
  <c r="V210" i="69"/>
  <c r="W210" i="69" s="1"/>
  <c r="Q210" i="69"/>
  <c r="P210" i="69"/>
  <c r="O210" i="69"/>
  <c r="N210" i="69"/>
  <c r="M210" i="69"/>
  <c r="AB209" i="69"/>
  <c r="AA209" i="69"/>
  <c r="U209" i="69"/>
  <c r="V209" i="69" s="1"/>
  <c r="W209" i="69" s="1"/>
  <c r="Q209" i="69"/>
  <c r="P209" i="69"/>
  <c r="O209" i="69"/>
  <c r="N209" i="69"/>
  <c r="M209" i="69"/>
  <c r="AB208" i="69"/>
  <c r="AA208" i="69"/>
  <c r="U208" i="69"/>
  <c r="V208" i="69" s="1"/>
  <c r="W208" i="69" s="1"/>
  <c r="Q208" i="69"/>
  <c r="P208" i="69"/>
  <c r="O208" i="69"/>
  <c r="N208" i="69"/>
  <c r="M208" i="69"/>
  <c r="AB207" i="69"/>
  <c r="AA207" i="69"/>
  <c r="U207" i="69"/>
  <c r="V207" i="69" s="1"/>
  <c r="W207" i="69" s="1"/>
  <c r="Q207" i="69"/>
  <c r="P207" i="69"/>
  <c r="O207" i="69"/>
  <c r="N207" i="69"/>
  <c r="M207" i="69"/>
  <c r="AB206" i="69"/>
  <c r="AA206" i="69"/>
  <c r="W206" i="69"/>
  <c r="V206" i="69"/>
  <c r="U206" i="69"/>
  <c r="Q206" i="69"/>
  <c r="P206" i="69"/>
  <c r="O206" i="69"/>
  <c r="N206" i="69"/>
  <c r="M206" i="69"/>
  <c r="AB205" i="69"/>
  <c r="AA205" i="69"/>
  <c r="Q205" i="69"/>
  <c r="P205" i="69"/>
  <c r="O205" i="69"/>
  <c r="N205" i="69"/>
  <c r="M205" i="69"/>
  <c r="AB204" i="69"/>
  <c r="AA204" i="69"/>
  <c r="Q204" i="69"/>
  <c r="P204" i="69"/>
  <c r="O204" i="69"/>
  <c r="N204" i="69"/>
  <c r="M204" i="69"/>
  <c r="AB203" i="69"/>
  <c r="AA203" i="69"/>
  <c r="W203" i="69"/>
  <c r="V203" i="69"/>
  <c r="U203" i="69"/>
  <c r="Q203" i="69"/>
  <c r="P203" i="69"/>
  <c r="O203" i="69"/>
  <c r="N203" i="69"/>
  <c r="M203" i="69"/>
  <c r="AB202" i="69"/>
  <c r="AA202" i="69"/>
  <c r="Q202" i="69"/>
  <c r="P202" i="69"/>
  <c r="O202" i="69"/>
  <c r="N202" i="69"/>
  <c r="M202" i="69"/>
  <c r="AB201" i="69"/>
  <c r="AA201" i="69"/>
  <c r="V201" i="69"/>
  <c r="W201" i="69" s="1"/>
  <c r="Q201" i="69"/>
  <c r="P201" i="69"/>
  <c r="O201" i="69"/>
  <c r="N201" i="69"/>
  <c r="M201" i="69"/>
  <c r="AB200" i="69"/>
  <c r="AA200" i="69"/>
  <c r="Q200" i="69"/>
  <c r="P200" i="69"/>
  <c r="O200" i="69"/>
  <c r="N200" i="69"/>
  <c r="M200" i="69"/>
  <c r="AB199" i="69"/>
  <c r="AA199" i="69"/>
  <c r="Q199" i="69"/>
  <c r="P199" i="69"/>
  <c r="O199" i="69"/>
  <c r="N199" i="69"/>
  <c r="M199" i="69"/>
  <c r="AB198" i="69"/>
  <c r="AA198" i="69"/>
  <c r="V198" i="69"/>
  <c r="W198" i="69" s="1"/>
  <c r="Q198" i="69"/>
  <c r="P198" i="69"/>
  <c r="O198" i="69"/>
  <c r="N198" i="69"/>
  <c r="M198" i="69"/>
  <c r="AB197" i="69"/>
  <c r="AA197" i="69"/>
  <c r="Q197" i="69"/>
  <c r="P197" i="69"/>
  <c r="O197" i="69"/>
  <c r="N197" i="69"/>
  <c r="M197" i="69"/>
  <c r="AB196" i="69"/>
  <c r="AA196" i="69"/>
  <c r="V196" i="69"/>
  <c r="W196" i="69" s="1"/>
  <c r="Q196" i="69"/>
  <c r="P196" i="69"/>
  <c r="O196" i="69"/>
  <c r="N196" i="69"/>
  <c r="M196" i="69"/>
  <c r="AB195" i="69"/>
  <c r="AA195" i="69"/>
  <c r="Q195" i="69"/>
  <c r="P195" i="69"/>
  <c r="O195" i="69"/>
  <c r="N195" i="69"/>
  <c r="M195" i="69"/>
  <c r="AB194" i="69"/>
  <c r="AA194" i="69"/>
  <c r="V194" i="69"/>
  <c r="W194" i="69" s="1"/>
  <c r="Q194" i="69"/>
  <c r="P194" i="69"/>
  <c r="O194" i="69"/>
  <c r="N194" i="69"/>
  <c r="M194" i="69"/>
  <c r="AB193" i="69"/>
  <c r="AA193" i="69"/>
  <c r="U193" i="69"/>
  <c r="V193" i="69" s="1"/>
  <c r="W193" i="69" s="1"/>
  <c r="Q193" i="69"/>
  <c r="P193" i="69"/>
  <c r="O193" i="69"/>
  <c r="N193" i="69"/>
  <c r="M193" i="69"/>
  <c r="AB192" i="69"/>
  <c r="AA192" i="69"/>
  <c r="U192" i="69"/>
  <c r="V192" i="69" s="1"/>
  <c r="W192" i="69" s="1"/>
  <c r="Q192" i="69"/>
  <c r="P192" i="69"/>
  <c r="O192" i="69"/>
  <c r="N192" i="69"/>
  <c r="M192" i="69"/>
  <c r="AB191" i="69"/>
  <c r="AA191" i="69"/>
  <c r="U191" i="69"/>
  <c r="V191" i="69" s="1"/>
  <c r="W191" i="69" s="1"/>
  <c r="Q191" i="69"/>
  <c r="P191" i="69"/>
  <c r="O191" i="69"/>
  <c r="N191" i="69"/>
  <c r="M191" i="69"/>
  <c r="AB190" i="69"/>
  <c r="AA190" i="69"/>
  <c r="U190" i="69"/>
  <c r="V190" i="69" s="1"/>
  <c r="W190" i="69" s="1"/>
  <c r="Q190" i="69"/>
  <c r="P190" i="69"/>
  <c r="O190" i="69"/>
  <c r="N190" i="69"/>
  <c r="M190" i="69"/>
  <c r="AB189" i="69"/>
  <c r="AA189" i="69"/>
  <c r="Q189" i="69"/>
  <c r="P189" i="69"/>
  <c r="O189" i="69"/>
  <c r="N189" i="69"/>
  <c r="M189" i="69"/>
  <c r="AB188" i="69"/>
  <c r="AA188" i="69"/>
  <c r="Q188" i="69"/>
  <c r="P188" i="69"/>
  <c r="O188" i="69"/>
  <c r="N188" i="69"/>
  <c r="M188" i="69"/>
  <c r="AB187" i="69"/>
  <c r="AA187" i="69"/>
  <c r="Q187" i="69"/>
  <c r="P187" i="69"/>
  <c r="O187" i="69"/>
  <c r="N187" i="69"/>
  <c r="M187" i="69"/>
  <c r="AB186" i="69"/>
  <c r="AA186" i="69"/>
  <c r="Q186" i="69"/>
  <c r="P186" i="69"/>
  <c r="N186" i="69"/>
  <c r="J186" i="69"/>
  <c r="O186" i="69" s="1"/>
  <c r="AB185" i="69"/>
  <c r="AA185" i="69"/>
  <c r="Q185" i="69"/>
  <c r="P185" i="69"/>
  <c r="O185" i="69"/>
  <c r="N185" i="69"/>
  <c r="M185" i="69"/>
  <c r="AB184" i="69"/>
  <c r="AA184" i="69"/>
  <c r="Q184" i="69"/>
  <c r="P184" i="69"/>
  <c r="O184" i="69"/>
  <c r="N184" i="69"/>
  <c r="M184" i="69"/>
  <c r="AB183" i="69"/>
  <c r="AA183" i="69"/>
  <c r="Q183" i="69"/>
  <c r="P183" i="69"/>
  <c r="O183" i="69"/>
  <c r="N183" i="69"/>
  <c r="M183" i="69"/>
  <c r="AB182" i="69"/>
  <c r="AA182" i="69"/>
  <c r="Q182" i="69"/>
  <c r="P182" i="69"/>
  <c r="O182" i="69"/>
  <c r="N182" i="69"/>
  <c r="M182" i="69"/>
  <c r="AB181" i="69"/>
  <c r="AA181" i="69"/>
  <c r="Q181" i="69"/>
  <c r="P181" i="69"/>
  <c r="O181" i="69"/>
  <c r="N181" i="69"/>
  <c r="M181" i="69"/>
  <c r="AB180" i="69"/>
  <c r="AA180" i="69"/>
  <c r="Q180" i="69"/>
  <c r="P180" i="69"/>
  <c r="O180" i="69"/>
  <c r="N180" i="69"/>
  <c r="M180" i="69"/>
  <c r="AB179" i="69"/>
  <c r="AA179" i="69"/>
  <c r="Q179" i="69"/>
  <c r="P179" i="69"/>
  <c r="O179" i="69"/>
  <c r="N179" i="69"/>
  <c r="M179" i="69"/>
  <c r="AB178" i="69"/>
  <c r="AA178" i="69"/>
  <c r="Q178" i="69"/>
  <c r="P178" i="69"/>
  <c r="O178" i="69"/>
  <c r="N178" i="69"/>
  <c r="M178" i="69"/>
  <c r="AB177" i="69"/>
  <c r="AA177" i="69"/>
  <c r="Q177" i="69"/>
  <c r="P177" i="69"/>
  <c r="O177" i="69"/>
  <c r="N177" i="69"/>
  <c r="M177" i="69"/>
  <c r="AB176" i="69"/>
  <c r="AA176" i="69"/>
  <c r="U176" i="69"/>
  <c r="Q176" i="69"/>
  <c r="P176" i="69"/>
  <c r="O176" i="69"/>
  <c r="N176" i="69"/>
  <c r="M176" i="69"/>
  <c r="AB175" i="69"/>
  <c r="AA175" i="69"/>
  <c r="Q175" i="69"/>
  <c r="P175" i="69"/>
  <c r="O175" i="69"/>
  <c r="N175" i="69"/>
  <c r="M175" i="69"/>
  <c r="AB174" i="69"/>
  <c r="AA174" i="69"/>
  <c r="Q174" i="69"/>
  <c r="P174" i="69"/>
  <c r="O174" i="69"/>
  <c r="N174" i="69"/>
  <c r="M174" i="69"/>
  <c r="AB173" i="69"/>
  <c r="AA173" i="69"/>
  <c r="Q173" i="69"/>
  <c r="P173" i="69"/>
  <c r="O173" i="69"/>
  <c r="N173" i="69"/>
  <c r="M173" i="69"/>
  <c r="AB172" i="69"/>
  <c r="AA172" i="69"/>
  <c r="Q172" i="69"/>
  <c r="P172" i="69"/>
  <c r="O172" i="69"/>
  <c r="N172" i="69"/>
  <c r="M172" i="69"/>
  <c r="AB171" i="69"/>
  <c r="AA171" i="69"/>
  <c r="Q171" i="69"/>
  <c r="P171" i="69"/>
  <c r="O171" i="69"/>
  <c r="N171" i="69"/>
  <c r="M171" i="69"/>
  <c r="AB170" i="69"/>
  <c r="AA170" i="69"/>
  <c r="Q170" i="69"/>
  <c r="P170" i="69"/>
  <c r="O170" i="69"/>
  <c r="N170" i="69"/>
  <c r="M170" i="69"/>
  <c r="AB169" i="69"/>
  <c r="AA169" i="69"/>
  <c r="Q169" i="69"/>
  <c r="P169" i="69"/>
  <c r="O169" i="69"/>
  <c r="N169" i="69"/>
  <c r="M169" i="69"/>
  <c r="AB168" i="69"/>
  <c r="AA168" i="69"/>
  <c r="Q168" i="69"/>
  <c r="P168" i="69"/>
  <c r="O168" i="69"/>
  <c r="N168" i="69"/>
  <c r="M168" i="69"/>
  <c r="AB167" i="69"/>
  <c r="AA167" i="69"/>
  <c r="Q167" i="69"/>
  <c r="P167" i="69"/>
  <c r="O167" i="69"/>
  <c r="N167" i="69"/>
  <c r="M167" i="69"/>
  <c r="AB166" i="69"/>
  <c r="AA166" i="69"/>
  <c r="Q166" i="69"/>
  <c r="P166" i="69"/>
  <c r="O166" i="69"/>
  <c r="N166" i="69"/>
  <c r="M166" i="69"/>
  <c r="AB165" i="69"/>
  <c r="AA165" i="69"/>
  <c r="Q165" i="69"/>
  <c r="P165" i="69"/>
  <c r="O165" i="69"/>
  <c r="N165" i="69"/>
  <c r="M165" i="69"/>
  <c r="AB164" i="69"/>
  <c r="AA164" i="69"/>
  <c r="Q164" i="69"/>
  <c r="P164" i="69"/>
  <c r="O164" i="69"/>
  <c r="N164" i="69"/>
  <c r="M164" i="69"/>
  <c r="AB163" i="69"/>
  <c r="AA163" i="69"/>
  <c r="Q163" i="69"/>
  <c r="P163" i="69"/>
  <c r="O163" i="69"/>
  <c r="N163" i="69"/>
  <c r="M163" i="69"/>
  <c r="AB162" i="69"/>
  <c r="AA162" i="69"/>
  <c r="Q162" i="69"/>
  <c r="P162" i="69"/>
  <c r="O162" i="69"/>
  <c r="N162" i="69"/>
  <c r="M162" i="69"/>
  <c r="AB161" i="69"/>
  <c r="AA161" i="69"/>
  <c r="Q161" i="69"/>
  <c r="P161" i="69"/>
  <c r="O161" i="69"/>
  <c r="N161" i="69"/>
  <c r="M161" i="69"/>
  <c r="AB160" i="69"/>
  <c r="AA160" i="69"/>
  <c r="Q160" i="69"/>
  <c r="P160" i="69"/>
  <c r="O160" i="69"/>
  <c r="N160" i="69"/>
  <c r="M160" i="69"/>
  <c r="AB159" i="69"/>
  <c r="AA159" i="69"/>
  <c r="Q159" i="69"/>
  <c r="P159" i="69"/>
  <c r="O159" i="69"/>
  <c r="N159" i="69"/>
  <c r="M159" i="69"/>
  <c r="AB158" i="69"/>
  <c r="AA158" i="69"/>
  <c r="Q158" i="69"/>
  <c r="P158" i="69"/>
  <c r="O158" i="69"/>
  <c r="N158" i="69"/>
  <c r="M158" i="69"/>
  <c r="AB157" i="69"/>
  <c r="AA157" i="69"/>
  <c r="V157" i="69"/>
  <c r="W157" i="69" s="1"/>
  <c r="Q157" i="69"/>
  <c r="P157" i="69"/>
  <c r="O157" i="69"/>
  <c r="N157" i="69"/>
  <c r="M157" i="69"/>
  <c r="AB156" i="69"/>
  <c r="AA156" i="69"/>
  <c r="Q156" i="69"/>
  <c r="P156" i="69"/>
  <c r="O156" i="69"/>
  <c r="N156" i="69"/>
  <c r="M156" i="69"/>
  <c r="AB155" i="69"/>
  <c r="AA155" i="69"/>
  <c r="V155" i="69"/>
  <c r="W155" i="69" s="1"/>
  <c r="Q155" i="69"/>
  <c r="P155" i="69"/>
  <c r="O155" i="69"/>
  <c r="N155" i="69"/>
  <c r="M155" i="69"/>
  <c r="AB154" i="69"/>
  <c r="AA154" i="69"/>
  <c r="V154" i="69"/>
  <c r="W154" i="69" s="1"/>
  <c r="Q154" i="69"/>
  <c r="P154" i="69"/>
  <c r="O154" i="69"/>
  <c r="N154" i="69"/>
  <c r="M154" i="69"/>
  <c r="AB153" i="69"/>
  <c r="AA153" i="69"/>
  <c r="V153" i="69"/>
  <c r="W153" i="69" s="1"/>
  <c r="Q153" i="69"/>
  <c r="P153" i="69"/>
  <c r="O153" i="69"/>
  <c r="N153" i="69"/>
  <c r="M153" i="69"/>
  <c r="AB152" i="69"/>
  <c r="AA152" i="69"/>
  <c r="W152" i="69"/>
  <c r="V152" i="69"/>
  <c r="Q152" i="69"/>
  <c r="P152" i="69"/>
  <c r="O152" i="69"/>
  <c r="N152" i="69"/>
  <c r="M152" i="69"/>
  <c r="AB151" i="69"/>
  <c r="AA151" i="69"/>
  <c r="V151" i="69"/>
  <c r="W151" i="69" s="1"/>
  <c r="Q151" i="69"/>
  <c r="P151" i="69"/>
  <c r="O151" i="69"/>
  <c r="N151" i="69"/>
  <c r="M151" i="69"/>
  <c r="AB150" i="69"/>
  <c r="AA150" i="69"/>
  <c r="V150" i="69"/>
  <c r="W150" i="69" s="1"/>
  <c r="Q150" i="69"/>
  <c r="P150" i="69"/>
  <c r="O150" i="69"/>
  <c r="N150" i="69"/>
  <c r="M150" i="69"/>
  <c r="AB149" i="69"/>
  <c r="AA149" i="69"/>
  <c r="V149" i="69"/>
  <c r="W149" i="69" s="1"/>
  <c r="Q149" i="69"/>
  <c r="P149" i="69"/>
  <c r="O149" i="69"/>
  <c r="N149" i="69"/>
  <c r="M149" i="69"/>
  <c r="AB148" i="69"/>
  <c r="AA148" i="69"/>
  <c r="Q148" i="69"/>
  <c r="P148" i="69"/>
  <c r="O148" i="69"/>
  <c r="N148" i="69"/>
  <c r="M148" i="69"/>
  <c r="AB147" i="69"/>
  <c r="AA147" i="69"/>
  <c r="Q147" i="69"/>
  <c r="P147" i="69"/>
  <c r="O147" i="69"/>
  <c r="N147" i="69"/>
  <c r="M147" i="69"/>
  <c r="AB146" i="69"/>
  <c r="AA146" i="69"/>
  <c r="Q146" i="69"/>
  <c r="P146" i="69"/>
  <c r="O146" i="69"/>
  <c r="N146" i="69"/>
  <c r="M146" i="69"/>
  <c r="AB145" i="69"/>
  <c r="AA145" i="69"/>
  <c r="Q145" i="69"/>
  <c r="P145" i="69"/>
  <c r="O145" i="69"/>
  <c r="N145" i="69"/>
  <c r="M145" i="69"/>
  <c r="AB144" i="69"/>
  <c r="AA144" i="69"/>
  <c r="Q144" i="69"/>
  <c r="P144" i="69"/>
  <c r="O144" i="69"/>
  <c r="N144" i="69"/>
  <c r="M144" i="69"/>
  <c r="AB143" i="69"/>
  <c r="AA143" i="69"/>
  <c r="Q143" i="69"/>
  <c r="P143" i="69"/>
  <c r="O143" i="69"/>
  <c r="N143" i="69"/>
  <c r="M143" i="69"/>
  <c r="AB142" i="69"/>
  <c r="AA142" i="69"/>
  <c r="Q142" i="69"/>
  <c r="P142" i="69"/>
  <c r="O142" i="69"/>
  <c r="N142" i="69"/>
  <c r="M142" i="69"/>
  <c r="AB141" i="69"/>
  <c r="AA141" i="69"/>
  <c r="Q141" i="69"/>
  <c r="P141" i="69"/>
  <c r="O141" i="69"/>
  <c r="N141" i="69"/>
  <c r="M141" i="69"/>
  <c r="AB140" i="69"/>
  <c r="AA140" i="69"/>
  <c r="Q140" i="69"/>
  <c r="P140" i="69"/>
  <c r="O140" i="69"/>
  <c r="N140" i="69"/>
  <c r="M140" i="69"/>
  <c r="AB139" i="69"/>
  <c r="AA139" i="69"/>
  <c r="Q139" i="69"/>
  <c r="P139" i="69"/>
  <c r="O139" i="69"/>
  <c r="N139" i="69"/>
  <c r="M139" i="69"/>
  <c r="AB138" i="69"/>
  <c r="AA138" i="69"/>
  <c r="Q138" i="69"/>
  <c r="P138" i="69"/>
  <c r="O138" i="69"/>
  <c r="N138" i="69"/>
  <c r="M138" i="69"/>
  <c r="AB137" i="69"/>
  <c r="AA137" i="69"/>
  <c r="Q137" i="69"/>
  <c r="P137" i="69"/>
  <c r="O137" i="69"/>
  <c r="N137" i="69"/>
  <c r="M137" i="69"/>
  <c r="AB136" i="69"/>
  <c r="AA136" i="69"/>
  <c r="Q136" i="69"/>
  <c r="P136" i="69"/>
  <c r="O136" i="69"/>
  <c r="N136" i="69"/>
  <c r="M136" i="69"/>
  <c r="AB135" i="69"/>
  <c r="AA135" i="69"/>
  <c r="Q135" i="69"/>
  <c r="P135" i="69"/>
  <c r="O135" i="69"/>
  <c r="N135" i="69"/>
  <c r="M135" i="69"/>
  <c r="AB134" i="69"/>
  <c r="AA134" i="69"/>
  <c r="Q134" i="69"/>
  <c r="P134" i="69"/>
  <c r="O134" i="69"/>
  <c r="N134" i="69"/>
  <c r="M134" i="69"/>
  <c r="AB133" i="69"/>
  <c r="AA133" i="69"/>
  <c r="Q133" i="69"/>
  <c r="P133" i="69"/>
  <c r="O133" i="69"/>
  <c r="N133" i="69"/>
  <c r="M133" i="69"/>
  <c r="AB132" i="69"/>
  <c r="AA132" i="69"/>
  <c r="Q132" i="69"/>
  <c r="P132" i="69"/>
  <c r="O132" i="69"/>
  <c r="N132" i="69"/>
  <c r="M132" i="69"/>
  <c r="AB131" i="69"/>
  <c r="AA131" i="69"/>
  <c r="Q131" i="69"/>
  <c r="P131" i="69"/>
  <c r="O131" i="69"/>
  <c r="N131" i="69"/>
  <c r="M131" i="69"/>
  <c r="AB130" i="69"/>
  <c r="AA130" i="69"/>
  <c r="Q130" i="69"/>
  <c r="P130" i="69"/>
  <c r="O130" i="69"/>
  <c r="N130" i="69"/>
  <c r="M130" i="69"/>
  <c r="AB129" i="69"/>
  <c r="AA129" i="69"/>
  <c r="Q129" i="69"/>
  <c r="P129" i="69"/>
  <c r="O129" i="69"/>
  <c r="N129" i="69"/>
  <c r="M129" i="69"/>
  <c r="AB128" i="69"/>
  <c r="AA128" i="69"/>
  <c r="Q128" i="69"/>
  <c r="P128" i="69"/>
  <c r="O128" i="69"/>
  <c r="N128" i="69"/>
  <c r="M128" i="69"/>
  <c r="AB127" i="69"/>
  <c r="AA127" i="69"/>
  <c r="Q127" i="69"/>
  <c r="P127" i="69"/>
  <c r="O127" i="69"/>
  <c r="N127" i="69"/>
  <c r="M127" i="69"/>
  <c r="AB126" i="69"/>
  <c r="AA126" i="69"/>
  <c r="Q126" i="69"/>
  <c r="P126" i="69"/>
  <c r="O126" i="69"/>
  <c r="N126" i="69"/>
  <c r="M126" i="69"/>
  <c r="AB125" i="69"/>
  <c r="AA125" i="69"/>
  <c r="W125" i="69"/>
  <c r="V125" i="69"/>
  <c r="Q125" i="69"/>
  <c r="P125" i="69"/>
  <c r="O125" i="69"/>
  <c r="N125" i="69"/>
  <c r="M125" i="69"/>
  <c r="AB124" i="69"/>
  <c r="AA124" i="69"/>
  <c r="Q124" i="69"/>
  <c r="P124" i="69"/>
  <c r="O124" i="69"/>
  <c r="N124" i="69"/>
  <c r="M124" i="69"/>
  <c r="AB123" i="69"/>
  <c r="AA123" i="69"/>
  <c r="Q123" i="69"/>
  <c r="P123" i="69"/>
  <c r="O123" i="69"/>
  <c r="N123" i="69"/>
  <c r="M123" i="69"/>
  <c r="AB122" i="69"/>
  <c r="AA122" i="69"/>
  <c r="U122" i="69"/>
  <c r="Q122" i="69"/>
  <c r="P122" i="69"/>
  <c r="O122" i="69"/>
  <c r="N122" i="69"/>
  <c r="M122" i="69"/>
  <c r="AB121" i="69"/>
  <c r="AA121" i="69"/>
  <c r="Q121" i="69"/>
  <c r="P121" i="69"/>
  <c r="O121" i="69"/>
  <c r="N121" i="69"/>
  <c r="M121" i="69"/>
  <c r="AB120" i="69"/>
  <c r="AA120" i="69"/>
  <c r="Q120" i="69"/>
  <c r="P120" i="69"/>
  <c r="O120" i="69"/>
  <c r="N120" i="69"/>
  <c r="M120" i="69"/>
  <c r="AB119" i="69"/>
  <c r="AA119" i="69"/>
  <c r="Q119" i="69"/>
  <c r="P119" i="69"/>
  <c r="N119" i="69"/>
  <c r="M119" i="69"/>
  <c r="AB118" i="69"/>
  <c r="AA118" i="69"/>
  <c r="Q118" i="69"/>
  <c r="P118" i="69"/>
  <c r="N118" i="69"/>
  <c r="M118" i="69"/>
  <c r="AB117" i="69"/>
  <c r="AA117" i="69"/>
  <c r="Q117" i="69"/>
  <c r="P117" i="69"/>
  <c r="O117" i="69"/>
  <c r="N117" i="69"/>
  <c r="M117" i="69"/>
  <c r="AB116" i="69"/>
  <c r="AA116" i="69"/>
  <c r="Q116" i="69"/>
  <c r="P116" i="69"/>
  <c r="O116" i="69"/>
  <c r="N116" i="69"/>
  <c r="M116" i="69"/>
  <c r="AB115" i="69"/>
  <c r="AA115" i="69"/>
  <c r="Q115" i="69"/>
  <c r="P115" i="69"/>
  <c r="O115" i="69"/>
  <c r="N115" i="69"/>
  <c r="M115" i="69"/>
  <c r="AB114" i="69"/>
  <c r="AA114" i="69"/>
  <c r="W114" i="69"/>
  <c r="V114" i="69"/>
  <c r="Q114" i="69"/>
  <c r="P114" i="69"/>
  <c r="O114" i="69"/>
  <c r="N114" i="69"/>
  <c r="M114" i="69"/>
  <c r="AB113" i="69"/>
  <c r="AA113" i="69"/>
  <c r="Q113" i="69"/>
  <c r="O113" i="69"/>
  <c r="N113" i="69"/>
  <c r="K113" i="69"/>
  <c r="P113" i="69" s="1"/>
  <c r="AB112" i="69"/>
  <c r="AA112" i="69"/>
  <c r="Q112" i="69"/>
  <c r="O112" i="69"/>
  <c r="N112" i="69"/>
  <c r="K112" i="69"/>
  <c r="P112" i="69" s="1"/>
  <c r="AB111" i="69"/>
  <c r="AA111" i="69"/>
  <c r="Q111" i="69"/>
  <c r="O111" i="69"/>
  <c r="N111" i="69"/>
  <c r="K111" i="69"/>
  <c r="M111" i="69" s="1"/>
  <c r="AB110" i="69"/>
  <c r="AA110" i="69"/>
  <c r="Q110" i="69"/>
  <c r="O110" i="69"/>
  <c r="N110" i="69"/>
  <c r="K110" i="69"/>
  <c r="P110" i="69" s="1"/>
  <c r="AB109" i="69"/>
  <c r="AA109" i="69"/>
  <c r="Q109" i="69"/>
  <c r="O109" i="69"/>
  <c r="N109" i="69"/>
  <c r="K109" i="69"/>
  <c r="M109" i="69" s="1"/>
  <c r="AB108" i="69"/>
  <c r="AA108" i="69"/>
  <c r="Q108" i="69"/>
  <c r="O108" i="69"/>
  <c r="N108" i="69"/>
  <c r="K108" i="69"/>
  <c r="P108" i="69" s="1"/>
  <c r="AB107" i="69"/>
  <c r="AA107" i="69"/>
  <c r="Q107" i="69"/>
  <c r="O107" i="69"/>
  <c r="N107" i="69"/>
  <c r="K107" i="69"/>
  <c r="P107" i="69" s="1"/>
  <c r="AB106" i="69"/>
  <c r="AA106" i="69"/>
  <c r="Q106" i="69"/>
  <c r="O106" i="69"/>
  <c r="N106" i="69"/>
  <c r="K106" i="69"/>
  <c r="P106" i="69" s="1"/>
  <c r="AB105" i="69"/>
  <c r="AA105" i="69"/>
  <c r="Q105" i="69"/>
  <c r="O105" i="69"/>
  <c r="N105" i="69"/>
  <c r="K105" i="69"/>
  <c r="P105" i="69" s="1"/>
  <c r="AB104" i="69"/>
  <c r="AA104" i="69"/>
  <c r="W104" i="69"/>
  <c r="V104" i="69"/>
  <c r="Q104" i="69"/>
  <c r="O104" i="69"/>
  <c r="N104" i="69"/>
  <c r="K104" i="69"/>
  <c r="P104" i="69" s="1"/>
  <c r="AB103" i="69"/>
  <c r="AA103" i="69"/>
  <c r="Q103" i="69"/>
  <c r="O103" i="69"/>
  <c r="N103" i="69"/>
  <c r="K103" i="69"/>
  <c r="M103" i="69" s="1"/>
  <c r="AB102" i="69"/>
  <c r="AA102" i="69"/>
  <c r="Q102" i="69"/>
  <c r="O102" i="69"/>
  <c r="N102" i="69"/>
  <c r="K102" i="69"/>
  <c r="P102" i="69" s="1"/>
  <c r="AB101" i="69"/>
  <c r="AA101" i="69"/>
  <c r="Q101" i="69"/>
  <c r="O101" i="69"/>
  <c r="N101" i="69"/>
  <c r="K101" i="69"/>
  <c r="P101" i="69" s="1"/>
  <c r="AB100" i="69"/>
  <c r="AA100" i="69"/>
  <c r="Q100" i="69"/>
  <c r="O100" i="69"/>
  <c r="N100" i="69"/>
  <c r="K100" i="69"/>
  <c r="P100" i="69" s="1"/>
  <c r="AB99" i="69"/>
  <c r="AA99" i="69"/>
  <c r="Q99" i="69"/>
  <c r="O99" i="69"/>
  <c r="N99" i="69"/>
  <c r="K99" i="69"/>
  <c r="P99" i="69" s="1"/>
  <c r="AB98" i="69"/>
  <c r="AA98" i="69"/>
  <c r="Q98" i="69"/>
  <c r="P98" i="69"/>
  <c r="O98" i="69"/>
  <c r="N98" i="69"/>
  <c r="M98" i="69"/>
  <c r="AB97" i="69"/>
  <c r="AA97" i="69"/>
  <c r="Q97" i="69"/>
  <c r="P97" i="69"/>
  <c r="N97" i="69"/>
  <c r="J97" i="69"/>
  <c r="O97" i="69" s="1"/>
  <c r="AB96" i="69"/>
  <c r="AA96" i="69"/>
  <c r="Q96" i="69"/>
  <c r="P96" i="69"/>
  <c r="N96" i="69"/>
  <c r="J96" i="69"/>
  <c r="M96" i="69" s="1"/>
  <c r="AB95" i="69"/>
  <c r="AA95" i="69"/>
  <c r="Q95" i="69"/>
  <c r="P95" i="69"/>
  <c r="N95" i="69"/>
  <c r="M95" i="69"/>
  <c r="J95" i="69"/>
  <c r="O95" i="69" s="1"/>
  <c r="AB94" i="69"/>
  <c r="AA94" i="69"/>
  <c r="Q94" i="69"/>
  <c r="P94" i="69"/>
  <c r="N94" i="69"/>
  <c r="J94" i="69"/>
  <c r="M94" i="69" s="1"/>
  <c r="AB93" i="69"/>
  <c r="AA93" i="69"/>
  <c r="Q93" i="69"/>
  <c r="P93" i="69"/>
  <c r="O93" i="69"/>
  <c r="N93" i="69"/>
  <c r="M93" i="69"/>
  <c r="AB92" i="69"/>
  <c r="AA92" i="69"/>
  <c r="Q92" i="69"/>
  <c r="P92" i="69"/>
  <c r="O92" i="69"/>
  <c r="N92" i="69"/>
  <c r="M92" i="69"/>
  <c r="AB91" i="69"/>
  <c r="AA91" i="69"/>
  <c r="Q91" i="69"/>
  <c r="P91" i="69"/>
  <c r="O91" i="69"/>
  <c r="N91" i="69"/>
  <c r="M91" i="69"/>
  <c r="AB90" i="69"/>
  <c r="AA90" i="69"/>
  <c r="Q90" i="69"/>
  <c r="P90" i="69"/>
  <c r="O90" i="69"/>
  <c r="N90" i="69"/>
  <c r="M90" i="69"/>
  <c r="AB89" i="69"/>
  <c r="AA89" i="69"/>
  <c r="Q89" i="69"/>
  <c r="P89" i="69"/>
  <c r="O89" i="69"/>
  <c r="N89" i="69"/>
  <c r="M89" i="69"/>
  <c r="AB88" i="69"/>
  <c r="AA88" i="69"/>
  <c r="Q88" i="69"/>
  <c r="P88" i="69"/>
  <c r="O88" i="69"/>
  <c r="N88" i="69"/>
  <c r="M88" i="69"/>
  <c r="AB87" i="69"/>
  <c r="AA87" i="69"/>
  <c r="Q87" i="69"/>
  <c r="P87" i="69"/>
  <c r="O87" i="69"/>
  <c r="N87" i="69"/>
  <c r="M87" i="69"/>
  <c r="AB86" i="69"/>
  <c r="AA86" i="69"/>
  <c r="Q86" i="69"/>
  <c r="P86" i="69"/>
  <c r="O86" i="69"/>
  <c r="N86" i="69"/>
  <c r="M86" i="69"/>
  <c r="AB85" i="69"/>
  <c r="AA85" i="69"/>
  <c r="Q85" i="69"/>
  <c r="P85" i="69"/>
  <c r="O85" i="69"/>
  <c r="N85" i="69"/>
  <c r="M85" i="69"/>
  <c r="AB84" i="69"/>
  <c r="AA84" i="69"/>
  <c r="Q84" i="69"/>
  <c r="P84" i="69"/>
  <c r="O84" i="69"/>
  <c r="N84" i="69"/>
  <c r="M84" i="69"/>
  <c r="AB83" i="69"/>
  <c r="AA83" i="69"/>
  <c r="Q83" i="69"/>
  <c r="P83" i="69"/>
  <c r="O83" i="69"/>
  <c r="N83" i="69"/>
  <c r="M83" i="69"/>
  <c r="AB82" i="69"/>
  <c r="AA82" i="69"/>
  <c r="Q82" i="69"/>
  <c r="P82" i="69"/>
  <c r="O82" i="69"/>
  <c r="N82" i="69"/>
  <c r="M82" i="69"/>
  <c r="AB81" i="69"/>
  <c r="AA81" i="69"/>
  <c r="Q81" i="69"/>
  <c r="P81" i="69"/>
  <c r="O81" i="69"/>
  <c r="N81" i="69"/>
  <c r="M81" i="69"/>
  <c r="AB80" i="69"/>
  <c r="AA80" i="69"/>
  <c r="Q80" i="69"/>
  <c r="P80" i="69"/>
  <c r="O80" i="69"/>
  <c r="N80" i="69"/>
  <c r="M80" i="69"/>
  <c r="AB79" i="69"/>
  <c r="AA79" i="69"/>
  <c r="Q79" i="69"/>
  <c r="P79" i="69"/>
  <c r="O79" i="69"/>
  <c r="N79" i="69"/>
  <c r="M79" i="69"/>
  <c r="AB78" i="69"/>
  <c r="AA78" i="69"/>
  <c r="Q78" i="69"/>
  <c r="P78" i="69"/>
  <c r="O78" i="69"/>
  <c r="N78" i="69"/>
  <c r="M78" i="69"/>
  <c r="AB77" i="69"/>
  <c r="AA77" i="69"/>
  <c r="Q77" i="69"/>
  <c r="P77" i="69"/>
  <c r="O77" i="69"/>
  <c r="N77" i="69"/>
  <c r="M77" i="69"/>
  <c r="AB76" i="69"/>
  <c r="AA76" i="69"/>
  <c r="Q76" i="69"/>
  <c r="P76" i="69"/>
  <c r="O76" i="69"/>
  <c r="N76" i="69"/>
  <c r="M76" i="69"/>
  <c r="AB75" i="69"/>
  <c r="AA75" i="69"/>
  <c r="Q75" i="69"/>
  <c r="P75" i="69"/>
  <c r="O75" i="69"/>
  <c r="N75" i="69"/>
  <c r="M75" i="69"/>
  <c r="AB74" i="69"/>
  <c r="AA74" i="69"/>
  <c r="Q74" i="69"/>
  <c r="P74" i="69"/>
  <c r="O74" i="69"/>
  <c r="N74" i="69"/>
  <c r="M74" i="69"/>
  <c r="AB73" i="69"/>
  <c r="AA73" i="69"/>
  <c r="Q73" i="69"/>
  <c r="P73" i="69"/>
  <c r="O73" i="69"/>
  <c r="N73" i="69"/>
  <c r="M73" i="69"/>
  <c r="AB72" i="69"/>
  <c r="AA72" i="69"/>
  <c r="Q72" i="69"/>
  <c r="P72" i="69"/>
  <c r="O72" i="69"/>
  <c r="N72" i="69"/>
  <c r="M72" i="69"/>
  <c r="AB71" i="69"/>
  <c r="AA71" i="69"/>
  <c r="Q71" i="69"/>
  <c r="P71" i="69"/>
  <c r="O71" i="69"/>
  <c r="N71" i="69"/>
  <c r="M71" i="69"/>
  <c r="AB70" i="69"/>
  <c r="AA70" i="69"/>
  <c r="Q70" i="69"/>
  <c r="P70" i="69"/>
  <c r="O70" i="69"/>
  <c r="N70" i="69"/>
  <c r="M70" i="69"/>
  <c r="AB69" i="69"/>
  <c r="AA69" i="69"/>
  <c r="Q69" i="69"/>
  <c r="P69" i="69"/>
  <c r="O69" i="69"/>
  <c r="N69" i="69"/>
  <c r="M69" i="69"/>
  <c r="AB68" i="69"/>
  <c r="AA68" i="69"/>
  <c r="Q68" i="69"/>
  <c r="P68" i="69"/>
  <c r="O68" i="69"/>
  <c r="N68" i="69"/>
  <c r="M68" i="69"/>
  <c r="AB67" i="69"/>
  <c r="AA67" i="69"/>
  <c r="Q67" i="69"/>
  <c r="P67" i="69"/>
  <c r="O67" i="69"/>
  <c r="N67" i="69"/>
  <c r="M67" i="69"/>
  <c r="AB66" i="69"/>
  <c r="AA66" i="69"/>
  <c r="Q66" i="69"/>
  <c r="P66" i="69"/>
  <c r="O66" i="69"/>
  <c r="N66" i="69"/>
  <c r="M66" i="69"/>
  <c r="AB65" i="69"/>
  <c r="AA65" i="69"/>
  <c r="Q65" i="69"/>
  <c r="P65" i="69"/>
  <c r="O65" i="69"/>
  <c r="N65" i="69"/>
  <c r="M65" i="69"/>
  <c r="AB64" i="69"/>
  <c r="AA64" i="69"/>
  <c r="Q64" i="69"/>
  <c r="P64" i="69"/>
  <c r="O64" i="69"/>
  <c r="N64" i="69"/>
  <c r="M64" i="69"/>
  <c r="AB63" i="69"/>
  <c r="AA63" i="69"/>
  <c r="Q63" i="69"/>
  <c r="P63" i="69"/>
  <c r="O63" i="69"/>
  <c r="N63" i="69"/>
  <c r="M63" i="69"/>
  <c r="AB62" i="69"/>
  <c r="AA62" i="69"/>
  <c r="Q62" i="69"/>
  <c r="P62" i="69"/>
  <c r="O62" i="69"/>
  <c r="N62" i="69"/>
  <c r="M62" i="69"/>
  <c r="AB61" i="69"/>
  <c r="AA61" i="69"/>
  <c r="Q61" i="69"/>
  <c r="P61" i="69"/>
  <c r="O61" i="69"/>
  <c r="N61" i="69"/>
  <c r="M61" i="69"/>
  <c r="AB60" i="69"/>
  <c r="AA60" i="69"/>
  <c r="Q60" i="69"/>
  <c r="P60" i="69"/>
  <c r="O60" i="69"/>
  <c r="N60" i="69"/>
  <c r="M60" i="69"/>
  <c r="AB59" i="69"/>
  <c r="AA59" i="69"/>
  <c r="Q59" i="69"/>
  <c r="P59" i="69"/>
  <c r="O59" i="69"/>
  <c r="N59" i="69"/>
  <c r="M59" i="69"/>
  <c r="AB58" i="69"/>
  <c r="AA58" i="69"/>
  <c r="Q58" i="69"/>
  <c r="P58" i="69"/>
  <c r="O58" i="69"/>
  <c r="N58" i="69"/>
  <c r="M58" i="69"/>
  <c r="AB57" i="69"/>
  <c r="AA57" i="69"/>
  <c r="Q57" i="69"/>
  <c r="P57" i="69"/>
  <c r="O57" i="69"/>
  <c r="N57" i="69"/>
  <c r="M57" i="69"/>
  <c r="AB56" i="69"/>
  <c r="AA56" i="69"/>
  <c r="Q56" i="69"/>
  <c r="P56" i="69"/>
  <c r="O56" i="69"/>
  <c r="N56" i="69"/>
  <c r="M56" i="69"/>
  <c r="AB55" i="69"/>
  <c r="AA55" i="69"/>
  <c r="Q55" i="69"/>
  <c r="P55" i="69"/>
  <c r="O55" i="69"/>
  <c r="N55" i="69"/>
  <c r="M55" i="69"/>
  <c r="AB54" i="69"/>
  <c r="AA54" i="69"/>
  <c r="Q54" i="69"/>
  <c r="P54" i="69"/>
  <c r="O54" i="69"/>
  <c r="N54" i="69"/>
  <c r="M54" i="69"/>
  <c r="AB53" i="69"/>
  <c r="AA53" i="69"/>
  <c r="Q53" i="69"/>
  <c r="P53" i="69"/>
  <c r="O53" i="69"/>
  <c r="N53" i="69"/>
  <c r="M53" i="69"/>
  <c r="AB52" i="69"/>
  <c r="AA52" i="69"/>
  <c r="Q52" i="69"/>
  <c r="P52" i="69"/>
  <c r="O52" i="69"/>
  <c r="N52" i="69"/>
  <c r="M52" i="69"/>
  <c r="AB51" i="69"/>
  <c r="AA51" i="69"/>
  <c r="Q51" i="69"/>
  <c r="P51" i="69"/>
  <c r="O51" i="69"/>
  <c r="N51" i="69"/>
  <c r="M51" i="69"/>
  <c r="AB50" i="69"/>
  <c r="AA50" i="69"/>
  <c r="Q50" i="69"/>
  <c r="P50" i="69"/>
  <c r="O50" i="69"/>
  <c r="N50" i="69"/>
  <c r="M50" i="69"/>
  <c r="AB49" i="69"/>
  <c r="AA49" i="69"/>
  <c r="Q49" i="69"/>
  <c r="P49" i="69"/>
  <c r="O49" i="69"/>
  <c r="N49" i="69"/>
  <c r="M49" i="69"/>
  <c r="AB48" i="69"/>
  <c r="AA48" i="69"/>
  <c r="Q48" i="69"/>
  <c r="P48" i="69"/>
  <c r="O48" i="69"/>
  <c r="N48" i="69"/>
  <c r="M48" i="69"/>
  <c r="AB47" i="69"/>
  <c r="AA47" i="69"/>
  <c r="Q47" i="69"/>
  <c r="P47" i="69"/>
  <c r="O47" i="69"/>
  <c r="N47" i="69"/>
  <c r="M47" i="69"/>
  <c r="AB46" i="69"/>
  <c r="AA46" i="69"/>
  <c r="Q46" i="69"/>
  <c r="P46" i="69"/>
  <c r="O46" i="69"/>
  <c r="N46" i="69"/>
  <c r="M46" i="69"/>
  <c r="AB45" i="69"/>
  <c r="AA45" i="69"/>
  <c r="Q45" i="69"/>
  <c r="P45" i="69"/>
  <c r="O45" i="69"/>
  <c r="N45" i="69"/>
  <c r="M45" i="69"/>
  <c r="AB44" i="69"/>
  <c r="AA44" i="69"/>
  <c r="Q44" i="69"/>
  <c r="P44" i="69"/>
  <c r="O44" i="69"/>
  <c r="N44" i="69"/>
  <c r="M44" i="69"/>
  <c r="AB43" i="69"/>
  <c r="AA43" i="69"/>
  <c r="Q43" i="69"/>
  <c r="P43" i="69"/>
  <c r="O43" i="69"/>
  <c r="N43" i="69"/>
  <c r="M43" i="69"/>
  <c r="AB42" i="69"/>
  <c r="AA42" i="69"/>
  <c r="Q42" i="69"/>
  <c r="P42" i="69"/>
  <c r="O42" i="69"/>
  <c r="N42" i="69"/>
  <c r="M42" i="69"/>
  <c r="AB41" i="69"/>
  <c r="AA41" i="69"/>
  <c r="Q41" i="69"/>
  <c r="P41" i="69"/>
  <c r="O41" i="69"/>
  <c r="N41" i="69"/>
  <c r="M41" i="69"/>
  <c r="AB40" i="69"/>
  <c r="AA40" i="69"/>
  <c r="Q40" i="69"/>
  <c r="P40" i="69"/>
  <c r="O40" i="69"/>
  <c r="N40" i="69"/>
  <c r="M40" i="69"/>
  <c r="AB39" i="69"/>
  <c r="AA39" i="69"/>
  <c r="Q39" i="69"/>
  <c r="P39" i="69"/>
  <c r="O39" i="69"/>
  <c r="N39" i="69"/>
  <c r="M39" i="69"/>
  <c r="AB38" i="69"/>
  <c r="AA38" i="69"/>
  <c r="Q38" i="69"/>
  <c r="P38" i="69"/>
  <c r="N38" i="69"/>
  <c r="J38" i="69"/>
  <c r="O38" i="69" s="1"/>
  <c r="AB37" i="69"/>
  <c r="AA37" i="69"/>
  <c r="Q37" i="69"/>
  <c r="P37" i="69"/>
  <c r="O37" i="69"/>
  <c r="N37" i="69"/>
  <c r="M37" i="69"/>
  <c r="AB36" i="69"/>
  <c r="AA36" i="69"/>
  <c r="Q36" i="69"/>
  <c r="P36" i="69"/>
  <c r="O36" i="69"/>
  <c r="N36" i="69"/>
  <c r="M36" i="69"/>
  <c r="AB35" i="69"/>
  <c r="AA35" i="69"/>
  <c r="Q35" i="69"/>
  <c r="P35" i="69"/>
  <c r="O35" i="69"/>
  <c r="N35" i="69"/>
  <c r="M35" i="69"/>
  <c r="AB34" i="69"/>
  <c r="AA34" i="69"/>
  <c r="Q34" i="69"/>
  <c r="P34" i="69"/>
  <c r="O34" i="69"/>
  <c r="N34" i="69"/>
  <c r="M34" i="69"/>
  <c r="AB33" i="69"/>
  <c r="AA33" i="69"/>
  <c r="Q33" i="69"/>
  <c r="P33" i="69"/>
  <c r="O33" i="69"/>
  <c r="N33" i="69"/>
  <c r="M33" i="69"/>
  <c r="AB32" i="69"/>
  <c r="AA32" i="69"/>
  <c r="Q32" i="69"/>
  <c r="P32" i="69"/>
  <c r="O32" i="69"/>
  <c r="N32" i="69"/>
  <c r="M32" i="69"/>
  <c r="AB31" i="69"/>
  <c r="AA31" i="69"/>
  <c r="Q31" i="69"/>
  <c r="P31" i="69"/>
  <c r="O31" i="69"/>
  <c r="N31" i="69"/>
  <c r="M31" i="69"/>
  <c r="AB30" i="69"/>
  <c r="AA30" i="69"/>
  <c r="Q30" i="69"/>
  <c r="P30" i="69"/>
  <c r="O30" i="69"/>
  <c r="N30" i="69"/>
  <c r="M30" i="69"/>
  <c r="AB29" i="69"/>
  <c r="AA29" i="69"/>
  <c r="Q29" i="69"/>
  <c r="P29" i="69"/>
  <c r="O29" i="69"/>
  <c r="N29" i="69"/>
  <c r="M29" i="69"/>
  <c r="AB28" i="69"/>
  <c r="AA28" i="69"/>
  <c r="Q28" i="69"/>
  <c r="P28" i="69"/>
  <c r="O28" i="69"/>
  <c r="N28" i="69"/>
  <c r="M28" i="69"/>
  <c r="AB27" i="69"/>
  <c r="AA27" i="69"/>
  <c r="Q27" i="69"/>
  <c r="P27" i="69"/>
  <c r="O27" i="69"/>
  <c r="N27" i="69"/>
  <c r="M27" i="69"/>
  <c r="AB26" i="69"/>
  <c r="AA26" i="69"/>
  <c r="Q26" i="69"/>
  <c r="P26" i="69"/>
  <c r="O26" i="69"/>
  <c r="N26" i="69"/>
  <c r="M26" i="69"/>
  <c r="AB25" i="69"/>
  <c r="AA25" i="69"/>
  <c r="Q25" i="69"/>
  <c r="P25" i="69"/>
  <c r="O25" i="69"/>
  <c r="N25" i="69"/>
  <c r="M25" i="69"/>
  <c r="AB24" i="69"/>
  <c r="AA24" i="69"/>
  <c r="Q24" i="69"/>
  <c r="P24" i="69"/>
  <c r="O24" i="69"/>
  <c r="N24" i="69"/>
  <c r="M24" i="69"/>
  <c r="AB23" i="69"/>
  <c r="AA23" i="69"/>
  <c r="Q23" i="69"/>
  <c r="P23" i="69"/>
  <c r="O23" i="69"/>
  <c r="N23" i="69"/>
  <c r="M23" i="69"/>
  <c r="AB22" i="69"/>
  <c r="AA22" i="69"/>
  <c r="Q22" i="69"/>
  <c r="P22" i="69"/>
  <c r="O22" i="69"/>
  <c r="N22" i="69"/>
  <c r="M22" i="69"/>
  <c r="AB21" i="69"/>
  <c r="AA21" i="69"/>
  <c r="Q21" i="69"/>
  <c r="P21" i="69"/>
  <c r="O21" i="69"/>
  <c r="N21" i="69"/>
  <c r="M21" i="69"/>
  <c r="AB20" i="69"/>
  <c r="AA20" i="69"/>
  <c r="Q20" i="69"/>
  <c r="P20" i="69"/>
  <c r="O20" i="69"/>
  <c r="N20" i="69"/>
  <c r="M20" i="69"/>
  <c r="AB19" i="69"/>
  <c r="AA19" i="69"/>
  <c r="Q19" i="69"/>
  <c r="P19" i="69"/>
  <c r="O19" i="69"/>
  <c r="N19" i="69"/>
  <c r="M19" i="69"/>
  <c r="AB18" i="69"/>
  <c r="AA18" i="69"/>
  <c r="Q18" i="69"/>
  <c r="P18" i="69"/>
  <c r="O18" i="69"/>
  <c r="N18" i="69"/>
  <c r="M18" i="69"/>
  <c r="AB17" i="69"/>
  <c r="AA17" i="69"/>
  <c r="Q17" i="69"/>
  <c r="P17" i="69"/>
  <c r="O17" i="69"/>
  <c r="N17" i="69"/>
  <c r="M17" i="69"/>
  <c r="AB16" i="69"/>
  <c r="AA16" i="69"/>
  <c r="Q16" i="69"/>
  <c r="P16" i="69"/>
  <c r="O16" i="69"/>
  <c r="N16" i="69"/>
  <c r="M16" i="69"/>
  <c r="AB15" i="69"/>
  <c r="AA15" i="69"/>
  <c r="Q15" i="69"/>
  <c r="P15" i="69"/>
  <c r="O15" i="69"/>
  <c r="N15" i="69"/>
  <c r="M15" i="69"/>
  <c r="AB14" i="69"/>
  <c r="AA14" i="69"/>
  <c r="Q14" i="69"/>
  <c r="P14" i="69"/>
  <c r="O14" i="69"/>
  <c r="N14" i="69"/>
  <c r="M14" i="69"/>
  <c r="AB13" i="69"/>
  <c r="AA13" i="69"/>
  <c r="Q13" i="69"/>
  <c r="P13" i="69"/>
  <c r="O13" i="69"/>
  <c r="N13" i="69"/>
  <c r="M13" i="69"/>
  <c r="AB12" i="69"/>
  <c r="AA12" i="69"/>
  <c r="Q12" i="69"/>
  <c r="P12" i="69"/>
  <c r="O12" i="69"/>
  <c r="N12" i="69"/>
  <c r="M12" i="69"/>
  <c r="AB11" i="69"/>
  <c r="AA11" i="69"/>
  <c r="Q11" i="69"/>
  <c r="P11" i="69"/>
  <c r="O11" i="69"/>
  <c r="N11" i="69"/>
  <c r="M11" i="69"/>
  <c r="AB10" i="69"/>
  <c r="AA10" i="69"/>
  <c r="Q10" i="69"/>
  <c r="P10" i="69"/>
  <c r="O10" i="69"/>
  <c r="N10" i="69"/>
  <c r="M10" i="69"/>
  <c r="AB9" i="69"/>
  <c r="AA9" i="69"/>
  <c r="Q9" i="69"/>
  <c r="P9" i="69"/>
  <c r="O9" i="69"/>
  <c r="N9" i="69"/>
  <c r="M9" i="69"/>
  <c r="AB8" i="69"/>
  <c r="AA8" i="69"/>
  <c r="Q8" i="69"/>
  <c r="P8" i="69"/>
  <c r="O8" i="69"/>
  <c r="N8" i="69"/>
  <c r="M8" i="69"/>
  <c r="AB7" i="69"/>
  <c r="AA7" i="69"/>
  <c r="Q7" i="69"/>
  <c r="P7" i="69"/>
  <c r="O7" i="69"/>
  <c r="N7" i="69"/>
  <c r="M7" i="69"/>
  <c r="AB6" i="69"/>
  <c r="AA6" i="69"/>
  <c r="Q6" i="69"/>
  <c r="P6" i="69"/>
  <c r="O6" i="69"/>
  <c r="N6" i="69"/>
  <c r="M6" i="69"/>
  <c r="D313" i="72" l="1"/>
  <c r="D306" i="72"/>
  <c r="D315" i="72"/>
  <c r="D116" i="72"/>
  <c r="D311" i="72"/>
  <c r="D115" i="72"/>
  <c r="M110" i="69"/>
  <c r="D309" i="72"/>
  <c r="D317" i="72"/>
  <c r="D397" i="72"/>
  <c r="M104" i="69"/>
  <c r="M113" i="69"/>
  <c r="D112" i="72"/>
  <c r="D114" i="72"/>
  <c r="R118" i="69"/>
  <c r="R119" i="69"/>
  <c r="D118" i="72"/>
  <c r="D413" i="72"/>
  <c r="D416" i="72"/>
  <c r="D418" i="72"/>
  <c r="D424" i="72"/>
  <c r="D426" i="72"/>
  <c r="D58" i="72"/>
  <c r="D60" i="72"/>
  <c r="D62" i="72"/>
  <c r="D64" i="72"/>
  <c r="D66" i="72"/>
  <c r="D68" i="72"/>
  <c r="D70" i="72"/>
  <c r="D72" i="72"/>
  <c r="D74" i="72"/>
  <c r="D76" i="72"/>
  <c r="D78" i="72"/>
  <c r="D80" i="72"/>
  <c r="D82" i="72"/>
  <c r="D84" i="72"/>
  <c r="D86" i="72"/>
  <c r="D88" i="72"/>
  <c r="D90" i="72"/>
  <c r="M99" i="69"/>
  <c r="M105" i="69"/>
  <c r="M112" i="69"/>
  <c r="M186" i="69"/>
  <c r="D241" i="72"/>
  <c r="D243" i="72"/>
  <c r="D245" i="72"/>
  <c r="O96" i="69"/>
  <c r="D93" i="72" s="1"/>
  <c r="M97" i="69"/>
  <c r="M101" i="69"/>
  <c r="P103" i="69"/>
  <c r="M107" i="69"/>
  <c r="P109" i="69"/>
  <c r="D150" i="72"/>
  <c r="D151" i="72"/>
  <c r="D153" i="72"/>
  <c r="R157" i="69"/>
  <c r="D159" i="72"/>
  <c r="D161" i="72"/>
  <c r="D167" i="72"/>
  <c r="D169" i="72"/>
  <c r="D171" i="72"/>
  <c r="D173" i="72"/>
  <c r="D174" i="72"/>
  <c r="D176" i="72"/>
  <c r="D186" i="72"/>
  <c r="D190" i="72"/>
  <c r="M416" i="69"/>
  <c r="O94" i="69"/>
  <c r="D247" i="72"/>
  <c r="D249" i="72"/>
  <c r="D251" i="72"/>
  <c r="D271" i="72"/>
  <c r="R275" i="69"/>
  <c r="D273" i="72"/>
  <c r="R277" i="69"/>
  <c r="D275" i="72"/>
  <c r="R279" i="69"/>
  <c r="D277" i="72"/>
  <c r="R281" i="69"/>
  <c r="D279" i="72"/>
  <c r="R283" i="69"/>
  <c r="D281" i="72"/>
  <c r="R285" i="69"/>
  <c r="D283" i="72"/>
  <c r="R287" i="69"/>
  <c r="D285" i="72"/>
  <c r="D432" i="72"/>
  <c r="R38" i="69"/>
  <c r="D45" i="72"/>
  <c r="D47" i="72"/>
  <c r="D49" i="72"/>
  <c r="D51" i="72"/>
  <c r="D53" i="72"/>
  <c r="D55" i="72"/>
  <c r="D57" i="72"/>
  <c r="D59" i="72"/>
  <c r="D61" i="72"/>
  <c r="D63" i="72"/>
  <c r="D65" i="72"/>
  <c r="D67" i="72"/>
  <c r="D69" i="72"/>
  <c r="D71" i="72"/>
  <c r="D73" i="72"/>
  <c r="D75" i="72"/>
  <c r="D77" i="72"/>
  <c r="D79" i="72"/>
  <c r="D81" i="72"/>
  <c r="D83" i="72"/>
  <c r="D85" i="72"/>
  <c r="D87" i="72"/>
  <c r="D89" i="72"/>
  <c r="D92" i="72"/>
  <c r="R99" i="69"/>
  <c r="D96" i="72"/>
  <c r="D97" i="72"/>
  <c r="D99" i="72"/>
  <c r="D101" i="72"/>
  <c r="R105" i="69"/>
  <c r="D102" i="72"/>
  <c r="D105" i="72"/>
  <c r="D107" i="72"/>
  <c r="R113" i="69"/>
  <c r="D110" i="72"/>
  <c r="D111" i="72"/>
  <c r="R126" i="69"/>
  <c r="D124" i="72"/>
  <c r="R128" i="69"/>
  <c r="D126" i="72"/>
  <c r="R130" i="69"/>
  <c r="D128" i="72"/>
  <c r="R132" i="69"/>
  <c r="D133" i="72"/>
  <c r="D135" i="72"/>
  <c r="D137" i="72"/>
  <c r="D141" i="72"/>
  <c r="D143" i="72"/>
  <c r="D145" i="72"/>
  <c r="R151" i="69"/>
  <c r="D149" i="72"/>
  <c r="R194" i="69"/>
  <c r="D197" i="72"/>
  <c r="R202" i="69"/>
  <c r="D200" i="72"/>
  <c r="D204" i="72"/>
  <c r="D211" i="72"/>
  <c r="D214" i="72"/>
  <c r="D224" i="72"/>
  <c r="D230" i="72"/>
  <c r="D231" i="72"/>
  <c r="D232" i="72"/>
  <c r="D254" i="72"/>
  <c r="D256" i="72"/>
  <c r="D258" i="72"/>
  <c r="D260" i="72"/>
  <c r="D262" i="72"/>
  <c r="D264" i="72"/>
  <c r="D266" i="72"/>
  <c r="D268" i="72"/>
  <c r="R272" i="69"/>
  <c r="D270" i="72"/>
  <c r="R307" i="69"/>
  <c r="D305" i="72"/>
  <c r="D307" i="72"/>
  <c r="D310" i="72"/>
  <c r="D312" i="72"/>
  <c r="D314" i="72"/>
  <c r="D316" i="72"/>
  <c r="D319" i="72"/>
  <c r="D321" i="72"/>
  <c r="D323" i="72"/>
  <c r="D325" i="72"/>
  <c r="D327" i="72"/>
  <c r="D329" i="72"/>
  <c r="D331" i="72"/>
  <c r="D333" i="72"/>
  <c r="D335" i="72"/>
  <c r="D336" i="72"/>
  <c r="D396" i="72"/>
  <c r="R448" i="69"/>
  <c r="R450" i="69"/>
  <c r="R452" i="69"/>
  <c r="R454" i="69"/>
  <c r="R456" i="69"/>
  <c r="R458" i="69"/>
  <c r="R460" i="69"/>
  <c r="R462" i="69"/>
  <c r="R7" i="69"/>
  <c r="D4" i="72"/>
  <c r="R9" i="69"/>
  <c r="D6" i="72"/>
  <c r="R13" i="69"/>
  <c r="D10" i="72"/>
  <c r="R48" i="69"/>
  <c r="R52" i="69"/>
  <c r="R54" i="69"/>
  <c r="R56" i="69"/>
  <c r="R6" i="69"/>
  <c r="D3" i="72"/>
  <c r="R8" i="69"/>
  <c r="D5" i="72"/>
  <c r="R10" i="69"/>
  <c r="D7" i="72"/>
  <c r="R12" i="69"/>
  <c r="D9" i="72"/>
  <c r="R14" i="69"/>
  <c r="D11" i="72"/>
  <c r="R16" i="69"/>
  <c r="D13" i="72"/>
  <c r="R18" i="69"/>
  <c r="D15" i="72"/>
  <c r="R20" i="69"/>
  <c r="D17" i="72"/>
  <c r="R22" i="69"/>
  <c r="D19" i="72"/>
  <c r="R24" i="69"/>
  <c r="D21" i="72"/>
  <c r="R26" i="69"/>
  <c r="D23" i="72"/>
  <c r="R28" i="69"/>
  <c r="D25" i="72"/>
  <c r="R30" i="69"/>
  <c r="D27" i="72"/>
  <c r="R32" i="69"/>
  <c r="D29" i="72"/>
  <c r="R34" i="69"/>
  <c r="D31" i="72"/>
  <c r="R36" i="69"/>
  <c r="D33" i="72"/>
  <c r="D35" i="72"/>
  <c r="D36" i="72"/>
  <c r="R39" i="69"/>
  <c r="D37" i="72"/>
  <c r="R40" i="69"/>
  <c r="D38" i="72"/>
  <c r="R41" i="69"/>
  <c r="D39" i="72"/>
  <c r="R42" i="69"/>
  <c r="D40" i="72"/>
  <c r="R43" i="69"/>
  <c r="D41" i="72"/>
  <c r="R44" i="69"/>
  <c r="D42" i="72"/>
  <c r="R45" i="69"/>
  <c r="D43" i="72"/>
  <c r="R46" i="69"/>
  <c r="D44" i="72"/>
  <c r="R47" i="69"/>
  <c r="D46" i="72"/>
  <c r="R49" i="69"/>
  <c r="D48" i="72"/>
  <c r="R51" i="69"/>
  <c r="D50" i="72"/>
  <c r="R53" i="69"/>
  <c r="D52" i="72"/>
  <c r="R55" i="69"/>
  <c r="D54" i="72"/>
  <c r="R57" i="69"/>
  <c r="D56" i="72"/>
  <c r="R59" i="69"/>
  <c r="R95" i="69"/>
  <c r="D94" i="72"/>
  <c r="R98" i="69"/>
  <c r="D95" i="72"/>
  <c r="D98" i="72"/>
  <c r="R101" i="69"/>
  <c r="R102" i="69"/>
  <c r="R104" i="69"/>
  <c r="D104" i="72"/>
  <c r="R107" i="69"/>
  <c r="R108" i="69"/>
  <c r="R110" i="69"/>
  <c r="D108" i="72"/>
  <c r="D113" i="72"/>
  <c r="R116" i="69"/>
  <c r="D117" i="72"/>
  <c r="R120" i="69"/>
  <c r="D119" i="72"/>
  <c r="R122" i="69"/>
  <c r="D120" i="72"/>
  <c r="R123" i="69"/>
  <c r="D121" i="72"/>
  <c r="R124" i="69"/>
  <c r="D122" i="72"/>
  <c r="R125" i="69"/>
  <c r="D123" i="72"/>
  <c r="R127" i="69"/>
  <c r="D125" i="72"/>
  <c r="R129" i="69"/>
  <c r="D127" i="72"/>
  <c r="R131" i="69"/>
  <c r="D129" i="72"/>
  <c r="D130" i="72"/>
  <c r="D132" i="72"/>
  <c r="R137" i="69"/>
  <c r="D134" i="72"/>
  <c r="R139" i="69"/>
  <c r="D136" i="72"/>
  <c r="D138" i="72"/>
  <c r="D140" i="72"/>
  <c r="R145" i="69"/>
  <c r="D142" i="72"/>
  <c r="R147" i="69"/>
  <c r="D144" i="72"/>
  <c r="D146" i="72"/>
  <c r="R150" i="69"/>
  <c r="D147" i="72"/>
  <c r="D148" i="72"/>
  <c r="D152" i="72"/>
  <c r="R155" i="69"/>
  <c r="D154" i="72"/>
  <c r="D156" i="72"/>
  <c r="R161" i="69"/>
  <c r="D158" i="72"/>
  <c r="R163" i="69"/>
  <c r="D160" i="72"/>
  <c r="D162" i="72"/>
  <c r="D164" i="72"/>
  <c r="R169" i="69"/>
  <c r="D166" i="72"/>
  <c r="R171" i="69"/>
  <c r="D168" i="72"/>
  <c r="D170" i="72"/>
  <c r="D172" i="72"/>
  <c r="R178" i="69"/>
  <c r="D175" i="72"/>
  <c r="D177" i="72"/>
  <c r="R182" i="69"/>
  <c r="D179" i="72"/>
  <c r="R184" i="69"/>
  <c r="D181" i="72"/>
  <c r="R188" i="69"/>
  <c r="D185" i="72"/>
  <c r="R190" i="69"/>
  <c r="D187" i="72"/>
  <c r="D188" i="72"/>
  <c r="R191" i="69"/>
  <c r="R192" i="69"/>
  <c r="D189" i="72"/>
  <c r="D191" i="72"/>
  <c r="D192" i="72"/>
  <c r="R198" i="69"/>
  <c r="D195" i="72"/>
  <c r="D196" i="72"/>
  <c r="R200" i="69"/>
  <c r="D198" i="72"/>
  <c r="D199" i="72"/>
  <c r="R203" i="69"/>
  <c r="R205" i="69"/>
  <c r="D202" i="72"/>
  <c r="R207" i="69"/>
  <c r="R209" i="69"/>
  <c r="D206" i="72"/>
  <c r="D207" i="72"/>
  <c r="R210" i="69"/>
  <c r="R211" i="69"/>
  <c r="D208" i="72"/>
  <c r="D210" i="72"/>
  <c r="R213" i="69"/>
  <c r="R216" i="69"/>
  <c r="D213" i="72"/>
  <c r="R218" i="69"/>
  <c r="D215" i="72"/>
  <c r="R220" i="69"/>
  <c r="D217" i="72"/>
  <c r="R222" i="69"/>
  <c r="D219" i="72"/>
  <c r="R224" i="69"/>
  <c r="D221" i="72"/>
  <c r="R226" i="69"/>
  <c r="D223" i="72"/>
  <c r="R228" i="69"/>
  <c r="D225" i="72"/>
  <c r="R230" i="69"/>
  <c r="D227" i="72"/>
  <c r="D228" i="72"/>
  <c r="R231" i="69"/>
  <c r="D229" i="72"/>
  <c r="R232" i="69"/>
  <c r="R233" i="69"/>
  <c r="R235" i="69"/>
  <c r="R237" i="69"/>
  <c r="D234" i="72"/>
  <c r="R238" i="69"/>
  <c r="D235" i="72"/>
  <c r="R240" i="69"/>
  <c r="D237" i="72"/>
  <c r="R241" i="69"/>
  <c r="D238" i="72"/>
  <c r="R242" i="69"/>
  <c r="D239" i="72"/>
  <c r="D240" i="72"/>
  <c r="R243" i="69"/>
  <c r="R244" i="69"/>
  <c r="D242" i="72"/>
  <c r="R246" i="69"/>
  <c r="D244" i="72"/>
  <c r="D246" i="72"/>
  <c r="R250" i="69"/>
  <c r="D248" i="72"/>
  <c r="R252" i="69"/>
  <c r="D250" i="72"/>
  <c r="R254" i="69"/>
  <c r="D252" i="72"/>
  <c r="R256" i="69"/>
  <c r="R258" i="69"/>
  <c r="R260" i="69"/>
  <c r="R262" i="69"/>
  <c r="R264" i="69"/>
  <c r="R266" i="69"/>
  <c r="R268" i="69"/>
  <c r="R270" i="69"/>
  <c r="R11" i="69"/>
  <c r="D8" i="72"/>
  <c r="R15" i="69"/>
  <c r="D12" i="72"/>
  <c r="R17" i="69"/>
  <c r="D14" i="72"/>
  <c r="R19" i="69"/>
  <c r="D16" i="72"/>
  <c r="R21" i="69"/>
  <c r="D18" i="72"/>
  <c r="R23" i="69"/>
  <c r="D20" i="72"/>
  <c r="R25" i="69"/>
  <c r="D22" i="72"/>
  <c r="R27" i="69"/>
  <c r="D24" i="72"/>
  <c r="R29" i="69"/>
  <c r="D26" i="72"/>
  <c r="R31" i="69"/>
  <c r="D28" i="72"/>
  <c r="R33" i="69"/>
  <c r="D30" i="72"/>
  <c r="R35" i="69"/>
  <c r="D32" i="72"/>
  <c r="R37" i="69"/>
  <c r="D34" i="72"/>
  <c r="R50" i="69"/>
  <c r="R58" i="69"/>
  <c r="R60" i="69"/>
  <c r="R61" i="69"/>
  <c r="R62" i="69"/>
  <c r="R63" i="69"/>
  <c r="R64" i="69"/>
  <c r="R65" i="69"/>
  <c r="R66" i="69"/>
  <c r="R67" i="69"/>
  <c r="R68" i="69"/>
  <c r="R69" i="69"/>
  <c r="R70" i="69"/>
  <c r="R71" i="69"/>
  <c r="R72" i="69"/>
  <c r="R73" i="69"/>
  <c r="R74" i="69"/>
  <c r="R75" i="69"/>
  <c r="R76" i="69"/>
  <c r="R77" i="69"/>
  <c r="R78" i="69"/>
  <c r="R79" i="69"/>
  <c r="R80" i="69"/>
  <c r="R81" i="69"/>
  <c r="R82" i="69"/>
  <c r="R83" i="69"/>
  <c r="R84" i="69"/>
  <c r="R85" i="69"/>
  <c r="R86" i="69"/>
  <c r="R87" i="69"/>
  <c r="R88" i="69"/>
  <c r="R89" i="69"/>
  <c r="R90" i="69"/>
  <c r="R91" i="69"/>
  <c r="R92" i="69"/>
  <c r="R93" i="69"/>
  <c r="R94" i="69"/>
  <c r="D91" i="72"/>
  <c r="R103" i="69"/>
  <c r="D100" i="72"/>
  <c r="R106" i="69"/>
  <c r="D103" i="72"/>
  <c r="R109" i="69"/>
  <c r="D106" i="72"/>
  <c r="R112" i="69"/>
  <c r="D109" i="72"/>
  <c r="R114" i="69"/>
  <c r="R115" i="69"/>
  <c r="R117" i="69"/>
  <c r="R121" i="69"/>
  <c r="R134" i="69"/>
  <c r="D131" i="72"/>
  <c r="R142" i="69"/>
  <c r="D139" i="72"/>
  <c r="R152" i="69"/>
  <c r="R158" i="69"/>
  <c r="D155" i="72"/>
  <c r="R160" i="69"/>
  <c r="D157" i="72"/>
  <c r="R166" i="69"/>
  <c r="D163" i="72"/>
  <c r="R168" i="69"/>
  <c r="D165" i="72"/>
  <c r="R181" i="69"/>
  <c r="D178" i="72"/>
  <c r="R183" i="69"/>
  <c r="D180" i="72"/>
  <c r="R185" i="69"/>
  <c r="D182" i="72"/>
  <c r="R186" i="69"/>
  <c r="D183" i="72"/>
  <c r="R187" i="69"/>
  <c r="D184" i="72"/>
  <c r="R193" i="69"/>
  <c r="R196" i="69"/>
  <c r="D193" i="72"/>
  <c r="R197" i="69"/>
  <c r="D194" i="72"/>
  <c r="R199" i="69"/>
  <c r="R201" i="69"/>
  <c r="R204" i="69"/>
  <c r="D201" i="72"/>
  <c r="R206" i="69"/>
  <c r="D203" i="72"/>
  <c r="R208" i="69"/>
  <c r="D205" i="72"/>
  <c r="R212" i="69"/>
  <c r="D209" i="72"/>
  <c r="R214" i="69"/>
  <c r="R215" i="69"/>
  <c r="D212" i="72"/>
  <c r="R219" i="69"/>
  <c r="D216" i="72"/>
  <c r="R221" i="69"/>
  <c r="D218" i="72"/>
  <c r="R223" i="69"/>
  <c r="D220" i="72"/>
  <c r="R225" i="69"/>
  <c r="D222" i="72"/>
  <c r="R229" i="69"/>
  <c r="D226" i="72"/>
  <c r="R234" i="69"/>
  <c r="R236" i="69"/>
  <c r="D233" i="72"/>
  <c r="R239" i="69"/>
  <c r="D236" i="72"/>
  <c r="R245" i="69"/>
  <c r="R247" i="69"/>
  <c r="R249" i="69"/>
  <c r="R251" i="69"/>
  <c r="R253" i="69"/>
  <c r="R255" i="69"/>
  <c r="D253" i="72"/>
  <c r="R257" i="69"/>
  <c r="D255" i="72"/>
  <c r="R259" i="69"/>
  <c r="D257" i="72"/>
  <c r="R261" i="69"/>
  <c r="D259" i="72"/>
  <c r="R263" i="69"/>
  <c r="D261" i="72"/>
  <c r="R265" i="69"/>
  <c r="D263" i="72"/>
  <c r="R267" i="69"/>
  <c r="D265" i="72"/>
  <c r="R269" i="69"/>
  <c r="D267" i="72"/>
  <c r="R271" i="69"/>
  <c r="D269" i="72"/>
  <c r="R273" i="69"/>
  <c r="R289" i="69"/>
  <c r="D286" i="72"/>
  <c r="R274" i="69"/>
  <c r="D272" i="72"/>
  <c r="R276" i="69"/>
  <c r="D274" i="72"/>
  <c r="R278" i="69"/>
  <c r="D276" i="72"/>
  <c r="R280" i="69"/>
  <c r="D278" i="72"/>
  <c r="R282" i="69"/>
  <c r="D280" i="72"/>
  <c r="R284" i="69"/>
  <c r="D282" i="72"/>
  <c r="R286" i="69"/>
  <c r="D284" i="72"/>
  <c r="R288" i="69"/>
  <c r="D287" i="72"/>
  <c r="R290" i="69"/>
  <c r="D288" i="72"/>
  <c r="R291" i="69"/>
  <c r="D289" i="72"/>
  <c r="R292" i="69"/>
  <c r="D290" i="72"/>
  <c r="R293" i="69"/>
  <c r="D291" i="72"/>
  <c r="R294" i="69"/>
  <c r="D292" i="72"/>
  <c r="R295" i="69"/>
  <c r="D293" i="72"/>
  <c r="R296" i="69"/>
  <c r="D294" i="72"/>
  <c r="R297" i="69"/>
  <c r="D295" i="72"/>
  <c r="R298" i="69"/>
  <c r="D296" i="72"/>
  <c r="R299" i="69"/>
  <c r="D297" i="72"/>
  <c r="R300" i="69"/>
  <c r="D298" i="72"/>
  <c r="R301" i="69"/>
  <c r="D299" i="72"/>
  <c r="R302" i="69"/>
  <c r="D300" i="72"/>
  <c r="R303" i="69"/>
  <c r="D301" i="72"/>
  <c r="R304" i="69"/>
  <c r="D302" i="72"/>
  <c r="R305" i="69"/>
  <c r="D303" i="72"/>
  <c r="R306" i="69"/>
  <c r="D304" i="72"/>
  <c r="R322" i="69"/>
  <c r="D320" i="72"/>
  <c r="R324" i="69"/>
  <c r="D322" i="72"/>
  <c r="R326" i="69"/>
  <c r="D324" i="72"/>
  <c r="R328" i="69"/>
  <c r="D326" i="72"/>
  <c r="R330" i="69"/>
  <c r="D328" i="72"/>
  <c r="R332" i="69"/>
  <c r="D330" i="72"/>
  <c r="R334" i="69"/>
  <c r="D332" i="72"/>
  <c r="R336" i="69"/>
  <c r="D334" i="72"/>
  <c r="R338" i="69"/>
  <c r="R340" i="69"/>
  <c r="D337" i="72"/>
  <c r="R342" i="69"/>
  <c r="D339" i="72"/>
  <c r="R344" i="69"/>
  <c r="D341" i="72"/>
  <c r="R346" i="69"/>
  <c r="D343" i="72"/>
  <c r="R348" i="69"/>
  <c r="D345" i="72"/>
  <c r="R350" i="69"/>
  <c r="D347" i="72"/>
  <c r="R353" i="69"/>
  <c r="D350" i="72"/>
  <c r="R355" i="69"/>
  <c r="D352" i="72"/>
  <c r="R357" i="69"/>
  <c r="D354" i="72"/>
  <c r="R359" i="69"/>
  <c r="D356" i="72"/>
  <c r="R361" i="69"/>
  <c r="D358" i="72"/>
  <c r="R363" i="69"/>
  <c r="D360" i="72"/>
  <c r="R365" i="69"/>
  <c r="D362" i="72"/>
  <c r="R367" i="69"/>
  <c r="D364" i="72"/>
  <c r="R369" i="69"/>
  <c r="D366" i="72"/>
  <c r="R371" i="69"/>
  <c r="D368" i="72"/>
  <c r="R373" i="69"/>
  <c r="D370" i="72"/>
  <c r="R375" i="69"/>
  <c r="D372" i="72"/>
  <c r="R377" i="69"/>
  <c r="D374" i="72"/>
  <c r="R379" i="69"/>
  <c r="D376" i="72"/>
  <c r="R381" i="69"/>
  <c r="D378" i="72"/>
  <c r="R383" i="69"/>
  <c r="D380" i="72"/>
  <c r="R385" i="69"/>
  <c r="D382" i="72"/>
  <c r="R387" i="69"/>
  <c r="D384" i="72"/>
  <c r="R389" i="69"/>
  <c r="D386" i="72"/>
  <c r="R392" i="69"/>
  <c r="D389" i="72"/>
  <c r="R394" i="69"/>
  <c r="D391" i="72"/>
  <c r="R396" i="69"/>
  <c r="D393" i="72"/>
  <c r="R398" i="69"/>
  <c r="D395" i="72"/>
  <c r="R401" i="69"/>
  <c r="D398" i="72"/>
  <c r="R403" i="69"/>
  <c r="D400" i="72"/>
  <c r="R405" i="69"/>
  <c r="D402" i="72"/>
  <c r="R407" i="69"/>
  <c r="D404" i="72"/>
  <c r="R409" i="69"/>
  <c r="D406" i="72"/>
  <c r="D408" i="72"/>
  <c r="R412" i="69"/>
  <c r="D409" i="72"/>
  <c r="R414" i="69"/>
  <c r="D411" i="72"/>
  <c r="R418" i="69"/>
  <c r="D415" i="72"/>
  <c r="R420" i="69"/>
  <c r="D417" i="72"/>
  <c r="R422" i="69"/>
  <c r="D419" i="72"/>
  <c r="R424" i="69"/>
  <c r="D421" i="72"/>
  <c r="D423" i="72"/>
  <c r="R428" i="69"/>
  <c r="D425" i="72"/>
  <c r="R430" i="69"/>
  <c r="D427" i="72"/>
  <c r="D429" i="72"/>
  <c r="D431" i="72"/>
  <c r="R436" i="69"/>
  <c r="D433" i="72"/>
  <c r="R308" i="69"/>
  <c r="R309" i="69"/>
  <c r="R310" i="69"/>
  <c r="R312" i="69"/>
  <c r="R313" i="69"/>
  <c r="R314" i="69"/>
  <c r="R315" i="69"/>
  <c r="R316" i="69"/>
  <c r="R317" i="69"/>
  <c r="R318" i="69"/>
  <c r="R319" i="69"/>
  <c r="R320" i="69"/>
  <c r="R323" i="69"/>
  <c r="R325" i="69"/>
  <c r="R327" i="69"/>
  <c r="R329" i="69"/>
  <c r="R331" i="69"/>
  <c r="R333" i="69"/>
  <c r="R335" i="69"/>
  <c r="R337" i="69"/>
  <c r="R341" i="69"/>
  <c r="D338" i="72"/>
  <c r="R343" i="69"/>
  <c r="D340" i="72"/>
  <c r="R345" i="69"/>
  <c r="D342" i="72"/>
  <c r="R347" i="69"/>
  <c r="D344" i="72"/>
  <c r="R349" i="69"/>
  <c r="D346" i="72"/>
  <c r="R351" i="69"/>
  <c r="D348" i="72"/>
  <c r="R352" i="69"/>
  <c r="D349" i="72"/>
  <c r="R354" i="69"/>
  <c r="D351" i="72"/>
  <c r="R356" i="69"/>
  <c r="D353" i="72"/>
  <c r="R358" i="69"/>
  <c r="D355" i="72"/>
  <c r="R360" i="69"/>
  <c r="D357" i="72"/>
  <c r="R362" i="69"/>
  <c r="D359" i="72"/>
  <c r="R364" i="69"/>
  <c r="D361" i="72"/>
  <c r="R366" i="69"/>
  <c r="D363" i="72"/>
  <c r="R368" i="69"/>
  <c r="D365" i="72"/>
  <c r="R370" i="69"/>
  <c r="D367" i="72"/>
  <c r="R372" i="69"/>
  <c r="D369" i="72"/>
  <c r="R374" i="69"/>
  <c r="D371" i="72"/>
  <c r="R376" i="69"/>
  <c r="D373" i="72"/>
  <c r="R378" i="69"/>
  <c r="D375" i="72"/>
  <c r="R380" i="69"/>
  <c r="D377" i="72"/>
  <c r="R382" i="69"/>
  <c r="D379" i="72"/>
  <c r="R384" i="69"/>
  <c r="D381" i="72"/>
  <c r="R386" i="69"/>
  <c r="D383" i="72"/>
  <c r="R388" i="69"/>
  <c r="D385" i="72"/>
  <c r="R390" i="69"/>
  <c r="D387" i="72"/>
  <c r="R391" i="69"/>
  <c r="D388" i="72"/>
  <c r="R393" i="69"/>
  <c r="D390" i="72"/>
  <c r="R395" i="69"/>
  <c r="D392" i="72"/>
  <c r="R397" i="69"/>
  <c r="D394" i="72"/>
  <c r="R399" i="69"/>
  <c r="R400" i="69"/>
  <c r="R402" i="69"/>
  <c r="D399" i="72"/>
  <c r="R404" i="69"/>
  <c r="D401" i="72"/>
  <c r="R406" i="69"/>
  <c r="D403" i="72"/>
  <c r="R408" i="69"/>
  <c r="D405" i="72"/>
  <c r="R410" i="69"/>
  <c r="D407" i="72"/>
  <c r="R413" i="69"/>
  <c r="D410" i="72"/>
  <c r="R415" i="69"/>
  <c r="D412" i="72"/>
  <c r="R417" i="69"/>
  <c r="D414" i="72"/>
  <c r="R423" i="69"/>
  <c r="D420" i="72"/>
  <c r="R425" i="69"/>
  <c r="D422" i="72"/>
  <c r="R431" i="69"/>
  <c r="D428" i="72"/>
  <c r="R433" i="69"/>
  <c r="D430" i="72"/>
  <c r="R447" i="69"/>
  <c r="R449" i="69"/>
  <c r="R451" i="69"/>
  <c r="R453" i="69"/>
  <c r="R455" i="69"/>
  <c r="R457" i="69"/>
  <c r="R459" i="69"/>
  <c r="R461" i="69"/>
  <c r="R248" i="69"/>
  <c r="R227" i="69"/>
  <c r="R217" i="69"/>
  <c r="R435" i="69"/>
  <c r="R434" i="69"/>
  <c r="R432" i="69"/>
  <c r="R421" i="69"/>
  <c r="R419" i="69"/>
  <c r="R429" i="69"/>
  <c r="R427" i="69"/>
  <c r="R426" i="69"/>
  <c r="R195" i="69"/>
  <c r="R189" i="69"/>
  <c r="R180" i="69"/>
  <c r="R179" i="69"/>
  <c r="R177" i="69"/>
  <c r="R176" i="69"/>
  <c r="R174" i="69"/>
  <c r="R100" i="69"/>
  <c r="R97" i="69"/>
  <c r="R140" i="69"/>
  <c r="R148" i="69"/>
  <c r="R164" i="69"/>
  <c r="R172" i="69"/>
  <c r="M100" i="69"/>
  <c r="M106" i="69"/>
  <c r="P111" i="69"/>
  <c r="R111" i="69" s="1"/>
  <c r="R138" i="69"/>
  <c r="R146" i="69"/>
  <c r="R162" i="69"/>
  <c r="R170" i="69"/>
  <c r="M38" i="69"/>
  <c r="M102" i="69"/>
  <c r="M108" i="69"/>
  <c r="R136" i="69"/>
  <c r="R144" i="69"/>
  <c r="R153" i="69"/>
  <c r="R154" i="69"/>
  <c r="R135" i="69"/>
  <c r="R143" i="69"/>
  <c r="R159" i="69"/>
  <c r="R167" i="69"/>
  <c r="R175" i="69"/>
  <c r="R339" i="69"/>
  <c r="R416" i="69"/>
  <c r="R133" i="69"/>
  <c r="R141" i="69"/>
  <c r="R149" i="69"/>
  <c r="R156" i="69"/>
  <c r="R165" i="69"/>
  <c r="R173" i="69"/>
  <c r="P411" i="69"/>
  <c r="R411" i="69" s="1"/>
  <c r="O321" i="69"/>
  <c r="R321" i="69" s="1"/>
  <c r="R96" i="69" l="1"/>
  <c r="D318" i="72"/>
  <c r="L38" i="72"/>
  <c r="L39" i="72"/>
  <c r="K38" i="72"/>
  <c r="K39" i="72"/>
  <c r="H3" i="72"/>
  <c r="H4" i="72"/>
  <c r="H5" i="72"/>
  <c r="H6" i="72"/>
  <c r="H7" i="72"/>
  <c r="H8" i="72"/>
  <c r="H9" i="72"/>
  <c r="H10" i="72"/>
  <c r="H11" i="72"/>
  <c r="H12" i="72"/>
  <c r="H13" i="72"/>
  <c r="H14" i="72"/>
  <c r="H15" i="72"/>
  <c r="H16" i="72"/>
  <c r="H17" i="72"/>
  <c r="H18" i="72"/>
  <c r="H19" i="72"/>
  <c r="H20" i="72"/>
  <c r="H21" i="72"/>
  <c r="H22" i="72"/>
  <c r="H23" i="72"/>
  <c r="H24" i="72"/>
  <c r="H25" i="72"/>
  <c r="H26" i="72"/>
  <c r="H27" i="72"/>
  <c r="H28" i="72"/>
  <c r="H29" i="72"/>
  <c r="H30" i="72"/>
  <c r="H31" i="72"/>
  <c r="H32" i="72"/>
  <c r="H33" i="72"/>
  <c r="H34" i="72"/>
  <c r="H35" i="72"/>
  <c r="H36" i="72"/>
  <c r="H37" i="72"/>
  <c r="H38" i="72"/>
  <c r="H39" i="72"/>
  <c r="H40" i="72"/>
  <c r="H41" i="72"/>
  <c r="H42" i="72"/>
  <c r="H43" i="72"/>
  <c r="H44" i="72"/>
  <c r="H45" i="72"/>
  <c r="H46" i="72"/>
  <c r="H47" i="72"/>
  <c r="H48" i="72"/>
  <c r="H49" i="72"/>
  <c r="H50" i="72"/>
  <c r="H51" i="72"/>
  <c r="H52" i="72"/>
  <c r="H53" i="72"/>
  <c r="H54" i="72"/>
  <c r="H55" i="72"/>
  <c r="H56" i="72"/>
  <c r="H57" i="72"/>
  <c r="H58" i="72"/>
  <c r="H59" i="72"/>
  <c r="H60" i="72"/>
  <c r="H61" i="72"/>
  <c r="H62" i="72"/>
  <c r="H63" i="72"/>
  <c r="H64" i="72"/>
  <c r="H65" i="72"/>
  <c r="H66" i="72"/>
  <c r="H67" i="72"/>
  <c r="H68" i="72"/>
  <c r="H69" i="72"/>
  <c r="H70" i="72"/>
  <c r="H71" i="72"/>
  <c r="H72" i="72"/>
  <c r="H73" i="72"/>
  <c r="H74" i="72"/>
  <c r="H75" i="72"/>
  <c r="H76" i="72"/>
  <c r="H77" i="72"/>
  <c r="H78" i="72"/>
  <c r="H79" i="72"/>
  <c r="H80" i="72"/>
  <c r="H81" i="72"/>
  <c r="H82" i="72"/>
  <c r="H83" i="72"/>
  <c r="H84" i="72"/>
  <c r="H85" i="72"/>
  <c r="H86" i="72"/>
  <c r="H87" i="72"/>
  <c r="H88" i="72"/>
  <c r="H89" i="72"/>
  <c r="H90" i="72"/>
  <c r="H91" i="72"/>
  <c r="H92" i="72"/>
  <c r="H93" i="72"/>
  <c r="H94" i="72"/>
  <c r="H95" i="72"/>
  <c r="H96" i="72"/>
  <c r="H97" i="72"/>
  <c r="H98" i="72"/>
  <c r="H99" i="72"/>
  <c r="H100" i="72"/>
  <c r="H101" i="72"/>
  <c r="H102" i="72"/>
  <c r="H103" i="72"/>
  <c r="H104" i="72"/>
  <c r="H105" i="72"/>
  <c r="H106" i="72"/>
  <c r="H107" i="72"/>
  <c r="H108" i="72"/>
  <c r="H109" i="72"/>
  <c r="H110" i="72"/>
  <c r="H111" i="72"/>
  <c r="H112" i="72"/>
  <c r="H113" i="72"/>
  <c r="H114" i="72"/>
  <c r="H115" i="72"/>
  <c r="H116" i="72"/>
  <c r="H117" i="72"/>
  <c r="H118" i="72"/>
  <c r="H119" i="72"/>
  <c r="H120" i="72"/>
  <c r="H121" i="72"/>
  <c r="H122" i="72"/>
  <c r="H123" i="72"/>
  <c r="H124" i="72"/>
  <c r="H125" i="72"/>
  <c r="H126" i="72"/>
  <c r="H127" i="72"/>
  <c r="H128" i="72"/>
  <c r="H129" i="72"/>
  <c r="H130" i="72"/>
  <c r="H131" i="72"/>
  <c r="H132" i="72"/>
  <c r="H133" i="72"/>
  <c r="H134" i="72"/>
  <c r="H135" i="72"/>
  <c r="H136" i="72"/>
  <c r="H137" i="72"/>
  <c r="H138" i="72"/>
  <c r="H139" i="72"/>
  <c r="H140" i="72"/>
  <c r="H141" i="72"/>
  <c r="H142" i="72"/>
  <c r="H143" i="72"/>
  <c r="H144" i="72"/>
  <c r="H145" i="72"/>
  <c r="H146" i="72"/>
  <c r="H147" i="72"/>
  <c r="H148" i="72"/>
  <c r="H149" i="72"/>
  <c r="H150" i="72"/>
  <c r="H151" i="72"/>
  <c r="H152" i="72"/>
  <c r="H153" i="72"/>
  <c r="H154" i="72"/>
  <c r="H155" i="72"/>
  <c r="H156" i="72"/>
  <c r="H157" i="72"/>
  <c r="H158" i="72"/>
  <c r="H159" i="72"/>
  <c r="H160" i="72"/>
  <c r="H161" i="72"/>
  <c r="H162" i="72"/>
  <c r="H163" i="72"/>
  <c r="H164" i="72"/>
  <c r="H165" i="72"/>
  <c r="H166" i="72"/>
  <c r="H167" i="72"/>
  <c r="H168" i="72"/>
  <c r="H169" i="72"/>
  <c r="H170" i="72"/>
  <c r="H171" i="72"/>
  <c r="H172" i="72"/>
  <c r="H173" i="72"/>
  <c r="H174" i="72"/>
  <c r="H175" i="72"/>
  <c r="H176" i="72"/>
  <c r="H177" i="72"/>
  <c r="H178" i="72"/>
  <c r="H179" i="72"/>
  <c r="H180" i="72"/>
  <c r="H181" i="72"/>
  <c r="H182" i="72"/>
  <c r="H183" i="72"/>
  <c r="H184" i="72"/>
  <c r="H185" i="72"/>
  <c r="H186" i="72"/>
  <c r="H187" i="72"/>
  <c r="H188" i="72"/>
  <c r="H189" i="72"/>
  <c r="H190" i="72"/>
  <c r="H191" i="72"/>
  <c r="H192" i="72"/>
  <c r="H193" i="72"/>
  <c r="H194" i="72"/>
  <c r="H195" i="72"/>
  <c r="H196" i="72"/>
  <c r="H197" i="72"/>
  <c r="H198" i="72"/>
  <c r="H199" i="72"/>
  <c r="H200" i="72"/>
  <c r="H201" i="72"/>
  <c r="H202" i="72"/>
  <c r="H203" i="72"/>
  <c r="H204" i="72"/>
  <c r="H205" i="72"/>
  <c r="H206" i="72"/>
  <c r="H207" i="72"/>
  <c r="H208" i="72"/>
  <c r="H209" i="72"/>
  <c r="H210" i="72"/>
  <c r="H211" i="72"/>
  <c r="H212" i="72"/>
  <c r="H213" i="72"/>
  <c r="H214" i="72"/>
  <c r="H215" i="72"/>
  <c r="H216" i="72"/>
  <c r="H217" i="72"/>
  <c r="H218" i="72"/>
  <c r="H219" i="72"/>
  <c r="H220" i="72"/>
  <c r="H221" i="72"/>
  <c r="H222" i="72"/>
  <c r="H223" i="72"/>
  <c r="H224" i="72"/>
  <c r="H225" i="72"/>
  <c r="H226" i="72"/>
  <c r="H227" i="72"/>
  <c r="H228" i="72"/>
  <c r="H229" i="72"/>
  <c r="H230" i="72"/>
  <c r="H231" i="72"/>
  <c r="H232" i="72"/>
  <c r="H233" i="72"/>
  <c r="H234" i="72"/>
  <c r="H235" i="72"/>
  <c r="H236" i="72"/>
  <c r="H237" i="72"/>
  <c r="H238" i="72"/>
  <c r="H239" i="72"/>
  <c r="H240" i="72"/>
  <c r="H241" i="72"/>
  <c r="H242" i="72"/>
  <c r="H243" i="72"/>
  <c r="H244" i="72"/>
  <c r="H245" i="72"/>
  <c r="H246" i="72"/>
  <c r="H247" i="72"/>
  <c r="H248" i="72"/>
  <c r="H249" i="72"/>
  <c r="H250" i="72"/>
  <c r="H251" i="72"/>
  <c r="H252" i="72"/>
  <c r="H253" i="72"/>
  <c r="H254" i="72"/>
  <c r="H255" i="72"/>
  <c r="H256" i="72"/>
  <c r="H257" i="72"/>
  <c r="H258" i="72"/>
  <c r="H259" i="72"/>
  <c r="H260" i="72"/>
  <c r="H261" i="72"/>
  <c r="H262" i="72"/>
  <c r="H263" i="72"/>
  <c r="H264" i="72"/>
  <c r="H265" i="72"/>
  <c r="H266" i="72"/>
  <c r="H267" i="72"/>
  <c r="H268" i="72"/>
  <c r="H269" i="72"/>
  <c r="H270" i="72"/>
  <c r="H271" i="72"/>
  <c r="H272" i="72"/>
  <c r="H273" i="72"/>
  <c r="H274" i="72"/>
  <c r="H275" i="72"/>
  <c r="H276" i="72"/>
  <c r="H277" i="72"/>
  <c r="H278" i="72"/>
  <c r="H279" i="72"/>
  <c r="H280" i="72"/>
  <c r="H281" i="72"/>
  <c r="H282" i="72"/>
  <c r="H283" i="72"/>
  <c r="H284" i="72"/>
  <c r="H285" i="72"/>
  <c r="H286" i="72"/>
  <c r="H287" i="72"/>
  <c r="H288" i="72"/>
  <c r="H289" i="72"/>
  <c r="H290" i="72"/>
  <c r="H291" i="72"/>
  <c r="H292" i="72"/>
  <c r="H293" i="72"/>
  <c r="H294" i="72"/>
  <c r="H295" i="72"/>
  <c r="H296" i="72"/>
  <c r="H297" i="72"/>
  <c r="H298" i="72"/>
  <c r="H299" i="72"/>
  <c r="H300" i="72"/>
  <c r="H301" i="72"/>
  <c r="H302" i="72"/>
  <c r="H303" i="72"/>
  <c r="H304" i="72"/>
  <c r="H305" i="72"/>
  <c r="H306" i="72"/>
  <c r="H307" i="72"/>
  <c r="H309" i="72"/>
  <c r="H310" i="72"/>
  <c r="H311" i="72"/>
  <c r="H312" i="72"/>
  <c r="H313" i="72"/>
  <c r="H314" i="72"/>
  <c r="H315" i="72"/>
  <c r="H316" i="72"/>
  <c r="H317" i="72"/>
  <c r="H318" i="72"/>
  <c r="H319" i="72"/>
  <c r="H320" i="72"/>
  <c r="H321" i="72"/>
  <c r="H322" i="72"/>
  <c r="H323" i="72"/>
  <c r="H324" i="72"/>
  <c r="H325" i="72"/>
  <c r="H326" i="72"/>
  <c r="H327" i="72"/>
  <c r="H328" i="72"/>
  <c r="H329" i="72"/>
  <c r="H330" i="72"/>
  <c r="H331" i="72"/>
  <c r="H332" i="72"/>
  <c r="H333" i="72"/>
  <c r="H334" i="72"/>
  <c r="H335" i="72"/>
  <c r="H336" i="72"/>
  <c r="H337" i="72"/>
  <c r="H338" i="72"/>
  <c r="H339" i="72"/>
  <c r="H340" i="72"/>
  <c r="H341" i="72"/>
  <c r="H342" i="72"/>
  <c r="H343" i="72"/>
  <c r="H344" i="72"/>
  <c r="H345" i="72"/>
  <c r="H346" i="72"/>
  <c r="H347" i="72"/>
  <c r="H348" i="72"/>
  <c r="H349" i="72"/>
  <c r="H350" i="72"/>
  <c r="H351" i="72"/>
  <c r="H352" i="72"/>
  <c r="H353" i="72"/>
  <c r="H354" i="72"/>
  <c r="H355" i="72"/>
  <c r="H356" i="72"/>
  <c r="H357" i="72"/>
  <c r="H358" i="72"/>
  <c r="H359" i="72"/>
  <c r="H360" i="72"/>
  <c r="H361" i="72"/>
  <c r="H362" i="72"/>
  <c r="H363" i="72"/>
  <c r="H364" i="72"/>
  <c r="H365" i="72"/>
  <c r="H366" i="72"/>
  <c r="H367" i="72"/>
  <c r="H368" i="72"/>
  <c r="H369" i="72"/>
  <c r="H370" i="72"/>
  <c r="H371" i="72"/>
  <c r="H372" i="72"/>
  <c r="H373" i="72"/>
  <c r="H374" i="72"/>
  <c r="H375" i="72"/>
  <c r="H376" i="72"/>
  <c r="H377" i="72"/>
  <c r="H378" i="72"/>
  <c r="H379" i="72"/>
  <c r="H380" i="72"/>
  <c r="H381" i="72"/>
  <c r="H382" i="72"/>
  <c r="H383" i="72"/>
  <c r="H384" i="72"/>
  <c r="H385" i="72"/>
  <c r="H386" i="72"/>
  <c r="H387" i="72"/>
  <c r="H388" i="72"/>
  <c r="H389" i="72"/>
  <c r="H390" i="72"/>
  <c r="H391" i="72"/>
  <c r="H392" i="72"/>
  <c r="H393" i="72"/>
  <c r="H394" i="72"/>
  <c r="H395" i="72"/>
  <c r="H396" i="72"/>
  <c r="H397" i="72"/>
  <c r="H398" i="72"/>
  <c r="H399" i="72"/>
  <c r="H400" i="72"/>
  <c r="H401" i="72"/>
  <c r="H402" i="72"/>
  <c r="H403" i="72"/>
  <c r="H404" i="72"/>
  <c r="H405" i="72"/>
  <c r="H406" i="72"/>
  <c r="H407" i="72"/>
  <c r="H408" i="72"/>
  <c r="H409" i="72"/>
  <c r="H410" i="72"/>
  <c r="H411" i="72"/>
  <c r="H412" i="72"/>
  <c r="H413" i="72"/>
  <c r="H414" i="72"/>
  <c r="H415" i="72"/>
  <c r="H416" i="72"/>
  <c r="H417" i="72"/>
  <c r="H418" i="72"/>
  <c r="H419" i="72"/>
  <c r="H420" i="72"/>
  <c r="H421" i="72"/>
  <c r="H422" i="72"/>
  <c r="H423" i="72"/>
  <c r="H424" i="72"/>
  <c r="H425" i="72"/>
  <c r="H426" i="72"/>
  <c r="H427" i="72"/>
  <c r="H428" i="72"/>
  <c r="H429" i="72"/>
  <c r="H430" i="72"/>
  <c r="H431" i="72"/>
  <c r="H432" i="72"/>
  <c r="H433" i="72"/>
  <c r="H444" i="72"/>
  <c r="H445" i="72"/>
  <c r="H446" i="72"/>
  <c r="H447" i="72"/>
  <c r="H448" i="72"/>
  <c r="H449" i="72"/>
  <c r="H450" i="72"/>
  <c r="H451" i="72"/>
  <c r="H452" i="72"/>
  <c r="H453" i="72"/>
  <c r="H454" i="72"/>
  <c r="H455" i="72"/>
  <c r="H456" i="72"/>
  <c r="H457" i="72"/>
  <c r="H458" i="72"/>
  <c r="H459" i="72"/>
  <c r="G444" i="72"/>
  <c r="G445" i="72"/>
  <c r="G446" i="72"/>
  <c r="G447" i="72"/>
  <c r="G448" i="72"/>
  <c r="G449" i="72"/>
  <c r="G450" i="72"/>
  <c r="G451" i="72"/>
  <c r="G452" i="72"/>
  <c r="G453" i="72"/>
  <c r="G454" i="72"/>
  <c r="G455" i="72"/>
  <c r="G456" i="72"/>
  <c r="G457" i="72"/>
  <c r="G458" i="72"/>
  <c r="G459" i="72"/>
  <c r="G460" i="72"/>
  <c r="G3" i="72"/>
  <c r="G4" i="72"/>
  <c r="G5" i="72"/>
  <c r="G6" i="72"/>
  <c r="G7" i="72"/>
  <c r="G8" i="72"/>
  <c r="G9" i="72"/>
  <c r="G10" i="72"/>
  <c r="G11" i="72"/>
  <c r="G12" i="72"/>
  <c r="G13" i="72"/>
  <c r="G14" i="72"/>
  <c r="G15" i="72"/>
  <c r="G16" i="72"/>
  <c r="G17" i="72"/>
  <c r="G18" i="72"/>
  <c r="G19" i="72"/>
  <c r="G20" i="72"/>
  <c r="G21" i="72"/>
  <c r="G22" i="72"/>
  <c r="G23" i="72"/>
  <c r="G24" i="72"/>
  <c r="G25" i="72"/>
  <c r="G26" i="72"/>
  <c r="G27" i="72"/>
  <c r="G28" i="72"/>
  <c r="G29" i="72"/>
  <c r="G30" i="72"/>
  <c r="G31" i="72"/>
  <c r="G32" i="72"/>
  <c r="G33" i="72"/>
  <c r="G34" i="72"/>
  <c r="G35" i="72"/>
  <c r="G36" i="72"/>
  <c r="G37" i="72"/>
  <c r="G38" i="72"/>
  <c r="G39" i="72"/>
  <c r="G40" i="72"/>
  <c r="G41" i="72"/>
  <c r="G42" i="72"/>
  <c r="G43" i="72"/>
  <c r="G44" i="72"/>
  <c r="G45" i="72"/>
  <c r="G46" i="72"/>
  <c r="G47" i="72"/>
  <c r="G48" i="72"/>
  <c r="G49" i="72"/>
  <c r="G50" i="72"/>
  <c r="G51" i="72"/>
  <c r="G52" i="72"/>
  <c r="G53" i="72"/>
  <c r="G54" i="72"/>
  <c r="G55" i="72"/>
  <c r="G56" i="72"/>
  <c r="G57" i="72"/>
  <c r="G58" i="72"/>
  <c r="G59" i="72"/>
  <c r="G60" i="72"/>
  <c r="G61" i="72"/>
  <c r="G62" i="72"/>
  <c r="G63" i="72"/>
  <c r="G64" i="72"/>
  <c r="G65" i="72"/>
  <c r="G66" i="72"/>
  <c r="G67" i="72"/>
  <c r="G68" i="72"/>
  <c r="G69" i="72"/>
  <c r="G70" i="72"/>
  <c r="G71" i="72"/>
  <c r="G72" i="72"/>
  <c r="G73" i="72"/>
  <c r="G74" i="72"/>
  <c r="G75" i="72"/>
  <c r="G76" i="72"/>
  <c r="G77" i="72"/>
  <c r="G78" i="72"/>
  <c r="G79" i="72"/>
  <c r="G80" i="72"/>
  <c r="G81" i="72"/>
  <c r="G82" i="72"/>
  <c r="G83" i="72"/>
  <c r="G84" i="72"/>
  <c r="G85" i="72"/>
  <c r="G86" i="72"/>
  <c r="G87" i="72"/>
  <c r="G88" i="72"/>
  <c r="G89" i="72"/>
  <c r="G90" i="72"/>
  <c r="G91" i="72"/>
  <c r="G92" i="72"/>
  <c r="G93" i="72"/>
  <c r="G94" i="72"/>
  <c r="G95" i="72"/>
  <c r="G96" i="72"/>
  <c r="G97" i="72"/>
  <c r="G98" i="72"/>
  <c r="G99" i="72"/>
  <c r="G100" i="72"/>
  <c r="G101" i="72"/>
  <c r="G102" i="72"/>
  <c r="G103" i="72"/>
  <c r="G104" i="72"/>
  <c r="G105" i="72"/>
  <c r="G106" i="72"/>
  <c r="G107" i="72"/>
  <c r="G108" i="72"/>
  <c r="G109" i="72"/>
  <c r="G110" i="72"/>
  <c r="G111" i="72"/>
  <c r="G112" i="72"/>
  <c r="G113" i="72"/>
  <c r="G114" i="72"/>
  <c r="G115" i="72"/>
  <c r="G116" i="72"/>
  <c r="G117" i="72"/>
  <c r="G118" i="72"/>
  <c r="G119" i="72"/>
  <c r="G120" i="72"/>
  <c r="G121" i="72"/>
  <c r="G122" i="72"/>
  <c r="G123" i="72"/>
  <c r="G124" i="72"/>
  <c r="G125" i="72"/>
  <c r="G126" i="72"/>
  <c r="G127" i="72"/>
  <c r="G128" i="72"/>
  <c r="G129" i="72"/>
  <c r="G130" i="72"/>
  <c r="G131" i="72"/>
  <c r="G132" i="72"/>
  <c r="G133" i="72"/>
  <c r="G134" i="72"/>
  <c r="G135" i="72"/>
  <c r="G136" i="72"/>
  <c r="G137" i="72"/>
  <c r="G138" i="72"/>
  <c r="G139" i="72"/>
  <c r="G140" i="72"/>
  <c r="G141" i="72"/>
  <c r="G142" i="72"/>
  <c r="G143" i="72"/>
  <c r="G144" i="72"/>
  <c r="G145" i="72"/>
  <c r="G146" i="72"/>
  <c r="G147" i="72"/>
  <c r="G148" i="72"/>
  <c r="G149" i="72"/>
  <c r="G150" i="72"/>
  <c r="G151" i="72"/>
  <c r="G152" i="72"/>
  <c r="G153" i="72"/>
  <c r="G154" i="72"/>
  <c r="G155" i="72"/>
  <c r="G156" i="72"/>
  <c r="G157" i="72"/>
  <c r="G158" i="72"/>
  <c r="G159" i="72"/>
  <c r="G160" i="72"/>
  <c r="G161" i="72"/>
  <c r="G162" i="72"/>
  <c r="G163" i="72"/>
  <c r="G164" i="72"/>
  <c r="G165" i="72"/>
  <c r="G166" i="72"/>
  <c r="G167" i="72"/>
  <c r="G168" i="72"/>
  <c r="G169" i="72"/>
  <c r="G170" i="72"/>
  <c r="G171" i="72"/>
  <c r="G172" i="72"/>
  <c r="G173" i="72"/>
  <c r="G174" i="72"/>
  <c r="G175" i="72"/>
  <c r="G176" i="72"/>
  <c r="G177" i="72"/>
  <c r="G178" i="72"/>
  <c r="G179" i="72"/>
  <c r="G180" i="72"/>
  <c r="G181" i="72"/>
  <c r="G182" i="72"/>
  <c r="G183" i="72"/>
  <c r="G184" i="72"/>
  <c r="G185" i="72"/>
  <c r="G186" i="72"/>
  <c r="G187" i="72"/>
  <c r="G188" i="72"/>
  <c r="G189" i="72"/>
  <c r="G190" i="72"/>
  <c r="G191" i="72"/>
  <c r="G192" i="72"/>
  <c r="G193" i="72"/>
  <c r="G194" i="72"/>
  <c r="G195" i="72"/>
  <c r="G196" i="72"/>
  <c r="G197" i="72"/>
  <c r="G198" i="72"/>
  <c r="G199" i="72"/>
  <c r="G200" i="72"/>
  <c r="G201" i="72"/>
  <c r="G202" i="72"/>
  <c r="G203" i="72"/>
  <c r="G204" i="72"/>
  <c r="G205" i="72"/>
  <c r="G206" i="72"/>
  <c r="G207" i="72"/>
  <c r="G208" i="72"/>
  <c r="G209" i="72"/>
  <c r="G210" i="72"/>
  <c r="G211" i="72"/>
  <c r="G212" i="72"/>
  <c r="G213" i="72"/>
  <c r="G214" i="72"/>
  <c r="G215" i="72"/>
  <c r="G216" i="72"/>
  <c r="G217" i="72"/>
  <c r="G218" i="72"/>
  <c r="G219" i="72"/>
  <c r="G220" i="72"/>
  <c r="G221" i="72"/>
  <c r="G222" i="72"/>
  <c r="G223" i="72"/>
  <c r="G224" i="72"/>
  <c r="G225" i="72"/>
  <c r="G226" i="72"/>
  <c r="G227" i="72"/>
  <c r="G228" i="72"/>
  <c r="G229" i="72"/>
  <c r="G230" i="72"/>
  <c r="G231" i="72"/>
  <c r="G232" i="72"/>
  <c r="G233" i="72"/>
  <c r="G234" i="72"/>
  <c r="G235" i="72"/>
  <c r="G236" i="72"/>
  <c r="G237" i="72"/>
  <c r="G238" i="72"/>
  <c r="G239" i="72"/>
  <c r="G240" i="72"/>
  <c r="G241" i="72"/>
  <c r="G242" i="72"/>
  <c r="G243" i="72"/>
  <c r="G244" i="72"/>
  <c r="G245" i="72"/>
  <c r="G246" i="72"/>
  <c r="G247" i="72"/>
  <c r="G248" i="72"/>
  <c r="G249" i="72"/>
  <c r="G250" i="72"/>
  <c r="G251" i="72"/>
  <c r="G252" i="72"/>
  <c r="G253" i="72"/>
  <c r="G254" i="72"/>
  <c r="G255" i="72"/>
  <c r="G256" i="72"/>
  <c r="G257" i="72"/>
  <c r="G258" i="72"/>
  <c r="G259" i="72"/>
  <c r="G260" i="72"/>
  <c r="G261" i="72"/>
  <c r="G262" i="72"/>
  <c r="G263" i="72"/>
  <c r="G264" i="72"/>
  <c r="G265" i="72"/>
  <c r="G266" i="72"/>
  <c r="G267" i="72"/>
  <c r="G268" i="72"/>
  <c r="G269" i="72"/>
  <c r="G270" i="72"/>
  <c r="G271" i="72"/>
  <c r="G272" i="72"/>
  <c r="G273" i="72"/>
  <c r="G274" i="72"/>
  <c r="G275" i="72"/>
  <c r="G276" i="72"/>
  <c r="G277" i="72"/>
  <c r="G278" i="72"/>
  <c r="G279" i="72"/>
  <c r="G280" i="72"/>
  <c r="G281" i="72"/>
  <c r="G282" i="72"/>
  <c r="G283" i="72"/>
  <c r="G284" i="72"/>
  <c r="G285" i="72"/>
  <c r="G286" i="72"/>
  <c r="G287" i="72"/>
  <c r="G288" i="72"/>
  <c r="G289" i="72"/>
  <c r="G290" i="72"/>
  <c r="G291" i="72"/>
  <c r="G292" i="72"/>
  <c r="G293" i="72"/>
  <c r="G294" i="72"/>
  <c r="G295" i="72"/>
  <c r="G296" i="72"/>
  <c r="G297" i="72"/>
  <c r="G298" i="72"/>
  <c r="G299" i="72"/>
  <c r="G300" i="72"/>
  <c r="G301" i="72"/>
  <c r="G302" i="72"/>
  <c r="G303" i="72"/>
  <c r="G304" i="72"/>
  <c r="G305" i="72"/>
  <c r="G306" i="72"/>
  <c r="G307" i="72"/>
  <c r="G309" i="72"/>
  <c r="G310" i="72"/>
  <c r="G311" i="72"/>
  <c r="G312" i="72"/>
  <c r="G313" i="72"/>
  <c r="G314" i="72"/>
  <c r="G315" i="72"/>
  <c r="G316" i="72"/>
  <c r="G317" i="72"/>
  <c r="G318" i="72"/>
  <c r="G319" i="72"/>
  <c r="G320" i="72"/>
  <c r="G321" i="72"/>
  <c r="G322" i="72"/>
  <c r="G323" i="72"/>
  <c r="G324" i="72"/>
  <c r="G325" i="72"/>
  <c r="G326" i="72"/>
  <c r="G327" i="72"/>
  <c r="G328" i="72"/>
  <c r="G329" i="72"/>
  <c r="G330" i="72"/>
  <c r="G331" i="72"/>
  <c r="G332" i="72"/>
  <c r="G333" i="72"/>
  <c r="G334" i="72"/>
  <c r="G335" i="72"/>
  <c r="G336" i="72"/>
  <c r="G337" i="72"/>
  <c r="G338" i="72"/>
  <c r="G339" i="72"/>
  <c r="G340" i="72"/>
  <c r="G341" i="72"/>
  <c r="G342" i="72"/>
  <c r="G343" i="72"/>
  <c r="G344" i="72"/>
  <c r="G345" i="72"/>
  <c r="G346" i="72"/>
  <c r="G347" i="72"/>
  <c r="G348" i="72"/>
  <c r="G349" i="72"/>
  <c r="G350" i="72"/>
  <c r="G351" i="72"/>
  <c r="G352" i="72"/>
  <c r="G353" i="72"/>
  <c r="G354" i="72"/>
  <c r="G355" i="72"/>
  <c r="G356" i="72"/>
  <c r="G357" i="72"/>
  <c r="G358" i="72"/>
  <c r="G359" i="72"/>
  <c r="G360" i="72"/>
  <c r="G361" i="72"/>
  <c r="G362" i="72"/>
  <c r="G363" i="72"/>
  <c r="G364" i="72"/>
  <c r="G365" i="72"/>
  <c r="G366" i="72"/>
  <c r="G367" i="72"/>
  <c r="G368" i="72"/>
  <c r="G369" i="72"/>
  <c r="G370" i="72"/>
  <c r="G371" i="72"/>
  <c r="G372" i="72"/>
  <c r="G373" i="72"/>
  <c r="G374" i="72"/>
  <c r="G375" i="72"/>
  <c r="G376" i="72"/>
  <c r="G377" i="72"/>
  <c r="G378" i="72"/>
  <c r="G379" i="72"/>
  <c r="G380" i="72"/>
  <c r="G381" i="72"/>
  <c r="G382" i="72"/>
  <c r="G383" i="72"/>
  <c r="G384" i="72"/>
  <c r="G385" i="72"/>
  <c r="G386" i="72"/>
  <c r="G387" i="72"/>
  <c r="G388" i="72"/>
  <c r="G389" i="72"/>
  <c r="G390" i="72"/>
  <c r="G391" i="72"/>
  <c r="G392" i="72"/>
  <c r="G393" i="72"/>
  <c r="G394" i="72"/>
  <c r="G395" i="72"/>
  <c r="G396" i="72"/>
  <c r="G397" i="72"/>
  <c r="G398" i="72"/>
  <c r="G399" i="72"/>
  <c r="G400" i="72"/>
  <c r="G401" i="72"/>
  <c r="G402" i="72"/>
  <c r="G403" i="72"/>
  <c r="G404" i="72"/>
  <c r="G405" i="72"/>
  <c r="G406" i="72"/>
  <c r="G407" i="72"/>
  <c r="G408" i="72"/>
  <c r="G409" i="72"/>
  <c r="G410" i="72"/>
  <c r="G411" i="72"/>
  <c r="G412" i="72"/>
  <c r="G413" i="72"/>
  <c r="G414" i="72"/>
  <c r="G415" i="72"/>
  <c r="G416" i="72"/>
  <c r="G417" i="72"/>
  <c r="G418" i="72"/>
  <c r="G419" i="72"/>
  <c r="G420" i="72"/>
  <c r="G421" i="72"/>
  <c r="G422" i="72"/>
  <c r="G423" i="72"/>
  <c r="G424" i="72"/>
  <c r="G425" i="72"/>
  <c r="G426" i="72"/>
  <c r="G427" i="72"/>
  <c r="G428" i="72"/>
  <c r="G429" i="72"/>
  <c r="G430" i="72"/>
  <c r="G431" i="72"/>
  <c r="G432" i="72"/>
  <c r="G433" i="72"/>
  <c r="F444" i="72"/>
  <c r="F445" i="72"/>
  <c r="F446" i="72"/>
  <c r="F447" i="72"/>
  <c r="F448" i="72"/>
  <c r="F449" i="72"/>
  <c r="F450" i="72"/>
  <c r="F451" i="72"/>
  <c r="F452" i="72"/>
  <c r="F453" i="72"/>
  <c r="F454" i="72"/>
  <c r="F455" i="72"/>
  <c r="F456" i="72"/>
  <c r="F457" i="72"/>
  <c r="F458" i="72"/>
  <c r="F459" i="72"/>
  <c r="F3" i="72"/>
  <c r="F4" i="72"/>
  <c r="F5" i="72"/>
  <c r="F6" i="72"/>
  <c r="F7" i="72"/>
  <c r="F8" i="72"/>
  <c r="F9" i="72"/>
  <c r="F10" i="72"/>
  <c r="F11" i="72"/>
  <c r="F12" i="72"/>
  <c r="F13" i="72"/>
  <c r="F14" i="72"/>
  <c r="F15" i="72"/>
  <c r="F16" i="72"/>
  <c r="F17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30" i="72"/>
  <c r="F31" i="72"/>
  <c r="F32" i="72"/>
  <c r="F33" i="72"/>
  <c r="F34" i="72"/>
  <c r="F35" i="72"/>
  <c r="F36" i="72"/>
  <c r="F37" i="72"/>
  <c r="F38" i="72"/>
  <c r="F39" i="72"/>
  <c r="F40" i="72"/>
  <c r="F41" i="72"/>
  <c r="F42" i="72"/>
  <c r="F43" i="72"/>
  <c r="F44" i="72"/>
  <c r="F45" i="72"/>
  <c r="F46" i="72"/>
  <c r="F47" i="72"/>
  <c r="F48" i="72"/>
  <c r="F49" i="72"/>
  <c r="F50" i="72"/>
  <c r="F51" i="72"/>
  <c r="F52" i="72"/>
  <c r="F53" i="72"/>
  <c r="F54" i="72"/>
  <c r="F55" i="72"/>
  <c r="F56" i="72"/>
  <c r="F57" i="72"/>
  <c r="F58" i="72"/>
  <c r="F59" i="72"/>
  <c r="F60" i="72"/>
  <c r="F61" i="72"/>
  <c r="F62" i="72"/>
  <c r="F63" i="72"/>
  <c r="F64" i="72"/>
  <c r="F65" i="72"/>
  <c r="F66" i="72"/>
  <c r="F67" i="72"/>
  <c r="F68" i="72"/>
  <c r="F69" i="72"/>
  <c r="F70" i="72"/>
  <c r="F71" i="72"/>
  <c r="F72" i="72"/>
  <c r="F73" i="72"/>
  <c r="F74" i="72"/>
  <c r="F75" i="72"/>
  <c r="F76" i="72"/>
  <c r="F77" i="72"/>
  <c r="F78" i="72"/>
  <c r="F79" i="72"/>
  <c r="F80" i="72"/>
  <c r="F81" i="72"/>
  <c r="F82" i="72"/>
  <c r="F83" i="72"/>
  <c r="F84" i="72"/>
  <c r="F85" i="72"/>
  <c r="F86" i="72"/>
  <c r="F87" i="72"/>
  <c r="F88" i="72"/>
  <c r="F89" i="72"/>
  <c r="F90" i="72"/>
  <c r="F91" i="72"/>
  <c r="F92" i="72"/>
  <c r="F93" i="72"/>
  <c r="F94" i="72"/>
  <c r="F95" i="72"/>
  <c r="F96" i="72"/>
  <c r="F97" i="72"/>
  <c r="F98" i="72"/>
  <c r="F99" i="72"/>
  <c r="F100" i="72"/>
  <c r="F101" i="72"/>
  <c r="F102" i="72"/>
  <c r="F103" i="72"/>
  <c r="F104" i="72"/>
  <c r="F105" i="72"/>
  <c r="F106" i="72"/>
  <c r="F107" i="72"/>
  <c r="F108" i="72"/>
  <c r="F109" i="72"/>
  <c r="F110" i="72"/>
  <c r="F111" i="72"/>
  <c r="F112" i="72"/>
  <c r="F113" i="72"/>
  <c r="F114" i="72"/>
  <c r="F115" i="72"/>
  <c r="F116" i="72"/>
  <c r="F117" i="72"/>
  <c r="F118" i="72"/>
  <c r="F119" i="72"/>
  <c r="F120" i="72"/>
  <c r="F121" i="72"/>
  <c r="F122" i="72"/>
  <c r="F123" i="72"/>
  <c r="F124" i="72"/>
  <c r="F125" i="72"/>
  <c r="F126" i="72"/>
  <c r="F127" i="72"/>
  <c r="F128" i="72"/>
  <c r="F129" i="72"/>
  <c r="F130" i="72"/>
  <c r="F131" i="72"/>
  <c r="F132" i="72"/>
  <c r="F133" i="72"/>
  <c r="F134" i="72"/>
  <c r="F135" i="72"/>
  <c r="F136" i="72"/>
  <c r="F137" i="72"/>
  <c r="F138" i="72"/>
  <c r="F139" i="72"/>
  <c r="F140" i="72"/>
  <c r="F141" i="72"/>
  <c r="F142" i="72"/>
  <c r="F143" i="72"/>
  <c r="F144" i="72"/>
  <c r="F145" i="72"/>
  <c r="F146" i="72"/>
  <c r="F147" i="72"/>
  <c r="F148" i="72"/>
  <c r="F149" i="72"/>
  <c r="F150" i="72"/>
  <c r="F151" i="72"/>
  <c r="F152" i="72"/>
  <c r="F153" i="72"/>
  <c r="F154" i="72"/>
  <c r="F155" i="72"/>
  <c r="F156" i="72"/>
  <c r="F157" i="72"/>
  <c r="F158" i="72"/>
  <c r="F159" i="72"/>
  <c r="F160" i="72"/>
  <c r="F161" i="72"/>
  <c r="F162" i="72"/>
  <c r="F163" i="72"/>
  <c r="F164" i="72"/>
  <c r="F165" i="72"/>
  <c r="F166" i="72"/>
  <c r="F167" i="72"/>
  <c r="F168" i="72"/>
  <c r="F169" i="72"/>
  <c r="F170" i="72"/>
  <c r="F171" i="72"/>
  <c r="F172" i="72"/>
  <c r="F173" i="72"/>
  <c r="F174" i="72"/>
  <c r="F175" i="72"/>
  <c r="F176" i="72"/>
  <c r="F177" i="72"/>
  <c r="F178" i="72"/>
  <c r="F179" i="72"/>
  <c r="F180" i="72"/>
  <c r="F181" i="72"/>
  <c r="F182" i="72"/>
  <c r="F183" i="72"/>
  <c r="F184" i="72"/>
  <c r="F185" i="72"/>
  <c r="F186" i="72"/>
  <c r="F187" i="72"/>
  <c r="F188" i="72"/>
  <c r="F189" i="72"/>
  <c r="F190" i="72"/>
  <c r="F191" i="72"/>
  <c r="F192" i="72"/>
  <c r="F193" i="72"/>
  <c r="F194" i="72"/>
  <c r="F195" i="72"/>
  <c r="F196" i="72"/>
  <c r="F197" i="72"/>
  <c r="F198" i="72"/>
  <c r="F199" i="72"/>
  <c r="F200" i="72"/>
  <c r="F201" i="72"/>
  <c r="F202" i="72"/>
  <c r="F203" i="72"/>
  <c r="F204" i="72"/>
  <c r="F205" i="72"/>
  <c r="F206" i="72"/>
  <c r="F207" i="72"/>
  <c r="F208" i="72"/>
  <c r="F209" i="72"/>
  <c r="F210" i="72"/>
  <c r="F211" i="72"/>
  <c r="F212" i="72"/>
  <c r="F213" i="72"/>
  <c r="F214" i="72"/>
  <c r="F215" i="72"/>
  <c r="F216" i="72"/>
  <c r="F217" i="72"/>
  <c r="F218" i="72"/>
  <c r="F219" i="72"/>
  <c r="F220" i="72"/>
  <c r="F221" i="72"/>
  <c r="F222" i="72"/>
  <c r="F223" i="72"/>
  <c r="F224" i="72"/>
  <c r="F225" i="72"/>
  <c r="F226" i="72"/>
  <c r="F227" i="72"/>
  <c r="F228" i="72"/>
  <c r="F229" i="72"/>
  <c r="F230" i="72"/>
  <c r="F231" i="72"/>
  <c r="F232" i="72"/>
  <c r="F233" i="72"/>
  <c r="F234" i="72"/>
  <c r="F235" i="72"/>
  <c r="F236" i="72"/>
  <c r="F237" i="72"/>
  <c r="F238" i="72"/>
  <c r="F239" i="72"/>
  <c r="F240" i="72"/>
  <c r="F241" i="72"/>
  <c r="F242" i="72"/>
  <c r="F243" i="72"/>
  <c r="F244" i="72"/>
  <c r="F245" i="72"/>
  <c r="F246" i="72"/>
  <c r="F247" i="72"/>
  <c r="F248" i="72"/>
  <c r="F249" i="72"/>
  <c r="F250" i="72"/>
  <c r="F251" i="72"/>
  <c r="F252" i="72"/>
  <c r="F253" i="72"/>
  <c r="F254" i="72"/>
  <c r="F255" i="72"/>
  <c r="F256" i="72"/>
  <c r="F257" i="72"/>
  <c r="F258" i="72"/>
  <c r="F259" i="72"/>
  <c r="F260" i="72"/>
  <c r="F261" i="72"/>
  <c r="F262" i="72"/>
  <c r="F263" i="72"/>
  <c r="F264" i="72"/>
  <c r="F265" i="72"/>
  <c r="F266" i="72"/>
  <c r="F267" i="72"/>
  <c r="F268" i="72"/>
  <c r="F269" i="72"/>
  <c r="F270" i="72"/>
  <c r="F271" i="72"/>
  <c r="F272" i="72"/>
  <c r="F273" i="72"/>
  <c r="F274" i="72"/>
  <c r="F275" i="72"/>
  <c r="F276" i="72"/>
  <c r="F277" i="72"/>
  <c r="F278" i="72"/>
  <c r="F279" i="72"/>
  <c r="F280" i="72"/>
  <c r="F281" i="72"/>
  <c r="F282" i="72"/>
  <c r="F283" i="72"/>
  <c r="F284" i="72"/>
  <c r="F285" i="72"/>
  <c r="F286" i="72"/>
  <c r="F287" i="72"/>
  <c r="F288" i="72"/>
  <c r="F289" i="72"/>
  <c r="F290" i="72"/>
  <c r="F291" i="72"/>
  <c r="F292" i="72"/>
  <c r="F293" i="72"/>
  <c r="F294" i="72"/>
  <c r="F295" i="72"/>
  <c r="F296" i="72"/>
  <c r="F297" i="72"/>
  <c r="F298" i="72"/>
  <c r="F299" i="72"/>
  <c r="F300" i="72"/>
  <c r="F301" i="72"/>
  <c r="F302" i="72"/>
  <c r="F303" i="72"/>
  <c r="F304" i="72"/>
  <c r="F305" i="72"/>
  <c r="F306" i="72"/>
  <c r="F307" i="72"/>
  <c r="F309" i="72"/>
  <c r="F310" i="72"/>
  <c r="F311" i="72"/>
  <c r="F312" i="72"/>
  <c r="F313" i="72"/>
  <c r="F314" i="72"/>
  <c r="F315" i="72"/>
  <c r="F316" i="72"/>
  <c r="F317" i="72"/>
  <c r="F318" i="72"/>
  <c r="F319" i="72"/>
  <c r="F320" i="72"/>
  <c r="F321" i="72"/>
  <c r="F322" i="72"/>
  <c r="F323" i="72"/>
  <c r="F324" i="72"/>
  <c r="F325" i="72"/>
  <c r="F326" i="72"/>
  <c r="F327" i="72"/>
  <c r="F328" i="72"/>
  <c r="F329" i="72"/>
  <c r="F330" i="72"/>
  <c r="F331" i="72"/>
  <c r="F332" i="72"/>
  <c r="F333" i="72"/>
  <c r="F334" i="72"/>
  <c r="F335" i="72"/>
  <c r="F336" i="72"/>
  <c r="F337" i="72"/>
  <c r="F338" i="72"/>
  <c r="F339" i="72"/>
  <c r="F340" i="72"/>
  <c r="F341" i="72"/>
  <c r="F342" i="72"/>
  <c r="F343" i="72"/>
  <c r="F344" i="72"/>
  <c r="F345" i="72"/>
  <c r="F346" i="72"/>
  <c r="F347" i="72"/>
  <c r="F348" i="72"/>
  <c r="F349" i="72"/>
  <c r="F350" i="72"/>
  <c r="F351" i="72"/>
  <c r="F352" i="72"/>
  <c r="F353" i="72"/>
  <c r="F354" i="72"/>
  <c r="F355" i="72"/>
  <c r="F356" i="72"/>
  <c r="F357" i="72"/>
  <c r="F358" i="72"/>
  <c r="F359" i="72"/>
  <c r="F360" i="72"/>
  <c r="F361" i="72"/>
  <c r="F362" i="72"/>
  <c r="F363" i="72"/>
  <c r="F364" i="72"/>
  <c r="F365" i="72"/>
  <c r="F366" i="72"/>
  <c r="F367" i="72"/>
  <c r="F368" i="72"/>
  <c r="F369" i="72"/>
  <c r="F370" i="72"/>
  <c r="F371" i="72"/>
  <c r="F372" i="72"/>
  <c r="F373" i="72"/>
  <c r="F374" i="72"/>
  <c r="F375" i="72"/>
  <c r="F376" i="72"/>
  <c r="F377" i="72"/>
  <c r="F378" i="72"/>
  <c r="F379" i="72"/>
  <c r="F380" i="72"/>
  <c r="F381" i="72"/>
  <c r="F382" i="72"/>
  <c r="F383" i="72"/>
  <c r="F384" i="72"/>
  <c r="F385" i="72"/>
  <c r="F386" i="72"/>
  <c r="F387" i="72"/>
  <c r="F388" i="72"/>
  <c r="F389" i="72"/>
  <c r="F390" i="72"/>
  <c r="F391" i="72"/>
  <c r="F392" i="72"/>
  <c r="F393" i="72"/>
  <c r="F394" i="72"/>
  <c r="F395" i="72"/>
  <c r="F396" i="72"/>
  <c r="F397" i="72"/>
  <c r="F398" i="72"/>
  <c r="F399" i="72"/>
  <c r="F400" i="72"/>
  <c r="F401" i="72"/>
  <c r="F402" i="72"/>
  <c r="F403" i="72"/>
  <c r="F404" i="72"/>
  <c r="F405" i="72"/>
  <c r="F406" i="72"/>
  <c r="F407" i="72"/>
  <c r="F408" i="72"/>
  <c r="F409" i="72"/>
  <c r="F410" i="72"/>
  <c r="F411" i="72"/>
  <c r="F412" i="72"/>
  <c r="F413" i="72"/>
  <c r="F414" i="72"/>
  <c r="F415" i="72"/>
  <c r="F416" i="72"/>
  <c r="F417" i="72"/>
  <c r="F418" i="72"/>
  <c r="F419" i="72"/>
  <c r="F420" i="72"/>
  <c r="F421" i="72"/>
  <c r="F422" i="72"/>
  <c r="F423" i="72"/>
  <c r="F424" i="72"/>
  <c r="F425" i="72"/>
  <c r="F426" i="72"/>
  <c r="F427" i="72"/>
  <c r="F428" i="72"/>
  <c r="F429" i="72"/>
  <c r="F430" i="72"/>
  <c r="F431" i="72"/>
  <c r="F432" i="72"/>
  <c r="F433" i="72"/>
  <c r="E444" i="72"/>
  <c r="L444" i="72" s="1"/>
  <c r="E445" i="72"/>
  <c r="K445" i="72" s="1"/>
  <c r="E446" i="72"/>
  <c r="E447" i="72"/>
  <c r="L447" i="72" s="1"/>
  <c r="E448" i="72"/>
  <c r="K448" i="72" s="1"/>
  <c r="E449" i="72"/>
  <c r="E450" i="72"/>
  <c r="E451" i="72"/>
  <c r="E452" i="72"/>
  <c r="L452" i="72" s="1"/>
  <c r="E453" i="72"/>
  <c r="K453" i="72" s="1"/>
  <c r="E454" i="72"/>
  <c r="E455" i="72"/>
  <c r="L455" i="72" s="1"/>
  <c r="E456" i="72"/>
  <c r="K456" i="72" s="1"/>
  <c r="E457" i="72"/>
  <c r="E458" i="72"/>
  <c r="E459" i="72"/>
  <c r="E460" i="72"/>
  <c r="E3" i="72"/>
  <c r="L3" i="72" s="1"/>
  <c r="E4" i="72"/>
  <c r="E5" i="72"/>
  <c r="K5" i="72" s="1"/>
  <c r="E6" i="72"/>
  <c r="L6" i="72" s="1"/>
  <c r="E7" i="72"/>
  <c r="E8" i="72"/>
  <c r="K8" i="72" s="1"/>
  <c r="E9" i="72"/>
  <c r="E10" i="72"/>
  <c r="E11" i="72"/>
  <c r="L11" i="72" s="1"/>
  <c r="E12" i="72"/>
  <c r="E13" i="72"/>
  <c r="K13" i="72" s="1"/>
  <c r="E14" i="72"/>
  <c r="L14" i="72" s="1"/>
  <c r="E15" i="72"/>
  <c r="E16" i="72"/>
  <c r="K16" i="72" s="1"/>
  <c r="E17" i="72"/>
  <c r="E18" i="72"/>
  <c r="E19" i="72"/>
  <c r="L19" i="72" s="1"/>
  <c r="E20" i="72"/>
  <c r="E21" i="72"/>
  <c r="K21" i="72" s="1"/>
  <c r="E22" i="72"/>
  <c r="L22" i="72" s="1"/>
  <c r="E23" i="72"/>
  <c r="E24" i="72"/>
  <c r="K24" i="72" s="1"/>
  <c r="E25" i="72"/>
  <c r="E26" i="72"/>
  <c r="E27" i="72"/>
  <c r="L27" i="72" s="1"/>
  <c r="E28" i="72"/>
  <c r="E29" i="72"/>
  <c r="K29" i="72" s="1"/>
  <c r="E30" i="72"/>
  <c r="L30" i="72" s="1"/>
  <c r="E31" i="72"/>
  <c r="E32" i="72"/>
  <c r="K32" i="72" s="1"/>
  <c r="E33" i="72"/>
  <c r="E34" i="72"/>
  <c r="E35" i="72"/>
  <c r="L35" i="72" s="1"/>
  <c r="E36" i="72"/>
  <c r="E37" i="72"/>
  <c r="K37" i="72" s="1"/>
  <c r="E40" i="72"/>
  <c r="K40" i="72" s="1"/>
  <c r="E41" i="72"/>
  <c r="E42" i="72"/>
  <c r="E43" i="72"/>
  <c r="L43" i="72" s="1"/>
  <c r="E44" i="72"/>
  <c r="E45" i="72"/>
  <c r="K45" i="72" s="1"/>
  <c r="E46" i="72"/>
  <c r="L46" i="72" s="1"/>
  <c r="E47" i="72"/>
  <c r="E48" i="72"/>
  <c r="K48" i="72" s="1"/>
  <c r="E49" i="72"/>
  <c r="E50" i="72"/>
  <c r="E51" i="72"/>
  <c r="L51" i="72" s="1"/>
  <c r="E52" i="72"/>
  <c r="E53" i="72"/>
  <c r="K53" i="72" s="1"/>
  <c r="E54" i="72"/>
  <c r="L54" i="72" s="1"/>
  <c r="E55" i="72"/>
  <c r="E56" i="72"/>
  <c r="K56" i="72" s="1"/>
  <c r="E57" i="72"/>
  <c r="E58" i="72"/>
  <c r="L58" i="72" s="1"/>
  <c r="E59" i="72"/>
  <c r="E60" i="72"/>
  <c r="K60" i="72" s="1"/>
  <c r="E61" i="72"/>
  <c r="L61" i="72" s="1"/>
  <c r="E62" i="72"/>
  <c r="E63" i="72"/>
  <c r="K63" i="72" s="1"/>
  <c r="E64" i="72"/>
  <c r="E65" i="72"/>
  <c r="E66" i="72"/>
  <c r="L66" i="72" s="1"/>
  <c r="E67" i="72"/>
  <c r="E68" i="72"/>
  <c r="K68" i="72" s="1"/>
  <c r="E69" i="72"/>
  <c r="L69" i="72" s="1"/>
  <c r="E70" i="72"/>
  <c r="E71" i="72"/>
  <c r="K71" i="72" s="1"/>
  <c r="E72" i="72"/>
  <c r="E73" i="72"/>
  <c r="E74" i="72"/>
  <c r="L74" i="72" s="1"/>
  <c r="E75" i="72"/>
  <c r="E76" i="72"/>
  <c r="K76" i="72" s="1"/>
  <c r="E77" i="72"/>
  <c r="L77" i="72" s="1"/>
  <c r="E78" i="72"/>
  <c r="E79" i="72"/>
  <c r="K79" i="72" s="1"/>
  <c r="E80" i="72"/>
  <c r="E81" i="72"/>
  <c r="E82" i="72"/>
  <c r="L82" i="72" s="1"/>
  <c r="E83" i="72"/>
  <c r="E84" i="72"/>
  <c r="K84" i="72" s="1"/>
  <c r="E85" i="72"/>
  <c r="L85" i="72" s="1"/>
  <c r="E86" i="72"/>
  <c r="E87" i="72"/>
  <c r="K87" i="72" s="1"/>
  <c r="E88" i="72"/>
  <c r="E89" i="72"/>
  <c r="E90" i="72"/>
  <c r="L90" i="72" s="1"/>
  <c r="E91" i="72"/>
  <c r="E92" i="72"/>
  <c r="K92" i="72" s="1"/>
  <c r="E93" i="72"/>
  <c r="L93" i="72" s="1"/>
  <c r="E94" i="72"/>
  <c r="E95" i="72"/>
  <c r="K95" i="72" s="1"/>
  <c r="E96" i="72"/>
  <c r="E97" i="72"/>
  <c r="L97" i="72" s="1"/>
  <c r="E98" i="72"/>
  <c r="E99" i="72"/>
  <c r="K99" i="72" s="1"/>
  <c r="E100" i="72"/>
  <c r="L100" i="72" s="1"/>
  <c r="E101" i="72"/>
  <c r="E102" i="72"/>
  <c r="K102" i="72" s="1"/>
  <c r="E103" i="72"/>
  <c r="E104" i="72"/>
  <c r="E105" i="72"/>
  <c r="L105" i="72" s="1"/>
  <c r="E106" i="72"/>
  <c r="E107" i="72"/>
  <c r="K107" i="72" s="1"/>
  <c r="E108" i="72"/>
  <c r="L108" i="72" s="1"/>
  <c r="E109" i="72"/>
  <c r="E110" i="72"/>
  <c r="K110" i="72" s="1"/>
  <c r="E111" i="72"/>
  <c r="E112" i="72"/>
  <c r="E113" i="72"/>
  <c r="L113" i="72" s="1"/>
  <c r="E114" i="72"/>
  <c r="E115" i="72"/>
  <c r="K115" i="72" s="1"/>
  <c r="E116" i="72"/>
  <c r="L116" i="72" s="1"/>
  <c r="E117" i="72"/>
  <c r="E118" i="72"/>
  <c r="K118" i="72" s="1"/>
  <c r="E119" i="72"/>
  <c r="E120" i="72"/>
  <c r="E121" i="72"/>
  <c r="L121" i="72" s="1"/>
  <c r="E122" i="72"/>
  <c r="E123" i="72"/>
  <c r="K123" i="72" s="1"/>
  <c r="E124" i="72"/>
  <c r="L124" i="72" s="1"/>
  <c r="E125" i="72"/>
  <c r="E126" i="72"/>
  <c r="K126" i="72" s="1"/>
  <c r="E127" i="72"/>
  <c r="E128" i="72"/>
  <c r="E129" i="72"/>
  <c r="L129" i="72" s="1"/>
  <c r="E130" i="72"/>
  <c r="K130" i="72" s="1"/>
  <c r="E131" i="72"/>
  <c r="L131" i="72" s="1"/>
  <c r="E132" i="72"/>
  <c r="E133" i="72"/>
  <c r="K133" i="72" s="1"/>
  <c r="E134" i="72"/>
  <c r="E135" i="72"/>
  <c r="E136" i="72"/>
  <c r="L136" i="72" s="1"/>
  <c r="E137" i="72"/>
  <c r="E138" i="72"/>
  <c r="K138" i="72" s="1"/>
  <c r="E139" i="72"/>
  <c r="L139" i="72" s="1"/>
  <c r="E140" i="72"/>
  <c r="E141" i="72"/>
  <c r="K141" i="72" s="1"/>
  <c r="E142" i="72"/>
  <c r="E143" i="72"/>
  <c r="E144" i="72"/>
  <c r="L144" i="72" s="1"/>
  <c r="E145" i="72"/>
  <c r="E146" i="72"/>
  <c r="K146" i="72" s="1"/>
  <c r="E147" i="72"/>
  <c r="L147" i="72" s="1"/>
  <c r="E148" i="72"/>
  <c r="E149" i="72"/>
  <c r="K149" i="72" s="1"/>
  <c r="E150" i="72"/>
  <c r="E151" i="72"/>
  <c r="E152" i="72"/>
  <c r="L152" i="72" s="1"/>
  <c r="E153" i="72"/>
  <c r="E154" i="72"/>
  <c r="K154" i="72" s="1"/>
  <c r="E155" i="72"/>
  <c r="L155" i="72" s="1"/>
  <c r="E156" i="72"/>
  <c r="E157" i="72"/>
  <c r="K157" i="72" s="1"/>
  <c r="E158" i="72"/>
  <c r="E159" i="72"/>
  <c r="E160" i="72"/>
  <c r="L160" i="72" s="1"/>
  <c r="E161" i="72"/>
  <c r="E162" i="72"/>
  <c r="K162" i="72" s="1"/>
  <c r="E163" i="72"/>
  <c r="L163" i="72" s="1"/>
  <c r="E164" i="72"/>
  <c r="E165" i="72"/>
  <c r="K165" i="72" s="1"/>
  <c r="E166" i="72"/>
  <c r="E167" i="72"/>
  <c r="L167" i="72" s="1"/>
  <c r="E168" i="72"/>
  <c r="L168" i="72" s="1"/>
  <c r="E169" i="72"/>
  <c r="E170" i="72"/>
  <c r="L170" i="72" s="1"/>
  <c r="E171" i="72"/>
  <c r="L171" i="72" s="1"/>
  <c r="E172" i="72"/>
  <c r="E173" i="72"/>
  <c r="K173" i="72" s="1"/>
  <c r="E174" i="72"/>
  <c r="E175" i="72"/>
  <c r="L175" i="72" s="1"/>
  <c r="E176" i="72"/>
  <c r="L176" i="72" s="1"/>
  <c r="E177" i="72"/>
  <c r="E178" i="72"/>
  <c r="K178" i="72" s="1"/>
  <c r="E179" i="72"/>
  <c r="L179" i="72" s="1"/>
  <c r="E180" i="72"/>
  <c r="E181" i="72"/>
  <c r="K181" i="72" s="1"/>
  <c r="E182" i="72"/>
  <c r="E183" i="72"/>
  <c r="L183" i="72" s="1"/>
  <c r="E184" i="72"/>
  <c r="L184" i="72" s="1"/>
  <c r="E185" i="72"/>
  <c r="E186" i="72"/>
  <c r="L186" i="72" s="1"/>
  <c r="E187" i="72"/>
  <c r="L187" i="72" s="1"/>
  <c r="E188" i="72"/>
  <c r="E189" i="72"/>
  <c r="K189" i="72" s="1"/>
  <c r="E190" i="72"/>
  <c r="E191" i="72"/>
  <c r="L191" i="72" s="1"/>
  <c r="E192" i="72"/>
  <c r="L192" i="72" s="1"/>
  <c r="E193" i="72"/>
  <c r="E194" i="72"/>
  <c r="L194" i="72" s="1"/>
  <c r="E195" i="72"/>
  <c r="L195" i="72" s="1"/>
  <c r="E196" i="72"/>
  <c r="E197" i="72"/>
  <c r="L197" i="72" s="1"/>
  <c r="E198" i="72"/>
  <c r="E199" i="72"/>
  <c r="L199" i="72" s="1"/>
  <c r="E200" i="72"/>
  <c r="L200" i="72" s="1"/>
  <c r="E201" i="72"/>
  <c r="E202" i="72"/>
  <c r="K202" i="72" s="1"/>
  <c r="E203" i="72"/>
  <c r="L203" i="72" s="1"/>
  <c r="E204" i="72"/>
  <c r="E205" i="72"/>
  <c r="K205" i="72" s="1"/>
  <c r="E206" i="72"/>
  <c r="E207" i="72"/>
  <c r="L207" i="72" s="1"/>
  <c r="E208" i="72"/>
  <c r="L208" i="72" s="1"/>
  <c r="E209" i="72"/>
  <c r="E210" i="72"/>
  <c r="K210" i="72" s="1"/>
  <c r="E211" i="72"/>
  <c r="L211" i="72" s="1"/>
  <c r="E212" i="72"/>
  <c r="E213" i="72"/>
  <c r="L213" i="72" s="1"/>
  <c r="E214" i="72"/>
  <c r="L214" i="72" s="1"/>
  <c r="E215" i="72"/>
  <c r="L215" i="72" s="1"/>
  <c r="E216" i="72"/>
  <c r="L216" i="72" s="1"/>
  <c r="E217" i="72"/>
  <c r="E218" i="72"/>
  <c r="K218" i="72" s="1"/>
  <c r="E219" i="72"/>
  <c r="L219" i="72" s="1"/>
  <c r="E220" i="72"/>
  <c r="L220" i="72" s="1"/>
  <c r="E221" i="72"/>
  <c r="K221" i="72" s="1"/>
  <c r="E222" i="72"/>
  <c r="L222" i="72" s="1"/>
  <c r="E223" i="72"/>
  <c r="L223" i="72" s="1"/>
  <c r="E224" i="72"/>
  <c r="L224" i="72" s="1"/>
  <c r="E225" i="72"/>
  <c r="L225" i="72" s="1"/>
  <c r="E226" i="72"/>
  <c r="L226" i="72" s="1"/>
  <c r="E227" i="72"/>
  <c r="L227" i="72" s="1"/>
  <c r="E228" i="72"/>
  <c r="L228" i="72" s="1"/>
  <c r="E229" i="72"/>
  <c r="L229" i="72" s="1"/>
  <c r="E230" i="72"/>
  <c r="L230" i="72" s="1"/>
  <c r="E231" i="72"/>
  <c r="L231" i="72" s="1"/>
  <c r="E232" i="72"/>
  <c r="L232" i="72" s="1"/>
  <c r="E233" i="72"/>
  <c r="L233" i="72" s="1"/>
  <c r="E234" i="72"/>
  <c r="L234" i="72" s="1"/>
  <c r="E235" i="72"/>
  <c r="L235" i="72" s="1"/>
  <c r="E236" i="72"/>
  <c r="L236" i="72" s="1"/>
  <c r="E237" i="72"/>
  <c r="L237" i="72" s="1"/>
  <c r="E238" i="72"/>
  <c r="L238" i="72" s="1"/>
  <c r="E239" i="72"/>
  <c r="L239" i="72" s="1"/>
  <c r="E240" i="72"/>
  <c r="L240" i="72" s="1"/>
  <c r="E241" i="72"/>
  <c r="L241" i="72" s="1"/>
  <c r="E242" i="72"/>
  <c r="K242" i="72" s="1"/>
  <c r="E243" i="72"/>
  <c r="L243" i="72" s="1"/>
  <c r="E244" i="72"/>
  <c r="L244" i="72" s="1"/>
  <c r="E245" i="72"/>
  <c r="L245" i="72" s="1"/>
  <c r="E246" i="72"/>
  <c r="L246" i="72" s="1"/>
  <c r="E247" i="72"/>
  <c r="L247" i="72" s="1"/>
  <c r="E248" i="72"/>
  <c r="L248" i="72" s="1"/>
  <c r="E249" i="72"/>
  <c r="L249" i="72" s="1"/>
  <c r="E250" i="72"/>
  <c r="K250" i="72" s="1"/>
  <c r="E251" i="72"/>
  <c r="L251" i="72" s="1"/>
  <c r="E252" i="72"/>
  <c r="L252" i="72" s="1"/>
  <c r="E253" i="72"/>
  <c r="K253" i="72" s="1"/>
  <c r="E254" i="72"/>
  <c r="L254" i="72" s="1"/>
  <c r="E255" i="72"/>
  <c r="L255" i="72" s="1"/>
  <c r="E256" i="72"/>
  <c r="L256" i="72" s="1"/>
  <c r="E257" i="72"/>
  <c r="L257" i="72" s="1"/>
  <c r="E258" i="72"/>
  <c r="L258" i="72" s="1"/>
  <c r="E259" i="72"/>
  <c r="L259" i="72" s="1"/>
  <c r="E260" i="72"/>
  <c r="L260" i="72" s="1"/>
  <c r="E261" i="72"/>
  <c r="L261" i="72" s="1"/>
  <c r="E262" i="72"/>
  <c r="L262" i="72" s="1"/>
  <c r="E263" i="72"/>
  <c r="L263" i="72" s="1"/>
  <c r="E264" i="72"/>
  <c r="L264" i="72" s="1"/>
  <c r="E265" i="72"/>
  <c r="L265" i="72" s="1"/>
  <c r="E266" i="72"/>
  <c r="L266" i="72" s="1"/>
  <c r="E267" i="72"/>
  <c r="L267" i="72" s="1"/>
  <c r="E268" i="72"/>
  <c r="L268" i="72" s="1"/>
  <c r="E269" i="72"/>
  <c r="L269" i="72" s="1"/>
  <c r="E270" i="72"/>
  <c r="L270" i="72" s="1"/>
  <c r="E271" i="72"/>
  <c r="L271" i="72" s="1"/>
  <c r="E272" i="72"/>
  <c r="L272" i="72" s="1"/>
  <c r="E273" i="72"/>
  <c r="L273" i="72" s="1"/>
  <c r="E274" i="72"/>
  <c r="K274" i="72" s="1"/>
  <c r="E275" i="72"/>
  <c r="L275" i="72" s="1"/>
  <c r="E276" i="72"/>
  <c r="L276" i="72" s="1"/>
  <c r="E277" i="72"/>
  <c r="L277" i="72" s="1"/>
  <c r="E278" i="72"/>
  <c r="L278" i="72" s="1"/>
  <c r="E279" i="72"/>
  <c r="L279" i="72" s="1"/>
  <c r="E280" i="72"/>
  <c r="L280" i="72" s="1"/>
  <c r="E281" i="72"/>
  <c r="L281" i="72" s="1"/>
  <c r="E282" i="72"/>
  <c r="K282" i="72" s="1"/>
  <c r="E283" i="72"/>
  <c r="L283" i="72" s="1"/>
  <c r="E284" i="72"/>
  <c r="L284" i="72" s="1"/>
  <c r="E285" i="72"/>
  <c r="K285" i="72" s="1"/>
  <c r="E286" i="72"/>
  <c r="L286" i="72" s="1"/>
  <c r="E287" i="72"/>
  <c r="L287" i="72" s="1"/>
  <c r="E288" i="72"/>
  <c r="L288" i="72" s="1"/>
  <c r="E289" i="72"/>
  <c r="L289" i="72" s="1"/>
  <c r="E290" i="72"/>
  <c r="L290" i="72" s="1"/>
  <c r="E291" i="72"/>
  <c r="L291" i="72" s="1"/>
  <c r="E292" i="72"/>
  <c r="L292" i="72" s="1"/>
  <c r="E293" i="72"/>
  <c r="L293" i="72" s="1"/>
  <c r="E294" i="72"/>
  <c r="L294" i="72" s="1"/>
  <c r="E295" i="72"/>
  <c r="L295" i="72" s="1"/>
  <c r="E296" i="72"/>
  <c r="L296" i="72" s="1"/>
  <c r="E297" i="72"/>
  <c r="L297" i="72" s="1"/>
  <c r="E298" i="72"/>
  <c r="L298" i="72" s="1"/>
  <c r="E299" i="72"/>
  <c r="L299" i="72" s="1"/>
  <c r="E300" i="72"/>
  <c r="L300" i="72" s="1"/>
  <c r="E301" i="72"/>
  <c r="L301" i="72" s="1"/>
  <c r="E302" i="72"/>
  <c r="L302" i="72" s="1"/>
  <c r="E303" i="72"/>
  <c r="L303" i="72" s="1"/>
  <c r="E304" i="72"/>
  <c r="L304" i="72" s="1"/>
  <c r="E305" i="72"/>
  <c r="L305" i="72" s="1"/>
  <c r="E306" i="72"/>
  <c r="K306" i="72" s="1"/>
  <c r="E307" i="72"/>
  <c r="L307" i="72" s="1"/>
  <c r="E309" i="72"/>
  <c r="L309" i="72" s="1"/>
  <c r="E310" i="72"/>
  <c r="L310" i="72" s="1"/>
  <c r="E311" i="72"/>
  <c r="L311" i="72" s="1"/>
  <c r="E312" i="72"/>
  <c r="L312" i="72" s="1"/>
  <c r="E313" i="72"/>
  <c r="L313" i="72" s="1"/>
  <c r="E314" i="72"/>
  <c r="L314" i="72" s="1"/>
  <c r="E315" i="72"/>
  <c r="K315" i="72" s="1"/>
  <c r="E316" i="72"/>
  <c r="L316" i="72" s="1"/>
  <c r="E317" i="72"/>
  <c r="L317" i="72" s="1"/>
  <c r="E318" i="72"/>
  <c r="K318" i="72" s="1"/>
  <c r="E319" i="72"/>
  <c r="L319" i="72" s="1"/>
  <c r="E320" i="72"/>
  <c r="L320" i="72" s="1"/>
  <c r="E321" i="72"/>
  <c r="L321" i="72" s="1"/>
  <c r="E322" i="72"/>
  <c r="L322" i="72" s="1"/>
  <c r="E323" i="72"/>
  <c r="L323" i="72" s="1"/>
  <c r="E324" i="72"/>
  <c r="L324" i="72" s="1"/>
  <c r="E325" i="72"/>
  <c r="L325" i="72" s="1"/>
  <c r="E326" i="72"/>
  <c r="L326" i="72" s="1"/>
  <c r="E327" i="72"/>
  <c r="L327" i="72" s="1"/>
  <c r="E328" i="72"/>
  <c r="L328" i="72" s="1"/>
  <c r="E329" i="72"/>
  <c r="L329" i="72" s="1"/>
  <c r="E330" i="72"/>
  <c r="L330" i="72" s="1"/>
  <c r="E331" i="72"/>
  <c r="L331" i="72" s="1"/>
  <c r="E332" i="72"/>
  <c r="L332" i="72" s="1"/>
  <c r="E333" i="72"/>
  <c r="L333" i="72" s="1"/>
  <c r="E334" i="72"/>
  <c r="L334" i="72" s="1"/>
  <c r="E335" i="72"/>
  <c r="L335" i="72" s="1"/>
  <c r="E336" i="72"/>
  <c r="L336" i="72" s="1"/>
  <c r="E337" i="72"/>
  <c r="L337" i="72" s="1"/>
  <c r="E338" i="72"/>
  <c r="L338" i="72" s="1"/>
  <c r="E339" i="72"/>
  <c r="K339" i="72" s="1"/>
  <c r="E340" i="72"/>
  <c r="L340" i="72" s="1"/>
  <c r="E341" i="72"/>
  <c r="L341" i="72" s="1"/>
  <c r="E342" i="72"/>
  <c r="L342" i="72" s="1"/>
  <c r="E343" i="72"/>
  <c r="L343" i="72" s="1"/>
  <c r="E344" i="72"/>
  <c r="L344" i="72" s="1"/>
  <c r="E345" i="72"/>
  <c r="L345" i="72" s="1"/>
  <c r="E346" i="72"/>
  <c r="L346" i="72" s="1"/>
  <c r="E347" i="72"/>
  <c r="K347" i="72" s="1"/>
  <c r="E348" i="72"/>
  <c r="L348" i="72" s="1"/>
  <c r="E349" i="72"/>
  <c r="L349" i="72" s="1"/>
  <c r="E350" i="72"/>
  <c r="K350" i="72" s="1"/>
  <c r="E351" i="72"/>
  <c r="L351" i="72" s="1"/>
  <c r="E352" i="72"/>
  <c r="L352" i="72" s="1"/>
  <c r="E353" i="72"/>
  <c r="L353" i="72" s="1"/>
  <c r="E354" i="72"/>
  <c r="L354" i="72" s="1"/>
  <c r="E355" i="72"/>
  <c r="L355" i="72" s="1"/>
  <c r="E356" i="72"/>
  <c r="L356" i="72" s="1"/>
  <c r="E357" i="72"/>
  <c r="L357" i="72" s="1"/>
  <c r="E358" i="72"/>
  <c r="L358" i="72" s="1"/>
  <c r="E359" i="72"/>
  <c r="L359" i="72" s="1"/>
  <c r="E360" i="72"/>
  <c r="L360" i="72" s="1"/>
  <c r="E361" i="72"/>
  <c r="L361" i="72" s="1"/>
  <c r="E362" i="72"/>
  <c r="L362" i="72" s="1"/>
  <c r="E363" i="72"/>
  <c r="L363" i="72" s="1"/>
  <c r="E364" i="72"/>
  <c r="L364" i="72" s="1"/>
  <c r="E365" i="72"/>
  <c r="L365" i="72" s="1"/>
  <c r="E366" i="72"/>
  <c r="L366" i="72" s="1"/>
  <c r="E367" i="72"/>
  <c r="L367" i="72" s="1"/>
  <c r="E368" i="72"/>
  <c r="L368" i="72" s="1"/>
  <c r="E369" i="72"/>
  <c r="L369" i="72" s="1"/>
  <c r="E370" i="72"/>
  <c r="L370" i="72" s="1"/>
  <c r="E371" i="72"/>
  <c r="K371" i="72" s="1"/>
  <c r="E372" i="72"/>
  <c r="L372" i="72" s="1"/>
  <c r="E373" i="72"/>
  <c r="L373" i="72" s="1"/>
  <c r="E374" i="72"/>
  <c r="L374" i="72" s="1"/>
  <c r="E375" i="72"/>
  <c r="L375" i="72" s="1"/>
  <c r="E376" i="72"/>
  <c r="L376" i="72" s="1"/>
  <c r="E377" i="72"/>
  <c r="L377" i="72" s="1"/>
  <c r="E378" i="72"/>
  <c r="L378" i="72" s="1"/>
  <c r="E379" i="72"/>
  <c r="K379" i="72" s="1"/>
  <c r="E380" i="72"/>
  <c r="L380" i="72" s="1"/>
  <c r="E381" i="72"/>
  <c r="L381" i="72" s="1"/>
  <c r="E382" i="72"/>
  <c r="K382" i="72" s="1"/>
  <c r="E383" i="72"/>
  <c r="L383" i="72" s="1"/>
  <c r="E384" i="72"/>
  <c r="L384" i="72" s="1"/>
  <c r="E385" i="72"/>
  <c r="L385" i="72" s="1"/>
  <c r="E386" i="72"/>
  <c r="L386" i="72" s="1"/>
  <c r="E387" i="72"/>
  <c r="L387" i="72" s="1"/>
  <c r="E388" i="72"/>
  <c r="L388" i="72" s="1"/>
  <c r="E389" i="72"/>
  <c r="L389" i="72" s="1"/>
  <c r="E390" i="72"/>
  <c r="L390" i="72" s="1"/>
  <c r="E391" i="72"/>
  <c r="L391" i="72" s="1"/>
  <c r="E392" i="72"/>
  <c r="L392" i="72" s="1"/>
  <c r="E393" i="72"/>
  <c r="L393" i="72" s="1"/>
  <c r="E394" i="72"/>
  <c r="L394" i="72" s="1"/>
  <c r="E395" i="72"/>
  <c r="L395" i="72" s="1"/>
  <c r="E396" i="72"/>
  <c r="L396" i="72" s="1"/>
  <c r="E397" i="72"/>
  <c r="L397" i="72" s="1"/>
  <c r="E398" i="72"/>
  <c r="L398" i="72" s="1"/>
  <c r="E399" i="72"/>
  <c r="L399" i="72" s="1"/>
  <c r="E400" i="72"/>
  <c r="L400" i="72" s="1"/>
  <c r="E401" i="72"/>
  <c r="L401" i="72" s="1"/>
  <c r="E402" i="72"/>
  <c r="L402" i="72" s="1"/>
  <c r="E403" i="72"/>
  <c r="K403" i="72" s="1"/>
  <c r="E404" i="72"/>
  <c r="L404" i="72" s="1"/>
  <c r="E405" i="72"/>
  <c r="L405" i="72" s="1"/>
  <c r="E406" i="72"/>
  <c r="L406" i="72" s="1"/>
  <c r="E407" i="72"/>
  <c r="L407" i="72" s="1"/>
  <c r="E408" i="72"/>
  <c r="L408" i="72" s="1"/>
  <c r="E409" i="72"/>
  <c r="L409" i="72" s="1"/>
  <c r="E410" i="72"/>
  <c r="L410" i="72" s="1"/>
  <c r="E411" i="72"/>
  <c r="K411" i="72" s="1"/>
  <c r="E412" i="72"/>
  <c r="L412" i="72" s="1"/>
  <c r="E413" i="72"/>
  <c r="L413" i="72" s="1"/>
  <c r="E414" i="72"/>
  <c r="K414" i="72" s="1"/>
  <c r="E415" i="72"/>
  <c r="L415" i="72" s="1"/>
  <c r="E416" i="72"/>
  <c r="L416" i="72" s="1"/>
  <c r="E417" i="72"/>
  <c r="L417" i="72" s="1"/>
  <c r="E418" i="72"/>
  <c r="L418" i="72" s="1"/>
  <c r="E419" i="72"/>
  <c r="L419" i="72" s="1"/>
  <c r="E420" i="72"/>
  <c r="L420" i="72" s="1"/>
  <c r="E421" i="72"/>
  <c r="L421" i="72" s="1"/>
  <c r="E422" i="72"/>
  <c r="L422" i="72" s="1"/>
  <c r="E423" i="72"/>
  <c r="L423" i="72" s="1"/>
  <c r="E424" i="72"/>
  <c r="L424" i="72" s="1"/>
  <c r="E425" i="72"/>
  <c r="L425" i="72" s="1"/>
  <c r="E426" i="72"/>
  <c r="L426" i="72" s="1"/>
  <c r="E427" i="72"/>
  <c r="L427" i="72" s="1"/>
  <c r="E428" i="72"/>
  <c r="L428" i="72" s="1"/>
  <c r="E429" i="72"/>
  <c r="L429" i="72" s="1"/>
  <c r="E430" i="72"/>
  <c r="L430" i="72" s="1"/>
  <c r="E431" i="72"/>
  <c r="L431" i="72" s="1"/>
  <c r="E432" i="72"/>
  <c r="L432" i="72" s="1"/>
  <c r="E433" i="72"/>
  <c r="L433" i="72" s="1"/>
  <c r="E2" i="72"/>
  <c r="D444" i="72"/>
  <c r="D445" i="72"/>
  <c r="D446" i="72"/>
  <c r="D447" i="72"/>
  <c r="D448" i="72"/>
  <c r="D449" i="72"/>
  <c r="D450" i="72"/>
  <c r="D451" i="72"/>
  <c r="D452" i="72"/>
  <c r="D453" i="72"/>
  <c r="D454" i="72"/>
  <c r="D455" i="72"/>
  <c r="D456" i="72"/>
  <c r="D457" i="72"/>
  <c r="D458" i="72"/>
  <c r="D459" i="72"/>
  <c r="J38" i="72"/>
  <c r="J39" i="72"/>
  <c r="C444" i="72"/>
  <c r="C445" i="72"/>
  <c r="C446" i="72"/>
  <c r="C447" i="72"/>
  <c r="C448" i="72"/>
  <c r="C449" i="72"/>
  <c r="C450" i="72"/>
  <c r="C451" i="72"/>
  <c r="C452" i="72"/>
  <c r="C453" i="72"/>
  <c r="C454" i="72"/>
  <c r="C455" i="72"/>
  <c r="C456" i="72"/>
  <c r="C457" i="72"/>
  <c r="C458" i="72"/>
  <c r="C459" i="72"/>
  <c r="C3" i="72"/>
  <c r="C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I38" i="72" s="1"/>
  <c r="C39" i="72"/>
  <c r="I39" i="72" s="1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3" i="72"/>
  <c r="C54" i="72"/>
  <c r="C55" i="72"/>
  <c r="C56" i="72"/>
  <c r="C57" i="72"/>
  <c r="C58" i="72"/>
  <c r="C59" i="72"/>
  <c r="C60" i="72"/>
  <c r="C61" i="72"/>
  <c r="C62" i="72"/>
  <c r="C63" i="72"/>
  <c r="C64" i="72"/>
  <c r="C65" i="72"/>
  <c r="C66" i="72"/>
  <c r="C67" i="72"/>
  <c r="C68" i="72"/>
  <c r="C69" i="72"/>
  <c r="C70" i="72"/>
  <c r="C71" i="72"/>
  <c r="C72" i="72"/>
  <c r="C73" i="72"/>
  <c r="C74" i="72"/>
  <c r="C75" i="72"/>
  <c r="C76" i="72"/>
  <c r="C77" i="72"/>
  <c r="C78" i="72"/>
  <c r="C79" i="72"/>
  <c r="C80" i="72"/>
  <c r="C81" i="72"/>
  <c r="C82" i="72"/>
  <c r="C83" i="72"/>
  <c r="C84" i="72"/>
  <c r="C85" i="72"/>
  <c r="C86" i="72"/>
  <c r="C87" i="72"/>
  <c r="C88" i="72"/>
  <c r="C89" i="72"/>
  <c r="C90" i="72"/>
  <c r="C91" i="72"/>
  <c r="C92" i="72"/>
  <c r="C93" i="72"/>
  <c r="C94" i="72"/>
  <c r="C95" i="72"/>
  <c r="C96" i="72"/>
  <c r="C97" i="72"/>
  <c r="C98" i="72"/>
  <c r="C99" i="72"/>
  <c r="C100" i="72"/>
  <c r="C101" i="72"/>
  <c r="C102" i="72"/>
  <c r="C103" i="72"/>
  <c r="C104" i="72"/>
  <c r="C105" i="72"/>
  <c r="C106" i="72"/>
  <c r="C107" i="72"/>
  <c r="C108" i="72"/>
  <c r="C109" i="72"/>
  <c r="C110" i="72"/>
  <c r="C111" i="72"/>
  <c r="C112" i="72"/>
  <c r="C113" i="72"/>
  <c r="C114" i="72"/>
  <c r="C115" i="72"/>
  <c r="C116" i="72"/>
  <c r="C117" i="72"/>
  <c r="C118" i="72"/>
  <c r="C119" i="72"/>
  <c r="C120" i="72"/>
  <c r="C121" i="72"/>
  <c r="C122" i="72"/>
  <c r="C123" i="72"/>
  <c r="C124" i="72"/>
  <c r="C125" i="72"/>
  <c r="C126" i="72"/>
  <c r="C127" i="72"/>
  <c r="C128" i="72"/>
  <c r="C129" i="72"/>
  <c r="C130" i="72"/>
  <c r="C131" i="72"/>
  <c r="C132" i="72"/>
  <c r="C133" i="72"/>
  <c r="C134" i="72"/>
  <c r="C135" i="72"/>
  <c r="C136" i="72"/>
  <c r="C137" i="72"/>
  <c r="C138" i="72"/>
  <c r="C139" i="72"/>
  <c r="C140" i="72"/>
  <c r="C141" i="72"/>
  <c r="C142" i="72"/>
  <c r="C143" i="72"/>
  <c r="C144" i="72"/>
  <c r="C145" i="72"/>
  <c r="C146" i="72"/>
  <c r="C147" i="72"/>
  <c r="C148" i="72"/>
  <c r="C149" i="72"/>
  <c r="C150" i="72"/>
  <c r="C151" i="72"/>
  <c r="C152" i="72"/>
  <c r="C153" i="72"/>
  <c r="C154" i="72"/>
  <c r="C155" i="72"/>
  <c r="C156" i="72"/>
  <c r="C157" i="72"/>
  <c r="C158" i="72"/>
  <c r="C159" i="72"/>
  <c r="C160" i="72"/>
  <c r="C161" i="72"/>
  <c r="C162" i="72"/>
  <c r="C163" i="72"/>
  <c r="C164" i="72"/>
  <c r="C165" i="72"/>
  <c r="C166" i="72"/>
  <c r="C167" i="72"/>
  <c r="C168" i="72"/>
  <c r="C169" i="72"/>
  <c r="C170" i="72"/>
  <c r="C171" i="72"/>
  <c r="C172" i="72"/>
  <c r="C173" i="72"/>
  <c r="C174" i="72"/>
  <c r="C175" i="72"/>
  <c r="C176" i="72"/>
  <c r="C177" i="72"/>
  <c r="C178" i="72"/>
  <c r="C179" i="72"/>
  <c r="C180" i="72"/>
  <c r="C181" i="72"/>
  <c r="C182" i="72"/>
  <c r="C183" i="72"/>
  <c r="C184" i="72"/>
  <c r="C185" i="72"/>
  <c r="C186" i="72"/>
  <c r="C187" i="72"/>
  <c r="C188" i="72"/>
  <c r="C189" i="72"/>
  <c r="C190" i="72"/>
  <c r="C191" i="72"/>
  <c r="C192" i="72"/>
  <c r="C193" i="72"/>
  <c r="C194" i="72"/>
  <c r="C195" i="72"/>
  <c r="C196" i="72"/>
  <c r="C197" i="72"/>
  <c r="C198" i="72"/>
  <c r="C199" i="72"/>
  <c r="C200" i="72"/>
  <c r="C201" i="72"/>
  <c r="C202" i="72"/>
  <c r="C203" i="72"/>
  <c r="C204" i="72"/>
  <c r="C205" i="72"/>
  <c r="C206" i="72"/>
  <c r="C207" i="72"/>
  <c r="C208" i="72"/>
  <c r="C209" i="72"/>
  <c r="C210" i="72"/>
  <c r="C211" i="72"/>
  <c r="C212" i="72"/>
  <c r="C213" i="72"/>
  <c r="C214" i="72"/>
  <c r="C215" i="72"/>
  <c r="C216" i="72"/>
  <c r="C217" i="72"/>
  <c r="C218" i="72"/>
  <c r="C219" i="72"/>
  <c r="C220" i="72"/>
  <c r="C221" i="72"/>
  <c r="C222" i="72"/>
  <c r="C223" i="72"/>
  <c r="C224" i="72"/>
  <c r="C225" i="72"/>
  <c r="C226" i="72"/>
  <c r="C227" i="72"/>
  <c r="C228" i="72"/>
  <c r="C229" i="72"/>
  <c r="C230" i="72"/>
  <c r="C231" i="72"/>
  <c r="C232" i="72"/>
  <c r="C233" i="72"/>
  <c r="C234" i="72"/>
  <c r="C235" i="72"/>
  <c r="C236" i="72"/>
  <c r="C237" i="72"/>
  <c r="C238" i="72"/>
  <c r="C239" i="72"/>
  <c r="C240" i="72"/>
  <c r="C241" i="72"/>
  <c r="C242" i="72"/>
  <c r="C243" i="72"/>
  <c r="C244" i="72"/>
  <c r="C245" i="72"/>
  <c r="C246" i="72"/>
  <c r="C247" i="72"/>
  <c r="C248" i="72"/>
  <c r="C249" i="72"/>
  <c r="C250" i="72"/>
  <c r="C251" i="72"/>
  <c r="C252" i="72"/>
  <c r="C253" i="72"/>
  <c r="C254" i="72"/>
  <c r="C255" i="72"/>
  <c r="C256" i="72"/>
  <c r="C257" i="72"/>
  <c r="C258" i="72"/>
  <c r="C259" i="72"/>
  <c r="C260" i="72"/>
  <c r="C261" i="72"/>
  <c r="C262" i="72"/>
  <c r="C263" i="72"/>
  <c r="C264" i="72"/>
  <c r="C265" i="72"/>
  <c r="C266" i="72"/>
  <c r="C267" i="72"/>
  <c r="C268" i="72"/>
  <c r="C269" i="72"/>
  <c r="C270" i="72"/>
  <c r="C271" i="72"/>
  <c r="C272" i="72"/>
  <c r="C273" i="72"/>
  <c r="C274" i="72"/>
  <c r="C275" i="72"/>
  <c r="C276" i="72"/>
  <c r="C277" i="72"/>
  <c r="C278" i="72"/>
  <c r="C279" i="72"/>
  <c r="C280" i="72"/>
  <c r="C281" i="72"/>
  <c r="C282" i="72"/>
  <c r="C283" i="72"/>
  <c r="C284" i="72"/>
  <c r="C285" i="72"/>
  <c r="C286" i="72"/>
  <c r="C287" i="72"/>
  <c r="C288" i="72"/>
  <c r="C289" i="72"/>
  <c r="C290" i="72"/>
  <c r="C291" i="72"/>
  <c r="C292" i="72"/>
  <c r="C293" i="72"/>
  <c r="C294" i="72"/>
  <c r="C295" i="72"/>
  <c r="C296" i="72"/>
  <c r="C297" i="72"/>
  <c r="C298" i="72"/>
  <c r="C299" i="72"/>
  <c r="C300" i="72"/>
  <c r="C301" i="72"/>
  <c r="C302" i="72"/>
  <c r="C303" i="72"/>
  <c r="C304" i="72"/>
  <c r="C305" i="72"/>
  <c r="C306" i="72"/>
  <c r="C307" i="72"/>
  <c r="C309" i="72"/>
  <c r="C310" i="72"/>
  <c r="C311" i="72"/>
  <c r="C312" i="72"/>
  <c r="C313" i="72"/>
  <c r="C314" i="72"/>
  <c r="C315" i="72"/>
  <c r="C316" i="72"/>
  <c r="C317" i="72"/>
  <c r="C318" i="72"/>
  <c r="C319" i="72"/>
  <c r="C320" i="72"/>
  <c r="C321" i="72"/>
  <c r="C322" i="72"/>
  <c r="C323" i="72"/>
  <c r="C324" i="72"/>
  <c r="C325" i="72"/>
  <c r="C326" i="72"/>
  <c r="C327" i="72"/>
  <c r="C328" i="72"/>
  <c r="C329" i="72"/>
  <c r="C330" i="72"/>
  <c r="C331" i="72"/>
  <c r="C332" i="72"/>
  <c r="C333" i="72"/>
  <c r="C334" i="72"/>
  <c r="C335" i="72"/>
  <c r="C336" i="72"/>
  <c r="C337" i="72"/>
  <c r="C338" i="72"/>
  <c r="C339" i="72"/>
  <c r="C340" i="72"/>
  <c r="C341" i="72"/>
  <c r="C342" i="72"/>
  <c r="C343" i="72"/>
  <c r="C344" i="72"/>
  <c r="C345" i="72"/>
  <c r="C346" i="72"/>
  <c r="C347" i="72"/>
  <c r="C348" i="72"/>
  <c r="C349" i="72"/>
  <c r="C350" i="72"/>
  <c r="C351" i="72"/>
  <c r="C352" i="72"/>
  <c r="C353" i="72"/>
  <c r="C354" i="72"/>
  <c r="C355" i="72"/>
  <c r="C356" i="72"/>
  <c r="C357" i="72"/>
  <c r="C358" i="72"/>
  <c r="C359" i="72"/>
  <c r="C360" i="72"/>
  <c r="C361" i="72"/>
  <c r="C362" i="72"/>
  <c r="C363" i="72"/>
  <c r="C364" i="72"/>
  <c r="C365" i="72"/>
  <c r="C366" i="72"/>
  <c r="C367" i="72"/>
  <c r="C368" i="72"/>
  <c r="C369" i="72"/>
  <c r="C370" i="72"/>
  <c r="C371" i="72"/>
  <c r="C372" i="72"/>
  <c r="C373" i="72"/>
  <c r="C374" i="72"/>
  <c r="C375" i="72"/>
  <c r="C376" i="72"/>
  <c r="C377" i="72"/>
  <c r="C378" i="72"/>
  <c r="C379" i="72"/>
  <c r="C380" i="72"/>
  <c r="C381" i="72"/>
  <c r="C382" i="72"/>
  <c r="C383" i="72"/>
  <c r="C384" i="72"/>
  <c r="C385" i="72"/>
  <c r="C386" i="72"/>
  <c r="C387" i="72"/>
  <c r="C388" i="72"/>
  <c r="C389" i="72"/>
  <c r="C390" i="72"/>
  <c r="C391" i="72"/>
  <c r="C392" i="72"/>
  <c r="C393" i="72"/>
  <c r="C394" i="72"/>
  <c r="C395" i="72"/>
  <c r="C396" i="72"/>
  <c r="C397" i="72"/>
  <c r="C398" i="72"/>
  <c r="C399" i="72"/>
  <c r="C400" i="72"/>
  <c r="C401" i="72"/>
  <c r="C402" i="72"/>
  <c r="C403" i="72"/>
  <c r="C404" i="72"/>
  <c r="C405" i="72"/>
  <c r="C406" i="72"/>
  <c r="C407" i="72"/>
  <c r="C408" i="72"/>
  <c r="C409" i="72"/>
  <c r="C410" i="72"/>
  <c r="C411" i="72"/>
  <c r="C412" i="72"/>
  <c r="C413" i="72"/>
  <c r="C414" i="72"/>
  <c r="C415" i="72"/>
  <c r="C416" i="72"/>
  <c r="C417" i="72"/>
  <c r="C418" i="72"/>
  <c r="C419" i="72"/>
  <c r="C420" i="72"/>
  <c r="C421" i="72"/>
  <c r="C422" i="72"/>
  <c r="C423" i="72"/>
  <c r="C424" i="72"/>
  <c r="C425" i="72"/>
  <c r="C426" i="72"/>
  <c r="C427" i="72"/>
  <c r="C428" i="72"/>
  <c r="C429" i="72"/>
  <c r="C430" i="72"/>
  <c r="C431" i="72"/>
  <c r="C432" i="72"/>
  <c r="C433" i="72"/>
  <c r="C2" i="72"/>
  <c r="B255" i="72"/>
  <c r="B256" i="72"/>
  <c r="B257" i="72"/>
  <c r="B258" i="72"/>
  <c r="B259" i="72"/>
  <c r="B260" i="72"/>
  <c r="B261" i="72"/>
  <c r="B262" i="72"/>
  <c r="B263" i="72"/>
  <c r="B264" i="72"/>
  <c r="B265" i="72"/>
  <c r="B266" i="72"/>
  <c r="B267" i="72"/>
  <c r="B268" i="72"/>
  <c r="B269" i="72"/>
  <c r="B270" i="72"/>
  <c r="B271" i="72"/>
  <c r="B272" i="72"/>
  <c r="B273" i="72"/>
  <c r="B274" i="72"/>
  <c r="B275" i="72"/>
  <c r="B276" i="72"/>
  <c r="B277" i="72"/>
  <c r="B278" i="72"/>
  <c r="B279" i="72"/>
  <c r="B280" i="72"/>
  <c r="B281" i="72"/>
  <c r="B282" i="72"/>
  <c r="B283" i="72"/>
  <c r="B284" i="72"/>
  <c r="B285" i="72"/>
  <c r="B286" i="72"/>
  <c r="B287" i="72"/>
  <c r="B288" i="72"/>
  <c r="B289" i="72"/>
  <c r="B290" i="72"/>
  <c r="B291" i="72"/>
  <c r="B292" i="72"/>
  <c r="B293" i="72"/>
  <c r="B294" i="72"/>
  <c r="B295" i="72"/>
  <c r="B296" i="72"/>
  <c r="B297" i="72"/>
  <c r="B298" i="72"/>
  <c r="B299" i="72"/>
  <c r="B300" i="72"/>
  <c r="B301" i="72"/>
  <c r="B302" i="72"/>
  <c r="B303" i="72"/>
  <c r="B304" i="72"/>
  <c r="B305" i="72"/>
  <c r="B306" i="72"/>
  <c r="B307" i="72"/>
  <c r="B309" i="72"/>
  <c r="B310" i="72"/>
  <c r="B311" i="72"/>
  <c r="B312" i="72"/>
  <c r="B313" i="72"/>
  <c r="B314" i="72"/>
  <c r="B315" i="72"/>
  <c r="B316" i="72"/>
  <c r="B317" i="72"/>
  <c r="B318" i="72"/>
  <c r="B319" i="72"/>
  <c r="B320" i="72"/>
  <c r="B321" i="72"/>
  <c r="B322" i="72"/>
  <c r="B323" i="72"/>
  <c r="B324" i="72"/>
  <c r="B325" i="72"/>
  <c r="B326" i="72"/>
  <c r="B327" i="72"/>
  <c r="B328" i="72"/>
  <c r="B329" i="72"/>
  <c r="B330" i="72"/>
  <c r="B331" i="72"/>
  <c r="B332" i="72"/>
  <c r="B333" i="72"/>
  <c r="B334" i="72"/>
  <c r="B335" i="72"/>
  <c r="B336" i="72"/>
  <c r="B337" i="72"/>
  <c r="B338" i="72"/>
  <c r="B339" i="72"/>
  <c r="B340" i="72"/>
  <c r="B341" i="72"/>
  <c r="B342" i="72"/>
  <c r="B343" i="72"/>
  <c r="B344" i="72"/>
  <c r="B345" i="72"/>
  <c r="B346" i="72"/>
  <c r="B347" i="72"/>
  <c r="B348" i="72"/>
  <c r="B349" i="72"/>
  <c r="B350" i="72"/>
  <c r="B351" i="72"/>
  <c r="B352" i="72"/>
  <c r="B353" i="72"/>
  <c r="B354" i="72"/>
  <c r="B355" i="72"/>
  <c r="B356" i="72"/>
  <c r="B357" i="72"/>
  <c r="B358" i="72"/>
  <c r="B359" i="72"/>
  <c r="B360" i="72"/>
  <c r="B361" i="72"/>
  <c r="B362" i="72"/>
  <c r="B363" i="72"/>
  <c r="B364" i="72"/>
  <c r="B365" i="72"/>
  <c r="B366" i="72"/>
  <c r="B367" i="72"/>
  <c r="B368" i="72"/>
  <c r="B369" i="72"/>
  <c r="B370" i="72"/>
  <c r="B371" i="72"/>
  <c r="B372" i="72"/>
  <c r="B373" i="72"/>
  <c r="B374" i="72"/>
  <c r="B375" i="72"/>
  <c r="B376" i="72"/>
  <c r="B377" i="72"/>
  <c r="B378" i="72"/>
  <c r="B379" i="72"/>
  <c r="B380" i="72"/>
  <c r="B381" i="72"/>
  <c r="B382" i="72"/>
  <c r="B383" i="72"/>
  <c r="B384" i="72"/>
  <c r="B385" i="72"/>
  <c r="B386" i="72"/>
  <c r="B387" i="72"/>
  <c r="B388" i="72"/>
  <c r="B389" i="72"/>
  <c r="B390" i="72"/>
  <c r="B391" i="72"/>
  <c r="B392" i="72"/>
  <c r="B393" i="72"/>
  <c r="B394" i="72"/>
  <c r="B395" i="72"/>
  <c r="B396" i="72"/>
  <c r="B397" i="72"/>
  <c r="B398" i="72"/>
  <c r="B399" i="72"/>
  <c r="B400" i="72"/>
  <c r="B401" i="72"/>
  <c r="B402" i="72"/>
  <c r="B403" i="72"/>
  <c r="B404" i="72"/>
  <c r="B405" i="72"/>
  <c r="B406" i="72"/>
  <c r="B407" i="72"/>
  <c r="B408" i="72"/>
  <c r="B409" i="72"/>
  <c r="B410" i="72"/>
  <c r="B411" i="72"/>
  <c r="B412" i="72"/>
  <c r="B413" i="72"/>
  <c r="B414" i="72"/>
  <c r="B415" i="72"/>
  <c r="B416" i="72"/>
  <c r="B417" i="72"/>
  <c r="B418" i="72"/>
  <c r="B419" i="72"/>
  <c r="B420" i="72"/>
  <c r="B421" i="72"/>
  <c r="B422" i="72"/>
  <c r="B423" i="72"/>
  <c r="B424" i="72"/>
  <c r="B425" i="72"/>
  <c r="B426" i="72"/>
  <c r="B427" i="72"/>
  <c r="B428" i="72"/>
  <c r="B429" i="72"/>
  <c r="B430" i="72"/>
  <c r="B431" i="72"/>
  <c r="B432" i="72"/>
  <c r="B433" i="72"/>
  <c r="B444" i="72"/>
  <c r="B445" i="72"/>
  <c r="B446" i="72"/>
  <c r="B447" i="72"/>
  <c r="B448" i="72"/>
  <c r="B449" i="72"/>
  <c r="B450" i="72"/>
  <c r="B451" i="72"/>
  <c r="B452" i="72"/>
  <c r="B453" i="72"/>
  <c r="B454" i="72"/>
  <c r="B455" i="72"/>
  <c r="B456" i="72"/>
  <c r="B457" i="72"/>
  <c r="B458" i="72"/>
  <c r="B459" i="72"/>
  <c r="B460" i="72"/>
  <c r="B3" i="72"/>
  <c r="B4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30" i="72"/>
  <c r="B31" i="72"/>
  <c r="B32" i="72"/>
  <c r="B33" i="72"/>
  <c r="B34" i="72"/>
  <c r="B35" i="72"/>
  <c r="B36" i="72"/>
  <c r="B37" i="72"/>
  <c r="B38" i="72"/>
  <c r="B39" i="72"/>
  <c r="B40" i="72"/>
  <c r="B41" i="72"/>
  <c r="B42" i="72"/>
  <c r="B43" i="72"/>
  <c r="B44" i="72"/>
  <c r="B45" i="72"/>
  <c r="B46" i="72"/>
  <c r="B47" i="72"/>
  <c r="B48" i="72"/>
  <c r="B49" i="72"/>
  <c r="B50" i="72"/>
  <c r="B51" i="72"/>
  <c r="B52" i="72"/>
  <c r="B53" i="72"/>
  <c r="B54" i="72"/>
  <c r="B55" i="72"/>
  <c r="B56" i="72"/>
  <c r="B57" i="72"/>
  <c r="B58" i="72"/>
  <c r="B59" i="72"/>
  <c r="B60" i="72"/>
  <c r="B61" i="72"/>
  <c r="B62" i="72"/>
  <c r="B63" i="72"/>
  <c r="B64" i="72"/>
  <c r="B65" i="72"/>
  <c r="B66" i="72"/>
  <c r="B67" i="72"/>
  <c r="B68" i="72"/>
  <c r="B69" i="72"/>
  <c r="B70" i="72"/>
  <c r="B71" i="72"/>
  <c r="B72" i="72"/>
  <c r="B73" i="72"/>
  <c r="B74" i="72"/>
  <c r="B75" i="72"/>
  <c r="B76" i="72"/>
  <c r="B77" i="72"/>
  <c r="B78" i="72"/>
  <c r="B79" i="72"/>
  <c r="B80" i="72"/>
  <c r="B81" i="72"/>
  <c r="B82" i="72"/>
  <c r="B83" i="72"/>
  <c r="B84" i="72"/>
  <c r="B85" i="72"/>
  <c r="B86" i="72"/>
  <c r="B87" i="72"/>
  <c r="B88" i="72"/>
  <c r="B89" i="72"/>
  <c r="B90" i="72"/>
  <c r="B91" i="72"/>
  <c r="B92" i="72"/>
  <c r="B93" i="72"/>
  <c r="B94" i="72"/>
  <c r="B95" i="72"/>
  <c r="B96" i="72"/>
  <c r="B97" i="72"/>
  <c r="B98" i="72"/>
  <c r="B99" i="72"/>
  <c r="B100" i="72"/>
  <c r="B101" i="72"/>
  <c r="B102" i="72"/>
  <c r="B103" i="72"/>
  <c r="B104" i="72"/>
  <c r="B105" i="72"/>
  <c r="B106" i="72"/>
  <c r="B107" i="72"/>
  <c r="B108" i="72"/>
  <c r="B109" i="72"/>
  <c r="B110" i="72"/>
  <c r="B111" i="72"/>
  <c r="B112" i="72"/>
  <c r="B113" i="72"/>
  <c r="B114" i="72"/>
  <c r="B115" i="72"/>
  <c r="B116" i="72"/>
  <c r="B117" i="72"/>
  <c r="B118" i="72"/>
  <c r="B119" i="72"/>
  <c r="B120" i="72"/>
  <c r="B121" i="72"/>
  <c r="B122" i="72"/>
  <c r="B123" i="72"/>
  <c r="B124" i="72"/>
  <c r="B125" i="72"/>
  <c r="B126" i="72"/>
  <c r="B127" i="72"/>
  <c r="B128" i="72"/>
  <c r="B129" i="72"/>
  <c r="B130" i="72"/>
  <c r="B131" i="72"/>
  <c r="B132" i="72"/>
  <c r="B133" i="72"/>
  <c r="B134" i="72"/>
  <c r="B135" i="72"/>
  <c r="B136" i="72"/>
  <c r="B137" i="72"/>
  <c r="B138" i="72"/>
  <c r="B139" i="72"/>
  <c r="B140" i="72"/>
  <c r="B141" i="72"/>
  <c r="B142" i="72"/>
  <c r="B143" i="72"/>
  <c r="B144" i="72"/>
  <c r="B145" i="72"/>
  <c r="B146" i="72"/>
  <c r="B147" i="72"/>
  <c r="B148" i="72"/>
  <c r="B149" i="72"/>
  <c r="B150" i="72"/>
  <c r="B151" i="72"/>
  <c r="B152" i="72"/>
  <c r="B153" i="72"/>
  <c r="B154" i="72"/>
  <c r="B155" i="72"/>
  <c r="B156" i="72"/>
  <c r="B157" i="72"/>
  <c r="B158" i="72"/>
  <c r="B159" i="72"/>
  <c r="B160" i="72"/>
  <c r="B161" i="72"/>
  <c r="B162" i="72"/>
  <c r="B163" i="72"/>
  <c r="B164" i="72"/>
  <c r="B165" i="72"/>
  <c r="B166" i="72"/>
  <c r="B167" i="72"/>
  <c r="B168" i="72"/>
  <c r="B169" i="72"/>
  <c r="B170" i="72"/>
  <c r="B171" i="72"/>
  <c r="B172" i="72"/>
  <c r="B173" i="72"/>
  <c r="B174" i="72"/>
  <c r="B175" i="72"/>
  <c r="B176" i="72"/>
  <c r="B177" i="72"/>
  <c r="B178" i="72"/>
  <c r="B179" i="72"/>
  <c r="B180" i="72"/>
  <c r="B181" i="72"/>
  <c r="B182" i="72"/>
  <c r="B183" i="72"/>
  <c r="B184" i="72"/>
  <c r="B185" i="72"/>
  <c r="B186" i="72"/>
  <c r="B187" i="72"/>
  <c r="B188" i="72"/>
  <c r="B189" i="72"/>
  <c r="B190" i="72"/>
  <c r="B191" i="72"/>
  <c r="B192" i="72"/>
  <c r="B193" i="72"/>
  <c r="B194" i="72"/>
  <c r="B195" i="72"/>
  <c r="B196" i="72"/>
  <c r="B197" i="72"/>
  <c r="B198" i="72"/>
  <c r="B199" i="72"/>
  <c r="B200" i="72"/>
  <c r="B201" i="72"/>
  <c r="B202" i="72"/>
  <c r="B203" i="72"/>
  <c r="B204" i="72"/>
  <c r="B205" i="72"/>
  <c r="B206" i="72"/>
  <c r="B207" i="72"/>
  <c r="B208" i="72"/>
  <c r="B209" i="72"/>
  <c r="B210" i="72"/>
  <c r="B211" i="72"/>
  <c r="B212" i="72"/>
  <c r="B213" i="72"/>
  <c r="B214" i="72"/>
  <c r="B215" i="72"/>
  <c r="B216" i="72"/>
  <c r="B217" i="72"/>
  <c r="B218" i="72"/>
  <c r="B219" i="72"/>
  <c r="B220" i="72"/>
  <c r="B221" i="72"/>
  <c r="B222" i="72"/>
  <c r="B223" i="72"/>
  <c r="B224" i="72"/>
  <c r="B225" i="72"/>
  <c r="B226" i="72"/>
  <c r="B227" i="72"/>
  <c r="B228" i="72"/>
  <c r="B229" i="72"/>
  <c r="B230" i="72"/>
  <c r="B231" i="72"/>
  <c r="B232" i="72"/>
  <c r="B233" i="72"/>
  <c r="B234" i="72"/>
  <c r="B235" i="72"/>
  <c r="B236" i="72"/>
  <c r="B237" i="72"/>
  <c r="B238" i="72"/>
  <c r="B239" i="72"/>
  <c r="B240" i="72"/>
  <c r="B241" i="72"/>
  <c r="B242" i="72"/>
  <c r="B243" i="72"/>
  <c r="B244" i="72"/>
  <c r="B245" i="72"/>
  <c r="B246" i="72"/>
  <c r="B247" i="72"/>
  <c r="B248" i="72"/>
  <c r="B249" i="72"/>
  <c r="B250" i="72"/>
  <c r="B251" i="72"/>
  <c r="B252" i="72"/>
  <c r="B253" i="72"/>
  <c r="B254" i="72"/>
  <c r="AA465" i="71"/>
  <c r="Z465" i="71"/>
  <c r="Q465" i="71"/>
  <c r="P465" i="71"/>
  <c r="O465" i="71"/>
  <c r="N465" i="71"/>
  <c r="M465" i="71"/>
  <c r="AA464" i="71"/>
  <c r="Z464" i="71"/>
  <c r="Q464" i="71"/>
  <c r="P464" i="71"/>
  <c r="O464" i="71"/>
  <c r="N464" i="71"/>
  <c r="M464" i="71"/>
  <c r="AA463" i="71"/>
  <c r="Z463" i="71"/>
  <c r="Q463" i="71"/>
  <c r="P463" i="71"/>
  <c r="O463" i="71"/>
  <c r="N463" i="71"/>
  <c r="M463" i="71"/>
  <c r="AA462" i="71"/>
  <c r="Z462" i="71"/>
  <c r="Q462" i="71"/>
  <c r="P462" i="71"/>
  <c r="O462" i="71"/>
  <c r="N462" i="71"/>
  <c r="M462" i="71"/>
  <c r="AA461" i="71"/>
  <c r="Z461" i="71"/>
  <c r="Q461" i="71"/>
  <c r="P461" i="71"/>
  <c r="O461" i="71"/>
  <c r="N461" i="71"/>
  <c r="M461" i="71"/>
  <c r="AA460" i="71"/>
  <c r="Z460" i="71"/>
  <c r="Q460" i="71"/>
  <c r="P460" i="71"/>
  <c r="O460" i="71"/>
  <c r="N460" i="71"/>
  <c r="M460" i="71"/>
  <c r="AA459" i="71"/>
  <c r="Z459" i="71"/>
  <c r="Q459" i="71"/>
  <c r="P459" i="71"/>
  <c r="O459" i="71"/>
  <c r="N459" i="71"/>
  <c r="M459" i="71"/>
  <c r="AA458" i="71"/>
  <c r="Z458" i="71"/>
  <c r="Q458" i="71"/>
  <c r="P458" i="71"/>
  <c r="O458" i="71"/>
  <c r="N458" i="71"/>
  <c r="M458" i="71"/>
  <c r="AA457" i="71"/>
  <c r="Z457" i="71"/>
  <c r="Q457" i="71"/>
  <c r="P457" i="71"/>
  <c r="O457" i="71"/>
  <c r="N457" i="71"/>
  <c r="M457" i="71"/>
  <c r="AA456" i="71"/>
  <c r="Z456" i="71"/>
  <c r="Q456" i="71"/>
  <c r="P456" i="71"/>
  <c r="O456" i="71"/>
  <c r="N456" i="71"/>
  <c r="M456" i="71"/>
  <c r="AA455" i="71"/>
  <c r="Z455" i="71"/>
  <c r="Q455" i="71"/>
  <c r="P455" i="71"/>
  <c r="O455" i="71"/>
  <c r="N455" i="71"/>
  <c r="M455" i="71"/>
  <c r="AA454" i="71"/>
  <c r="Z454" i="71"/>
  <c r="Q454" i="71"/>
  <c r="P454" i="71"/>
  <c r="O454" i="71"/>
  <c r="N454" i="71"/>
  <c r="M454" i="71"/>
  <c r="AA453" i="71"/>
  <c r="Z453" i="71"/>
  <c r="Q453" i="71"/>
  <c r="P453" i="71"/>
  <c r="O453" i="71"/>
  <c r="N453" i="71"/>
  <c r="M453" i="71"/>
  <c r="AA452" i="71"/>
  <c r="Z452" i="71"/>
  <c r="Q452" i="71"/>
  <c r="P452" i="71"/>
  <c r="O452" i="71"/>
  <c r="N452" i="71"/>
  <c r="M452" i="71"/>
  <c r="AA451" i="71"/>
  <c r="Z451" i="71"/>
  <c r="Q451" i="71"/>
  <c r="P451" i="71"/>
  <c r="O451" i="71"/>
  <c r="N451" i="71"/>
  <c r="M451" i="71"/>
  <c r="AA450" i="71"/>
  <c r="Z450" i="71"/>
  <c r="Q450" i="71"/>
  <c r="P450" i="71"/>
  <c r="O450" i="71"/>
  <c r="N450" i="71"/>
  <c r="M450" i="71"/>
  <c r="AA449" i="71"/>
  <c r="Z449" i="71"/>
  <c r="Q449" i="71"/>
  <c r="P449" i="71"/>
  <c r="O449" i="71"/>
  <c r="N449" i="71"/>
  <c r="M449" i="71"/>
  <c r="M448" i="71"/>
  <c r="M447" i="71"/>
  <c r="M446" i="71"/>
  <c r="M445" i="71"/>
  <c r="M444" i="71"/>
  <c r="M443" i="71"/>
  <c r="M442" i="71"/>
  <c r="M441" i="71"/>
  <c r="M440" i="71"/>
  <c r="M439" i="71"/>
  <c r="AA438" i="71"/>
  <c r="Z438" i="71"/>
  <c r="Q438" i="71"/>
  <c r="P438" i="71"/>
  <c r="O438" i="71"/>
  <c r="N438" i="71"/>
  <c r="M438" i="71"/>
  <c r="AA437" i="71"/>
  <c r="Z437" i="71"/>
  <c r="Q437" i="71"/>
  <c r="P437" i="71"/>
  <c r="O437" i="71"/>
  <c r="N437" i="71"/>
  <c r="M437" i="71"/>
  <c r="AA436" i="71"/>
  <c r="Z436" i="71"/>
  <c r="Q436" i="71"/>
  <c r="P436" i="71"/>
  <c r="O436" i="71"/>
  <c r="N436" i="71"/>
  <c r="M436" i="71"/>
  <c r="AA435" i="71"/>
  <c r="Z435" i="71"/>
  <c r="Q435" i="71"/>
  <c r="P435" i="71"/>
  <c r="O435" i="71"/>
  <c r="N435" i="71"/>
  <c r="M435" i="71"/>
  <c r="AA434" i="71"/>
  <c r="Z434" i="71"/>
  <c r="Q434" i="71"/>
  <c r="P434" i="71"/>
  <c r="O434" i="71"/>
  <c r="N434" i="71"/>
  <c r="M434" i="71"/>
  <c r="AA433" i="71"/>
  <c r="Z433" i="71"/>
  <c r="Q433" i="71"/>
  <c r="P433" i="71"/>
  <c r="O433" i="71"/>
  <c r="N433" i="71"/>
  <c r="M433" i="71"/>
  <c r="AA432" i="71"/>
  <c r="Z432" i="71"/>
  <c r="Q432" i="71"/>
  <c r="P432" i="71"/>
  <c r="O432" i="71"/>
  <c r="N432" i="71"/>
  <c r="M432" i="71"/>
  <c r="AA431" i="71"/>
  <c r="Z431" i="71"/>
  <c r="Q431" i="71"/>
  <c r="P431" i="71"/>
  <c r="O431" i="71"/>
  <c r="N431" i="71"/>
  <c r="M431" i="71"/>
  <c r="AA430" i="71"/>
  <c r="Z430" i="71"/>
  <c r="Q430" i="71"/>
  <c r="P430" i="71"/>
  <c r="O430" i="71"/>
  <c r="N430" i="71"/>
  <c r="M430" i="71"/>
  <c r="AA429" i="71"/>
  <c r="Z429" i="71"/>
  <c r="Q429" i="71"/>
  <c r="P429" i="71"/>
  <c r="O429" i="71"/>
  <c r="N429" i="71"/>
  <c r="M429" i="71"/>
  <c r="AA428" i="71"/>
  <c r="Z428" i="71"/>
  <c r="Q428" i="71"/>
  <c r="P428" i="71"/>
  <c r="O428" i="71"/>
  <c r="N428" i="71"/>
  <c r="M428" i="71"/>
  <c r="AA427" i="71"/>
  <c r="Z427" i="71"/>
  <c r="Q427" i="71"/>
  <c r="P427" i="71"/>
  <c r="O427" i="71"/>
  <c r="N427" i="71"/>
  <c r="M427" i="71"/>
  <c r="AA426" i="71"/>
  <c r="Z426" i="71"/>
  <c r="Q426" i="71"/>
  <c r="P426" i="71"/>
  <c r="O426" i="71"/>
  <c r="N426" i="71"/>
  <c r="M426" i="71"/>
  <c r="AA425" i="71"/>
  <c r="Z425" i="71"/>
  <c r="Q425" i="71"/>
  <c r="P425" i="71"/>
  <c r="O425" i="71"/>
  <c r="N425" i="71"/>
  <c r="M425" i="71"/>
  <c r="AA424" i="71"/>
  <c r="Z424" i="71"/>
  <c r="Q424" i="71"/>
  <c r="P424" i="71"/>
  <c r="O424" i="71"/>
  <c r="N424" i="71"/>
  <c r="M424" i="71"/>
  <c r="AA423" i="71"/>
  <c r="Z423" i="71"/>
  <c r="Q423" i="71"/>
  <c r="P423" i="71"/>
  <c r="O423" i="71"/>
  <c r="N423" i="71"/>
  <c r="M423" i="71"/>
  <c r="AA422" i="71"/>
  <c r="Z422" i="71"/>
  <c r="Q422" i="71"/>
  <c r="P422" i="71"/>
  <c r="O422" i="71"/>
  <c r="N422" i="71"/>
  <c r="M422" i="71"/>
  <c r="AA421" i="71"/>
  <c r="Z421" i="71"/>
  <c r="Q421" i="71"/>
  <c r="P421" i="71"/>
  <c r="O421" i="71"/>
  <c r="N421" i="71"/>
  <c r="M421" i="71"/>
  <c r="AA420" i="71"/>
  <c r="Z420" i="71"/>
  <c r="Q420" i="71"/>
  <c r="P420" i="71"/>
  <c r="O420" i="71"/>
  <c r="N420" i="71"/>
  <c r="M420" i="71"/>
  <c r="AA419" i="71"/>
  <c r="Z419" i="71"/>
  <c r="Q419" i="71"/>
  <c r="P419" i="71"/>
  <c r="O419" i="71"/>
  <c r="N419" i="71"/>
  <c r="M419" i="71"/>
  <c r="AA418" i="71"/>
  <c r="Z418" i="71"/>
  <c r="Q418" i="71"/>
  <c r="O418" i="71"/>
  <c r="N418" i="71"/>
  <c r="K418" i="71"/>
  <c r="P418" i="71" s="1"/>
  <c r="AA417" i="71"/>
  <c r="Z417" i="71"/>
  <c r="Q417" i="71"/>
  <c r="P417" i="71"/>
  <c r="O417" i="71"/>
  <c r="N417" i="71"/>
  <c r="R417" i="71" s="1"/>
  <c r="M417" i="71"/>
  <c r="AA416" i="71"/>
  <c r="Z416" i="71"/>
  <c r="Q416" i="71"/>
  <c r="P416" i="71"/>
  <c r="O416" i="71"/>
  <c r="N416" i="71"/>
  <c r="M416" i="71"/>
  <c r="AA415" i="71"/>
  <c r="Z415" i="71"/>
  <c r="Q415" i="71"/>
  <c r="P415" i="71"/>
  <c r="O415" i="71"/>
  <c r="N415" i="71"/>
  <c r="M415" i="71"/>
  <c r="AA414" i="71"/>
  <c r="Z414" i="71"/>
  <c r="Q414" i="71"/>
  <c r="P414" i="71"/>
  <c r="O414" i="71"/>
  <c r="N414" i="71"/>
  <c r="M414" i="71"/>
  <c r="AA413" i="71"/>
  <c r="Z413" i="71"/>
  <c r="Q413" i="71"/>
  <c r="O413" i="71"/>
  <c r="N413" i="71"/>
  <c r="K413" i="71"/>
  <c r="M413" i="71" s="1"/>
  <c r="AA412" i="71"/>
  <c r="Z412" i="71"/>
  <c r="Q412" i="71"/>
  <c r="P412" i="71"/>
  <c r="O412" i="71"/>
  <c r="N412" i="71"/>
  <c r="M412" i="71"/>
  <c r="AA411" i="71"/>
  <c r="Z411" i="71"/>
  <c r="Q411" i="71"/>
  <c r="P411" i="71"/>
  <c r="O411" i="71"/>
  <c r="N411" i="71"/>
  <c r="M411" i="71"/>
  <c r="AA410" i="71"/>
  <c r="Z410" i="71"/>
  <c r="Q410" i="71"/>
  <c r="P410" i="71"/>
  <c r="O410" i="71"/>
  <c r="N410" i="71"/>
  <c r="R410" i="71" s="1"/>
  <c r="M410" i="71"/>
  <c r="AA409" i="71"/>
  <c r="Z409" i="71"/>
  <c r="Q409" i="71"/>
  <c r="P409" i="71"/>
  <c r="O409" i="71"/>
  <c r="N409" i="71"/>
  <c r="M409" i="71"/>
  <c r="AA408" i="71"/>
  <c r="Z408" i="71"/>
  <c r="Q408" i="71"/>
  <c r="P408" i="71"/>
  <c r="O408" i="71"/>
  <c r="N408" i="71"/>
  <c r="M408" i="71"/>
  <c r="AA407" i="71"/>
  <c r="Z407" i="71"/>
  <c r="Q407" i="71"/>
  <c r="P407" i="71"/>
  <c r="O407" i="71"/>
  <c r="N407" i="71"/>
  <c r="M407" i="71"/>
  <c r="AA406" i="71"/>
  <c r="Z406" i="71"/>
  <c r="Q406" i="71"/>
  <c r="P406" i="71"/>
  <c r="O406" i="71"/>
  <c r="N406" i="71"/>
  <c r="M406" i="71"/>
  <c r="AA405" i="71"/>
  <c r="Z405" i="71"/>
  <c r="Q405" i="71"/>
  <c r="P405" i="71"/>
  <c r="O405" i="71"/>
  <c r="N405" i="71"/>
  <c r="M405" i="71"/>
  <c r="AA404" i="71"/>
  <c r="Z404" i="71"/>
  <c r="Q404" i="71"/>
  <c r="P404" i="71"/>
  <c r="O404" i="71"/>
  <c r="N404" i="71"/>
  <c r="M404" i="71"/>
  <c r="AA403" i="71"/>
  <c r="Z403" i="71"/>
  <c r="V403" i="71"/>
  <c r="Q403" i="71"/>
  <c r="P403" i="71"/>
  <c r="O403" i="71"/>
  <c r="N403" i="71"/>
  <c r="M403" i="71"/>
  <c r="AA402" i="71"/>
  <c r="Z402" i="71"/>
  <c r="V402" i="71"/>
  <c r="Q402" i="71"/>
  <c r="P402" i="71"/>
  <c r="O402" i="71"/>
  <c r="N402" i="71"/>
  <c r="M402" i="71"/>
  <c r="AA401" i="71"/>
  <c r="Z401" i="71"/>
  <c r="V401" i="71"/>
  <c r="Q401" i="71"/>
  <c r="P401" i="71"/>
  <c r="O401" i="71"/>
  <c r="N401" i="71"/>
  <c r="M401" i="71"/>
  <c r="AA400" i="71"/>
  <c r="Z400" i="71"/>
  <c r="V400" i="71"/>
  <c r="Q400" i="71"/>
  <c r="P400" i="71"/>
  <c r="O400" i="71"/>
  <c r="N400" i="71"/>
  <c r="M400" i="71"/>
  <c r="AA399" i="71"/>
  <c r="Z399" i="71"/>
  <c r="Q399" i="71"/>
  <c r="P399" i="71"/>
  <c r="O399" i="71"/>
  <c r="N399" i="71"/>
  <c r="M399" i="71"/>
  <c r="AA398" i="71"/>
  <c r="Z398" i="71"/>
  <c r="Q398" i="71"/>
  <c r="P398" i="71"/>
  <c r="O398" i="71"/>
  <c r="N398" i="71"/>
  <c r="M398" i="71"/>
  <c r="AA397" i="71"/>
  <c r="Z397" i="71"/>
  <c r="Q397" i="71"/>
  <c r="P397" i="71"/>
  <c r="O397" i="71"/>
  <c r="N397" i="71"/>
  <c r="M397" i="71"/>
  <c r="AA396" i="71"/>
  <c r="Z396" i="71"/>
  <c r="Q396" i="71"/>
  <c r="P396" i="71"/>
  <c r="O396" i="71"/>
  <c r="N396" i="71"/>
  <c r="M396" i="71"/>
  <c r="AA395" i="71"/>
  <c r="Z395" i="71"/>
  <c r="Q395" i="71"/>
  <c r="P395" i="71"/>
  <c r="O395" i="71"/>
  <c r="N395" i="71"/>
  <c r="M395" i="71"/>
  <c r="AA394" i="71"/>
  <c r="Z394" i="71"/>
  <c r="Q394" i="71"/>
  <c r="P394" i="71"/>
  <c r="O394" i="71"/>
  <c r="N394" i="71"/>
  <c r="M394" i="71"/>
  <c r="AA393" i="71"/>
  <c r="Z393" i="71"/>
  <c r="Q393" i="71"/>
  <c r="P393" i="71"/>
  <c r="O393" i="71"/>
  <c r="N393" i="71"/>
  <c r="M393" i="71"/>
  <c r="AA392" i="71"/>
  <c r="Z392" i="71"/>
  <c r="U392" i="71"/>
  <c r="Q392" i="71"/>
  <c r="P392" i="71"/>
  <c r="O392" i="71"/>
  <c r="N392" i="71"/>
  <c r="M392" i="71"/>
  <c r="AA391" i="71"/>
  <c r="Z391" i="71"/>
  <c r="Q391" i="71"/>
  <c r="P391" i="71"/>
  <c r="O391" i="71"/>
  <c r="N391" i="71"/>
  <c r="M391" i="71"/>
  <c r="AA390" i="71"/>
  <c r="Z390" i="71"/>
  <c r="Q390" i="71"/>
  <c r="P390" i="71"/>
  <c r="O390" i="71"/>
  <c r="N390" i="71"/>
  <c r="M390" i="71"/>
  <c r="AA389" i="71"/>
  <c r="Z389" i="71"/>
  <c r="Q389" i="71"/>
  <c r="P389" i="71"/>
  <c r="O389" i="71"/>
  <c r="N389" i="71"/>
  <c r="M389" i="71"/>
  <c r="AA388" i="71"/>
  <c r="Z388" i="71"/>
  <c r="Q388" i="71"/>
  <c r="P388" i="71"/>
  <c r="O388" i="71"/>
  <c r="N388" i="71"/>
  <c r="M388" i="71"/>
  <c r="AA387" i="71"/>
  <c r="Z387" i="71"/>
  <c r="Q387" i="71"/>
  <c r="P387" i="71"/>
  <c r="O387" i="71"/>
  <c r="N387" i="71"/>
  <c r="M387" i="71"/>
  <c r="AA386" i="71"/>
  <c r="Z386" i="71"/>
  <c r="Q386" i="71"/>
  <c r="P386" i="71"/>
  <c r="O386" i="71"/>
  <c r="N386" i="71"/>
  <c r="M386" i="71"/>
  <c r="AA385" i="71"/>
  <c r="Z385" i="71"/>
  <c r="Q385" i="71"/>
  <c r="P385" i="71"/>
  <c r="O385" i="71"/>
  <c r="N385" i="71"/>
  <c r="M385" i="71"/>
  <c r="AA384" i="71"/>
  <c r="Z384" i="71"/>
  <c r="Q384" i="71"/>
  <c r="P384" i="71"/>
  <c r="O384" i="71"/>
  <c r="N384" i="71"/>
  <c r="M384" i="71"/>
  <c r="AA383" i="71"/>
  <c r="Z383" i="71"/>
  <c r="Q383" i="71"/>
  <c r="P383" i="71"/>
  <c r="O383" i="71"/>
  <c r="N383" i="71"/>
  <c r="M383" i="71"/>
  <c r="AA382" i="71"/>
  <c r="Z382" i="71"/>
  <c r="Q382" i="71"/>
  <c r="P382" i="71"/>
  <c r="O382" i="71"/>
  <c r="N382" i="71"/>
  <c r="M382" i="71"/>
  <c r="AA381" i="71"/>
  <c r="Z381" i="71"/>
  <c r="Q381" i="71"/>
  <c r="P381" i="71"/>
  <c r="O381" i="71"/>
  <c r="N381" i="71"/>
  <c r="M381" i="71"/>
  <c r="AA380" i="71"/>
  <c r="Z380" i="71"/>
  <c r="Q380" i="71"/>
  <c r="P380" i="71"/>
  <c r="O380" i="71"/>
  <c r="N380" i="71"/>
  <c r="M380" i="71"/>
  <c r="AA379" i="71"/>
  <c r="Z379" i="71"/>
  <c r="Q379" i="71"/>
  <c r="P379" i="71"/>
  <c r="O379" i="71"/>
  <c r="N379" i="71"/>
  <c r="M379" i="71"/>
  <c r="AA378" i="71"/>
  <c r="Z378" i="71"/>
  <c r="Q378" i="71"/>
  <c r="P378" i="71"/>
  <c r="O378" i="71"/>
  <c r="N378" i="71"/>
  <c r="M378" i="71"/>
  <c r="AA377" i="71"/>
  <c r="Z377" i="71"/>
  <c r="Q377" i="71"/>
  <c r="P377" i="71"/>
  <c r="O377" i="71"/>
  <c r="N377" i="71"/>
  <c r="M377" i="71"/>
  <c r="AA376" i="71"/>
  <c r="Z376" i="71"/>
  <c r="Q376" i="71"/>
  <c r="P376" i="71"/>
  <c r="O376" i="71"/>
  <c r="N376" i="71"/>
  <c r="M376" i="71"/>
  <c r="AA375" i="71"/>
  <c r="Z375" i="71"/>
  <c r="Q375" i="71"/>
  <c r="P375" i="71"/>
  <c r="O375" i="71"/>
  <c r="N375" i="71"/>
  <c r="M375" i="71"/>
  <c r="AA374" i="71"/>
  <c r="Z374" i="71"/>
  <c r="Q374" i="71"/>
  <c r="P374" i="71"/>
  <c r="O374" i="71"/>
  <c r="N374" i="71"/>
  <c r="M374" i="71"/>
  <c r="AA373" i="71"/>
  <c r="Z373" i="71"/>
  <c r="Q373" i="71"/>
  <c r="P373" i="71"/>
  <c r="O373" i="71"/>
  <c r="N373" i="71"/>
  <c r="M373" i="71"/>
  <c r="AA372" i="71"/>
  <c r="Z372" i="71"/>
  <c r="Q372" i="71"/>
  <c r="P372" i="71"/>
  <c r="O372" i="71"/>
  <c r="N372" i="71"/>
  <c r="M372" i="71"/>
  <c r="AA371" i="71"/>
  <c r="Z371" i="71"/>
  <c r="Q371" i="71"/>
  <c r="P371" i="71"/>
  <c r="O371" i="71"/>
  <c r="N371" i="71"/>
  <c r="M371" i="71"/>
  <c r="AA370" i="71"/>
  <c r="Z370" i="71"/>
  <c r="Q370" i="71"/>
  <c r="P370" i="71"/>
  <c r="O370" i="71"/>
  <c r="N370" i="71"/>
  <c r="M370" i="71"/>
  <c r="AA369" i="71"/>
  <c r="Z369" i="71"/>
  <c r="Q369" i="71"/>
  <c r="P369" i="71"/>
  <c r="O369" i="71"/>
  <c r="N369" i="71"/>
  <c r="M369" i="71"/>
  <c r="AA368" i="71"/>
  <c r="Z368" i="71"/>
  <c r="Q368" i="71"/>
  <c r="P368" i="71"/>
  <c r="O368" i="71"/>
  <c r="N368" i="71"/>
  <c r="M368" i="71"/>
  <c r="AA367" i="71"/>
  <c r="Z367" i="71"/>
  <c r="Q367" i="71"/>
  <c r="P367" i="71"/>
  <c r="O367" i="71"/>
  <c r="N367" i="71"/>
  <c r="M367" i="71"/>
  <c r="AA366" i="71"/>
  <c r="Z366" i="71"/>
  <c r="Q366" i="71"/>
  <c r="P366" i="71"/>
  <c r="O366" i="71"/>
  <c r="N366" i="71"/>
  <c r="M366" i="71"/>
  <c r="AA365" i="71"/>
  <c r="Z365" i="71"/>
  <c r="Q365" i="71"/>
  <c r="P365" i="71"/>
  <c r="O365" i="71"/>
  <c r="N365" i="71"/>
  <c r="M365" i="71"/>
  <c r="AA364" i="71"/>
  <c r="Z364" i="71"/>
  <c r="Q364" i="71"/>
  <c r="P364" i="71"/>
  <c r="O364" i="71"/>
  <c r="N364" i="71"/>
  <c r="M364" i="71"/>
  <c r="AA363" i="71"/>
  <c r="Z363" i="71"/>
  <c r="Q363" i="71"/>
  <c r="P363" i="71"/>
  <c r="O363" i="71"/>
  <c r="N363" i="71"/>
  <c r="M363" i="71"/>
  <c r="AA362" i="71"/>
  <c r="Z362" i="71"/>
  <c r="Q362" i="71"/>
  <c r="P362" i="71"/>
  <c r="O362" i="71"/>
  <c r="N362" i="71"/>
  <c r="M362" i="71"/>
  <c r="AA361" i="71"/>
  <c r="Z361" i="71"/>
  <c r="Q361" i="71"/>
  <c r="P361" i="71"/>
  <c r="O361" i="71"/>
  <c r="N361" i="71"/>
  <c r="M361" i="71"/>
  <c r="AA360" i="71"/>
  <c r="Z360" i="71"/>
  <c r="Q360" i="71"/>
  <c r="P360" i="71"/>
  <c r="O360" i="71"/>
  <c r="N360" i="71"/>
  <c r="M360" i="71"/>
  <c r="AA359" i="71"/>
  <c r="Z359" i="71"/>
  <c r="Q359" i="71"/>
  <c r="P359" i="71"/>
  <c r="O359" i="71"/>
  <c r="N359" i="71"/>
  <c r="M359" i="71"/>
  <c r="AA358" i="71"/>
  <c r="Z358" i="71"/>
  <c r="Q358" i="71"/>
  <c r="P358" i="71"/>
  <c r="O358" i="71"/>
  <c r="N358" i="71"/>
  <c r="M358" i="71"/>
  <c r="AA357" i="71"/>
  <c r="Z357" i="71"/>
  <c r="Q357" i="71"/>
  <c r="P357" i="71"/>
  <c r="O357" i="71"/>
  <c r="N357" i="71"/>
  <c r="M357" i="71"/>
  <c r="AA356" i="71"/>
  <c r="Z356" i="71"/>
  <c r="Q356" i="71"/>
  <c r="P356" i="71"/>
  <c r="O356" i="71"/>
  <c r="N356" i="71"/>
  <c r="M356" i="71"/>
  <c r="AA355" i="71"/>
  <c r="Z355" i="71"/>
  <c r="Q355" i="71"/>
  <c r="P355" i="71"/>
  <c r="O355" i="71"/>
  <c r="N355" i="71"/>
  <c r="M355" i="71"/>
  <c r="AA354" i="71"/>
  <c r="Z354" i="71"/>
  <c r="Q354" i="71"/>
  <c r="P354" i="71"/>
  <c r="O354" i="71"/>
  <c r="N354" i="71"/>
  <c r="M354" i="71"/>
  <c r="AA353" i="71"/>
  <c r="Z353" i="71"/>
  <c r="U353" i="71"/>
  <c r="Q353" i="71"/>
  <c r="P353" i="71"/>
  <c r="O353" i="71"/>
  <c r="N353" i="71"/>
  <c r="M353" i="71"/>
  <c r="AA352" i="71"/>
  <c r="Z352" i="71"/>
  <c r="Q352" i="71"/>
  <c r="P352" i="71"/>
  <c r="O352" i="71"/>
  <c r="N352" i="71"/>
  <c r="M352" i="71"/>
  <c r="AA351" i="71"/>
  <c r="Z351" i="71"/>
  <c r="Q351" i="71"/>
  <c r="P351" i="71"/>
  <c r="O351" i="71"/>
  <c r="N351" i="71"/>
  <c r="M351" i="71"/>
  <c r="AA350" i="71"/>
  <c r="Z350" i="71"/>
  <c r="Q350" i="71"/>
  <c r="P350" i="71"/>
  <c r="O350" i="71"/>
  <c r="N350" i="71"/>
  <c r="M350" i="71"/>
  <c r="AA349" i="71"/>
  <c r="Z349" i="71"/>
  <c r="Q349" i="71"/>
  <c r="P349" i="71"/>
  <c r="O349" i="71"/>
  <c r="N349" i="71"/>
  <c r="M349" i="71"/>
  <c r="AA348" i="71"/>
  <c r="Z348" i="71"/>
  <c r="Q348" i="71"/>
  <c r="P348" i="71"/>
  <c r="O348" i="71"/>
  <c r="N348" i="71"/>
  <c r="M348" i="71"/>
  <c r="AA347" i="71"/>
  <c r="Z347" i="71"/>
  <c r="Q347" i="71"/>
  <c r="P347" i="71"/>
  <c r="O347" i="71"/>
  <c r="N347" i="71"/>
  <c r="M347" i="71"/>
  <c r="AA346" i="71"/>
  <c r="Z346" i="71"/>
  <c r="Q346" i="71"/>
  <c r="P346" i="71"/>
  <c r="O346" i="71"/>
  <c r="N346" i="71"/>
  <c r="M346" i="71"/>
  <c r="AA345" i="71"/>
  <c r="Z345" i="71"/>
  <c r="Q345" i="71"/>
  <c r="P345" i="71"/>
  <c r="O345" i="71"/>
  <c r="N345" i="71"/>
  <c r="M345" i="71"/>
  <c r="AA344" i="71"/>
  <c r="Z344" i="71"/>
  <c r="Q344" i="71"/>
  <c r="P344" i="71"/>
  <c r="O344" i="71"/>
  <c r="N344" i="71"/>
  <c r="M344" i="71"/>
  <c r="AA343" i="71"/>
  <c r="Z343" i="71"/>
  <c r="Q343" i="71"/>
  <c r="P343" i="71"/>
  <c r="O343" i="71"/>
  <c r="N343" i="71"/>
  <c r="M343" i="71"/>
  <c r="AA342" i="71"/>
  <c r="Z342" i="71"/>
  <c r="Q342" i="71"/>
  <c r="P342" i="71"/>
  <c r="O342" i="71"/>
  <c r="N342" i="71"/>
  <c r="M342" i="71"/>
  <c r="AA341" i="71"/>
  <c r="Z341" i="71"/>
  <c r="V341" i="71"/>
  <c r="Q341" i="71"/>
  <c r="P341" i="71"/>
  <c r="O341" i="71"/>
  <c r="N341" i="71"/>
  <c r="M341" i="71"/>
  <c r="AA340" i="71"/>
  <c r="Z340" i="71"/>
  <c r="U340" i="71"/>
  <c r="Q340" i="71"/>
  <c r="P340" i="71"/>
  <c r="O340" i="71"/>
  <c r="N340" i="71"/>
  <c r="M340" i="71"/>
  <c r="AA339" i="71"/>
  <c r="Z339" i="71"/>
  <c r="Q339" i="71"/>
  <c r="P339" i="71"/>
  <c r="O339" i="71"/>
  <c r="N339" i="71"/>
  <c r="M339" i="71"/>
  <c r="AA338" i="71"/>
  <c r="Z338" i="71"/>
  <c r="Q338" i="71"/>
  <c r="P338" i="71"/>
  <c r="O338" i="71"/>
  <c r="N338" i="71"/>
  <c r="M338" i="71"/>
  <c r="AA337" i="71"/>
  <c r="Z337" i="71"/>
  <c r="Q337" i="71"/>
  <c r="P337" i="71"/>
  <c r="O337" i="71"/>
  <c r="N337" i="71"/>
  <c r="M337" i="71"/>
  <c r="AA336" i="71"/>
  <c r="Z336" i="71"/>
  <c r="Q336" i="71"/>
  <c r="P336" i="71"/>
  <c r="O336" i="71"/>
  <c r="N336" i="71"/>
  <c r="M336" i="71"/>
  <c r="AA335" i="71"/>
  <c r="Z335" i="71"/>
  <c r="Q335" i="71"/>
  <c r="P335" i="71"/>
  <c r="O335" i="71"/>
  <c r="N335" i="71"/>
  <c r="M335" i="71"/>
  <c r="AA334" i="71"/>
  <c r="Z334" i="71"/>
  <c r="Q334" i="71"/>
  <c r="P334" i="71"/>
  <c r="O334" i="71"/>
  <c r="N334" i="71"/>
  <c r="M334" i="71"/>
  <c r="AA333" i="71"/>
  <c r="Z333" i="71"/>
  <c r="Q333" i="71"/>
  <c r="P333" i="71"/>
  <c r="O333" i="71"/>
  <c r="N333" i="71"/>
  <c r="M333" i="71"/>
  <c r="AA332" i="71"/>
  <c r="Z332" i="71"/>
  <c r="Q332" i="71"/>
  <c r="P332" i="71"/>
  <c r="O332" i="71"/>
  <c r="N332" i="71"/>
  <c r="M332" i="71"/>
  <c r="AA331" i="71"/>
  <c r="Z331" i="71"/>
  <c r="Q331" i="71"/>
  <c r="P331" i="71"/>
  <c r="O331" i="71"/>
  <c r="N331" i="71"/>
  <c r="M331" i="71"/>
  <c r="AA330" i="71"/>
  <c r="Z330" i="71"/>
  <c r="Q330" i="71"/>
  <c r="P330" i="71"/>
  <c r="O330" i="71"/>
  <c r="N330" i="71"/>
  <c r="M330" i="71"/>
  <c r="AA329" i="71"/>
  <c r="Z329" i="71"/>
  <c r="Q329" i="71"/>
  <c r="P329" i="71"/>
  <c r="O329" i="71"/>
  <c r="N329" i="71"/>
  <c r="M329" i="71"/>
  <c r="AA328" i="71"/>
  <c r="Z328" i="71"/>
  <c r="Q328" i="71"/>
  <c r="P328" i="71"/>
  <c r="O328" i="71"/>
  <c r="N328" i="71"/>
  <c r="M328" i="71"/>
  <c r="AA327" i="71"/>
  <c r="Z327" i="71"/>
  <c r="Q327" i="71"/>
  <c r="P327" i="71"/>
  <c r="O327" i="71"/>
  <c r="N327" i="71"/>
  <c r="M327" i="71"/>
  <c r="AA326" i="71"/>
  <c r="Z326" i="71"/>
  <c r="Q326" i="71"/>
  <c r="P326" i="71"/>
  <c r="O326" i="71"/>
  <c r="N326" i="71"/>
  <c r="M326" i="71"/>
  <c r="AA325" i="71"/>
  <c r="Z325" i="71"/>
  <c r="Q325" i="71"/>
  <c r="P325" i="71"/>
  <c r="O325" i="71"/>
  <c r="N325" i="71"/>
  <c r="M325" i="71"/>
  <c r="AA324" i="71"/>
  <c r="Z324" i="71"/>
  <c r="Q324" i="71"/>
  <c r="P324" i="71"/>
  <c r="O324" i="71"/>
  <c r="N324" i="71"/>
  <c r="M324" i="71"/>
  <c r="AA323" i="71"/>
  <c r="Z323" i="71"/>
  <c r="Q323" i="71"/>
  <c r="P323" i="71"/>
  <c r="N323" i="71"/>
  <c r="J323" i="71"/>
  <c r="O323" i="71" s="1"/>
  <c r="AA322" i="71"/>
  <c r="Z322" i="71"/>
  <c r="Q322" i="71"/>
  <c r="P322" i="71"/>
  <c r="O322" i="71"/>
  <c r="N322" i="71"/>
  <c r="M322" i="71"/>
  <c r="AA321" i="71"/>
  <c r="Z321" i="71"/>
  <c r="Q321" i="71"/>
  <c r="P321" i="71"/>
  <c r="O321" i="71"/>
  <c r="N321" i="71"/>
  <c r="M321" i="71"/>
  <c r="AA320" i="71"/>
  <c r="Z320" i="71"/>
  <c r="Q320" i="71"/>
  <c r="P320" i="71"/>
  <c r="O320" i="71"/>
  <c r="N320" i="71"/>
  <c r="M320" i="71"/>
  <c r="AA319" i="71"/>
  <c r="Z319" i="71"/>
  <c r="Q319" i="71"/>
  <c r="P319" i="71"/>
  <c r="O319" i="71"/>
  <c r="N319" i="71"/>
  <c r="M319" i="71"/>
  <c r="AA318" i="71"/>
  <c r="Z318" i="71"/>
  <c r="Q318" i="71"/>
  <c r="P318" i="71"/>
  <c r="O318" i="71"/>
  <c r="N318" i="71"/>
  <c r="M318" i="71"/>
  <c r="AA317" i="71"/>
  <c r="Z317" i="71"/>
  <c r="Q317" i="71"/>
  <c r="P317" i="71"/>
  <c r="O317" i="71"/>
  <c r="N317" i="71"/>
  <c r="M317" i="71"/>
  <c r="AA316" i="71"/>
  <c r="Z316" i="71"/>
  <c r="Q316" i="71"/>
  <c r="P316" i="71"/>
  <c r="O316" i="71"/>
  <c r="N316" i="71"/>
  <c r="M316" i="71"/>
  <c r="AA315" i="71"/>
  <c r="Z315" i="71"/>
  <c r="Q315" i="71"/>
  <c r="P315" i="71"/>
  <c r="O315" i="71"/>
  <c r="N315" i="71"/>
  <c r="M315" i="71"/>
  <c r="AA314" i="71"/>
  <c r="Z314" i="71"/>
  <c r="Q314" i="71"/>
  <c r="P314" i="71"/>
  <c r="O314" i="71"/>
  <c r="N314" i="71"/>
  <c r="M314" i="71"/>
  <c r="AA313" i="71"/>
  <c r="Z313" i="71"/>
  <c r="Q313" i="71"/>
  <c r="P313" i="71"/>
  <c r="O313" i="71"/>
  <c r="N313" i="71"/>
  <c r="M313" i="71"/>
  <c r="AA312" i="71"/>
  <c r="Z312" i="71"/>
  <c r="Q312" i="71"/>
  <c r="P312" i="71"/>
  <c r="O312" i="71"/>
  <c r="N312" i="71"/>
  <c r="M312" i="71"/>
  <c r="AA311" i="71"/>
  <c r="Z311" i="71"/>
  <c r="Q311" i="71"/>
  <c r="P311" i="71"/>
  <c r="O311" i="71"/>
  <c r="N311" i="71"/>
  <c r="M311" i="71"/>
  <c r="AA310" i="71"/>
  <c r="Z310" i="71"/>
  <c r="Q310" i="71"/>
  <c r="P310" i="71"/>
  <c r="O310" i="71"/>
  <c r="N310" i="71"/>
  <c r="M310" i="71"/>
  <c r="AA309" i="71"/>
  <c r="Z309" i="71"/>
  <c r="Q309" i="71"/>
  <c r="P309" i="71"/>
  <c r="O309" i="71"/>
  <c r="N309" i="71"/>
  <c r="M309" i="71"/>
  <c r="AA308" i="71"/>
  <c r="Z308" i="71"/>
  <c r="Q308" i="71"/>
  <c r="P308" i="71"/>
  <c r="O308" i="71"/>
  <c r="N308" i="71"/>
  <c r="M308" i="71"/>
  <c r="AA307" i="71"/>
  <c r="Z307" i="71"/>
  <c r="Q307" i="71"/>
  <c r="P307" i="71"/>
  <c r="O307" i="71"/>
  <c r="N307" i="71"/>
  <c r="M307" i="71"/>
  <c r="AA306" i="71"/>
  <c r="Z306" i="71"/>
  <c r="Q306" i="71"/>
  <c r="P306" i="71"/>
  <c r="O306" i="71"/>
  <c r="N306" i="71"/>
  <c r="M306" i="71"/>
  <c r="AA305" i="71"/>
  <c r="Z305" i="71"/>
  <c r="Q305" i="71"/>
  <c r="P305" i="71"/>
  <c r="O305" i="71"/>
  <c r="N305" i="71"/>
  <c r="M305" i="71"/>
  <c r="AA304" i="71"/>
  <c r="Z304" i="71"/>
  <c r="Q304" i="71"/>
  <c r="P304" i="71"/>
  <c r="O304" i="71"/>
  <c r="N304" i="71"/>
  <c r="M304" i="71"/>
  <c r="AA303" i="71"/>
  <c r="Z303" i="71"/>
  <c r="Q303" i="71"/>
  <c r="P303" i="71"/>
  <c r="O303" i="71"/>
  <c r="N303" i="71"/>
  <c r="M303" i="71"/>
  <c r="AA302" i="71"/>
  <c r="Z302" i="71"/>
  <c r="Q302" i="71"/>
  <c r="P302" i="71"/>
  <c r="O302" i="71"/>
  <c r="N302" i="71"/>
  <c r="M302" i="71"/>
  <c r="AA301" i="71"/>
  <c r="Z301" i="71"/>
  <c r="Q301" i="71"/>
  <c r="P301" i="71"/>
  <c r="O301" i="71"/>
  <c r="N301" i="71"/>
  <c r="M301" i="71"/>
  <c r="AA300" i="71"/>
  <c r="Z300" i="71"/>
  <c r="Q300" i="71"/>
  <c r="P300" i="71"/>
  <c r="O300" i="71"/>
  <c r="N300" i="71"/>
  <c r="M300" i="71"/>
  <c r="AA299" i="71"/>
  <c r="Z299" i="71"/>
  <c r="Q299" i="71"/>
  <c r="P299" i="71"/>
  <c r="O299" i="71"/>
  <c r="N299" i="71"/>
  <c r="R299" i="71" s="1"/>
  <c r="M299" i="71"/>
  <c r="AA298" i="71"/>
  <c r="Z298" i="71"/>
  <c r="Q298" i="71"/>
  <c r="P298" i="71"/>
  <c r="O298" i="71"/>
  <c r="N298" i="71"/>
  <c r="M298" i="71"/>
  <c r="AA297" i="71"/>
  <c r="Z297" i="71"/>
  <c r="Q297" i="71"/>
  <c r="P297" i="71"/>
  <c r="O297" i="71"/>
  <c r="N297" i="71"/>
  <c r="M297" i="71"/>
  <c r="AA296" i="71"/>
  <c r="Z296" i="71"/>
  <c r="Q296" i="71"/>
  <c r="P296" i="71"/>
  <c r="O296" i="71"/>
  <c r="N296" i="71"/>
  <c r="M296" i="71"/>
  <c r="AA295" i="71"/>
  <c r="Z295" i="71"/>
  <c r="Q295" i="71"/>
  <c r="P295" i="71"/>
  <c r="O295" i="71"/>
  <c r="N295" i="71"/>
  <c r="M295" i="71"/>
  <c r="AA294" i="71"/>
  <c r="Z294" i="71"/>
  <c r="Q294" i="71"/>
  <c r="P294" i="71"/>
  <c r="O294" i="71"/>
  <c r="N294" i="71"/>
  <c r="M294" i="71"/>
  <c r="AA293" i="71"/>
  <c r="Z293" i="71"/>
  <c r="Q293" i="71"/>
  <c r="P293" i="71"/>
  <c r="O293" i="71"/>
  <c r="N293" i="71"/>
  <c r="M293" i="71"/>
  <c r="AA292" i="71"/>
  <c r="Z292" i="71"/>
  <c r="V292" i="71"/>
  <c r="Q292" i="71"/>
  <c r="P292" i="71"/>
  <c r="O292" i="71"/>
  <c r="N292" i="71"/>
  <c r="M292" i="71"/>
  <c r="AA291" i="71"/>
  <c r="Z291" i="71"/>
  <c r="V291" i="71"/>
  <c r="U291" i="71"/>
  <c r="Q291" i="71"/>
  <c r="P291" i="71"/>
  <c r="O291" i="71"/>
  <c r="N291" i="71"/>
  <c r="M291" i="71"/>
  <c r="AA290" i="71"/>
  <c r="Z290" i="71"/>
  <c r="Q290" i="71"/>
  <c r="P290" i="71"/>
  <c r="O290" i="71"/>
  <c r="N290" i="71"/>
  <c r="M290" i="71"/>
  <c r="AA289" i="71"/>
  <c r="Z289" i="71"/>
  <c r="Q289" i="71"/>
  <c r="P289" i="71"/>
  <c r="O289" i="71"/>
  <c r="N289" i="71"/>
  <c r="M289" i="71"/>
  <c r="AA288" i="71"/>
  <c r="Z288" i="71"/>
  <c r="Q288" i="71"/>
  <c r="P288" i="71"/>
  <c r="O288" i="71"/>
  <c r="N288" i="71"/>
  <c r="M288" i="71"/>
  <c r="AA287" i="71"/>
  <c r="Z287" i="71"/>
  <c r="Q287" i="71"/>
  <c r="P287" i="71"/>
  <c r="O287" i="71"/>
  <c r="N287" i="71"/>
  <c r="M287" i="71"/>
  <c r="AA286" i="71"/>
  <c r="Z286" i="71"/>
  <c r="Q286" i="71"/>
  <c r="P286" i="71"/>
  <c r="O286" i="71"/>
  <c r="N286" i="71"/>
  <c r="M286" i="71"/>
  <c r="AA285" i="71"/>
  <c r="Z285" i="71"/>
  <c r="Q285" i="71"/>
  <c r="P285" i="71"/>
  <c r="O285" i="71"/>
  <c r="N285" i="71"/>
  <c r="M285" i="71"/>
  <c r="AA284" i="71"/>
  <c r="Z284" i="71"/>
  <c r="Q284" i="71"/>
  <c r="P284" i="71"/>
  <c r="O284" i="71"/>
  <c r="N284" i="71"/>
  <c r="M284" i="71"/>
  <c r="AA283" i="71"/>
  <c r="Z283" i="71"/>
  <c r="Q283" i="71"/>
  <c r="P283" i="71"/>
  <c r="O283" i="71"/>
  <c r="N283" i="71"/>
  <c r="M283" i="71"/>
  <c r="AA282" i="71"/>
  <c r="Z282" i="71"/>
  <c r="Q282" i="71"/>
  <c r="P282" i="71"/>
  <c r="O282" i="71"/>
  <c r="N282" i="71"/>
  <c r="M282" i="71"/>
  <c r="AA281" i="71"/>
  <c r="Z281" i="71"/>
  <c r="Q281" i="71"/>
  <c r="P281" i="71"/>
  <c r="O281" i="71"/>
  <c r="N281" i="71"/>
  <c r="M281" i="71"/>
  <c r="AA280" i="71"/>
  <c r="Z280" i="71"/>
  <c r="Q280" i="71"/>
  <c r="P280" i="71"/>
  <c r="O280" i="71"/>
  <c r="N280" i="71"/>
  <c r="M280" i="71"/>
  <c r="AA279" i="71"/>
  <c r="Z279" i="71"/>
  <c r="Q279" i="71"/>
  <c r="P279" i="71"/>
  <c r="O279" i="71"/>
  <c r="N279" i="71"/>
  <c r="M279" i="71"/>
  <c r="AA278" i="71"/>
  <c r="Z278" i="71"/>
  <c r="Q278" i="71"/>
  <c r="P278" i="71"/>
  <c r="O278" i="71"/>
  <c r="N278" i="71"/>
  <c r="M278" i="71"/>
  <c r="AA277" i="71"/>
  <c r="Z277" i="71"/>
  <c r="Q277" i="71"/>
  <c r="P277" i="71"/>
  <c r="O277" i="71"/>
  <c r="N277" i="71"/>
  <c r="M277" i="71"/>
  <c r="AA276" i="71"/>
  <c r="Z276" i="71"/>
  <c r="Q276" i="71"/>
  <c r="P276" i="71"/>
  <c r="O276" i="71"/>
  <c r="N276" i="71"/>
  <c r="M276" i="71"/>
  <c r="AA275" i="71"/>
  <c r="Z275" i="71"/>
  <c r="Q275" i="71"/>
  <c r="P275" i="71"/>
  <c r="O275" i="71"/>
  <c r="N275" i="71"/>
  <c r="M275" i="71"/>
  <c r="AA274" i="71"/>
  <c r="Z274" i="71"/>
  <c r="Q274" i="71"/>
  <c r="P274" i="71"/>
  <c r="O274" i="71"/>
  <c r="N274" i="71"/>
  <c r="M274" i="71"/>
  <c r="AA273" i="71"/>
  <c r="Z273" i="71"/>
  <c r="V273" i="71"/>
  <c r="Q273" i="71"/>
  <c r="P273" i="71"/>
  <c r="O273" i="71"/>
  <c r="N273" i="71"/>
  <c r="M273" i="71"/>
  <c r="AA272" i="71"/>
  <c r="Z272" i="71"/>
  <c r="Q272" i="71"/>
  <c r="P272" i="71"/>
  <c r="O272" i="71"/>
  <c r="N272" i="71"/>
  <c r="M272" i="71"/>
  <c r="AA271" i="71"/>
  <c r="Z271" i="71"/>
  <c r="Q271" i="71"/>
  <c r="P271" i="71"/>
  <c r="O271" i="71"/>
  <c r="N271" i="71"/>
  <c r="M271" i="71"/>
  <c r="AA270" i="71"/>
  <c r="Z270" i="71"/>
  <c r="Q270" i="71"/>
  <c r="P270" i="71"/>
  <c r="O270" i="71"/>
  <c r="N270" i="71"/>
  <c r="M270" i="71"/>
  <c r="AA269" i="71"/>
  <c r="Z269" i="71"/>
  <c r="Q269" i="71"/>
  <c r="P269" i="71"/>
  <c r="O269" i="71"/>
  <c r="N269" i="71"/>
  <c r="M269" i="71"/>
  <c r="AA268" i="71"/>
  <c r="Z268" i="71"/>
  <c r="Q268" i="71"/>
  <c r="P268" i="71"/>
  <c r="O268" i="71"/>
  <c r="N268" i="71"/>
  <c r="M268" i="71"/>
  <c r="AA267" i="71"/>
  <c r="Z267" i="71"/>
  <c r="Q267" i="71"/>
  <c r="P267" i="71"/>
  <c r="O267" i="71"/>
  <c r="N267" i="71"/>
  <c r="M267" i="71"/>
  <c r="AA266" i="71"/>
  <c r="Z266" i="71"/>
  <c r="Q266" i="71"/>
  <c r="P266" i="71"/>
  <c r="O266" i="71"/>
  <c r="N266" i="71"/>
  <c r="M266" i="71"/>
  <c r="AA265" i="71"/>
  <c r="Z265" i="71"/>
  <c r="Q265" i="71"/>
  <c r="P265" i="71"/>
  <c r="O265" i="71"/>
  <c r="N265" i="71"/>
  <c r="M265" i="71"/>
  <c r="AA264" i="71"/>
  <c r="Z264" i="71"/>
  <c r="Q264" i="71"/>
  <c r="P264" i="71"/>
  <c r="O264" i="71"/>
  <c r="N264" i="71"/>
  <c r="M264" i="71"/>
  <c r="AA263" i="71"/>
  <c r="Z263" i="71"/>
  <c r="Q263" i="71"/>
  <c r="P263" i="71"/>
  <c r="O263" i="71"/>
  <c r="N263" i="71"/>
  <c r="M263" i="71"/>
  <c r="AA262" i="71"/>
  <c r="Z262" i="71"/>
  <c r="Q262" i="71"/>
  <c r="P262" i="71"/>
  <c r="O262" i="71"/>
  <c r="N262" i="71"/>
  <c r="M262" i="71"/>
  <c r="AA261" i="71"/>
  <c r="Z261" i="71"/>
  <c r="Q261" i="71"/>
  <c r="P261" i="71"/>
  <c r="O261" i="71"/>
  <c r="N261" i="71"/>
  <c r="M261" i="71"/>
  <c r="AA260" i="71"/>
  <c r="Z260" i="71"/>
  <c r="Q260" i="71"/>
  <c r="P260" i="71"/>
  <c r="O260" i="71"/>
  <c r="N260" i="71"/>
  <c r="M260" i="71"/>
  <c r="AA259" i="71"/>
  <c r="Z259" i="71"/>
  <c r="Q259" i="71"/>
  <c r="P259" i="71"/>
  <c r="O259" i="71"/>
  <c r="N259" i="71"/>
  <c r="M259" i="71"/>
  <c r="AA258" i="71"/>
  <c r="Z258" i="71"/>
  <c r="Q258" i="71"/>
  <c r="P258" i="71"/>
  <c r="O258" i="71"/>
  <c r="N258" i="71"/>
  <c r="M258" i="71"/>
  <c r="AA257" i="71"/>
  <c r="Z257" i="71"/>
  <c r="Q257" i="71"/>
  <c r="P257" i="71"/>
  <c r="O257" i="71"/>
  <c r="N257" i="71"/>
  <c r="M257" i="71"/>
  <c r="AA256" i="71"/>
  <c r="Z256" i="71"/>
  <c r="Q256" i="71"/>
  <c r="P256" i="71"/>
  <c r="O256" i="71"/>
  <c r="N256" i="71"/>
  <c r="M256" i="71"/>
  <c r="AA255" i="71"/>
  <c r="Z255" i="71"/>
  <c r="Q255" i="71"/>
  <c r="P255" i="71"/>
  <c r="O255" i="71"/>
  <c r="N255" i="71"/>
  <c r="M255" i="71"/>
  <c r="AA254" i="71"/>
  <c r="Z254" i="71"/>
  <c r="Q254" i="71"/>
  <c r="P254" i="71"/>
  <c r="O254" i="71"/>
  <c r="N254" i="71"/>
  <c r="M254" i="71"/>
  <c r="AA253" i="71"/>
  <c r="Z253" i="71"/>
  <c r="Q253" i="71"/>
  <c r="P253" i="71"/>
  <c r="O253" i="71"/>
  <c r="N253" i="71"/>
  <c r="M253" i="71"/>
  <c r="AA252" i="71"/>
  <c r="Z252" i="71"/>
  <c r="Q252" i="71"/>
  <c r="P252" i="71"/>
  <c r="O252" i="71"/>
  <c r="N252" i="71"/>
  <c r="M252" i="71"/>
  <c r="AA251" i="71"/>
  <c r="Z251" i="71"/>
  <c r="Q251" i="71"/>
  <c r="P251" i="71"/>
  <c r="O251" i="71"/>
  <c r="N251" i="71"/>
  <c r="M251" i="71"/>
  <c r="AA250" i="71"/>
  <c r="Z250" i="71"/>
  <c r="Q250" i="71"/>
  <c r="P250" i="71"/>
  <c r="O250" i="71"/>
  <c r="N250" i="71"/>
  <c r="M250" i="71"/>
  <c r="AA249" i="71"/>
  <c r="Z249" i="71"/>
  <c r="Q249" i="71"/>
  <c r="P249" i="71"/>
  <c r="O249" i="71"/>
  <c r="N249" i="71"/>
  <c r="M249" i="71"/>
  <c r="AA248" i="71"/>
  <c r="Z248" i="71"/>
  <c r="Q248" i="71"/>
  <c r="P248" i="71"/>
  <c r="O248" i="71"/>
  <c r="N248" i="71"/>
  <c r="M248" i="71"/>
  <c r="AA247" i="71"/>
  <c r="Z247" i="71"/>
  <c r="Q247" i="71"/>
  <c r="P247" i="71"/>
  <c r="O247" i="71"/>
  <c r="N247" i="71"/>
  <c r="M247" i="71"/>
  <c r="AA246" i="71"/>
  <c r="Z246" i="71"/>
  <c r="U246" i="71"/>
  <c r="Q246" i="71"/>
  <c r="P246" i="71"/>
  <c r="O246" i="71"/>
  <c r="N246" i="71"/>
  <c r="M246" i="71"/>
  <c r="AA245" i="71"/>
  <c r="Z245" i="71"/>
  <c r="U245" i="71"/>
  <c r="Q245" i="71"/>
  <c r="P245" i="71"/>
  <c r="O245" i="71"/>
  <c r="N245" i="71"/>
  <c r="M245" i="71"/>
  <c r="AA244" i="71"/>
  <c r="Z244" i="71"/>
  <c r="U244" i="71"/>
  <c r="Q244" i="71"/>
  <c r="P244" i="71"/>
  <c r="O244" i="71"/>
  <c r="N244" i="71"/>
  <c r="M244" i="71"/>
  <c r="AA243" i="71"/>
  <c r="Z243" i="71"/>
  <c r="U243" i="71"/>
  <c r="Q243" i="71"/>
  <c r="P243" i="71"/>
  <c r="O243" i="71"/>
  <c r="N243" i="71"/>
  <c r="M243" i="71"/>
  <c r="AA242" i="71"/>
  <c r="Z242" i="71"/>
  <c r="Q242" i="71"/>
  <c r="P242" i="71"/>
  <c r="O242" i="71"/>
  <c r="N242" i="71"/>
  <c r="M242" i="71"/>
  <c r="AA241" i="71"/>
  <c r="Z241" i="71"/>
  <c r="Q241" i="71"/>
  <c r="P241" i="71"/>
  <c r="O241" i="71"/>
  <c r="N241" i="71"/>
  <c r="M241" i="71"/>
  <c r="AA240" i="71"/>
  <c r="Z240" i="71"/>
  <c r="U240" i="71"/>
  <c r="Q240" i="71"/>
  <c r="P240" i="71"/>
  <c r="O240" i="71"/>
  <c r="N240" i="71"/>
  <c r="M240" i="71"/>
  <c r="AA239" i="71"/>
  <c r="Z239" i="71"/>
  <c r="Q239" i="71"/>
  <c r="P239" i="71"/>
  <c r="O239" i="71"/>
  <c r="N239" i="71"/>
  <c r="M239" i="71"/>
  <c r="AA238" i="71"/>
  <c r="Z238" i="71"/>
  <c r="U238" i="71"/>
  <c r="Q238" i="71"/>
  <c r="P238" i="71"/>
  <c r="O238" i="71"/>
  <c r="N238" i="71"/>
  <c r="M238" i="71"/>
  <c r="AA237" i="71"/>
  <c r="Z237" i="71"/>
  <c r="U237" i="71"/>
  <c r="Q237" i="71"/>
  <c r="P237" i="71"/>
  <c r="O237" i="71"/>
  <c r="N237" i="71"/>
  <c r="M237" i="71"/>
  <c r="AA236" i="71"/>
  <c r="Z236" i="71"/>
  <c r="U236" i="71"/>
  <c r="Q236" i="71"/>
  <c r="P236" i="71"/>
  <c r="O236" i="71"/>
  <c r="N236" i="71"/>
  <c r="M236" i="71"/>
  <c r="AA235" i="71"/>
  <c r="Z235" i="71"/>
  <c r="U235" i="71"/>
  <c r="Q235" i="71"/>
  <c r="P235" i="71"/>
  <c r="O235" i="71"/>
  <c r="N235" i="71"/>
  <c r="M235" i="71"/>
  <c r="AA234" i="71"/>
  <c r="Z234" i="71"/>
  <c r="Q234" i="71"/>
  <c r="P234" i="71"/>
  <c r="O234" i="71"/>
  <c r="N234" i="71"/>
  <c r="M234" i="71"/>
  <c r="AA233" i="71"/>
  <c r="Z233" i="71"/>
  <c r="U233" i="71"/>
  <c r="Q233" i="71"/>
  <c r="P233" i="71"/>
  <c r="O233" i="71"/>
  <c r="N233" i="71"/>
  <c r="M233" i="71"/>
  <c r="AA232" i="71"/>
  <c r="Z232" i="71"/>
  <c r="Q232" i="71"/>
  <c r="P232" i="71"/>
  <c r="O232" i="71"/>
  <c r="N232" i="71"/>
  <c r="M232" i="71"/>
  <c r="AA231" i="71"/>
  <c r="Z231" i="71"/>
  <c r="Q231" i="71"/>
  <c r="P231" i="71"/>
  <c r="O231" i="71"/>
  <c r="N231" i="71"/>
  <c r="M231" i="71"/>
  <c r="AA230" i="71"/>
  <c r="Z230" i="71"/>
  <c r="Q230" i="71"/>
  <c r="P230" i="71"/>
  <c r="O230" i="71"/>
  <c r="N230" i="71"/>
  <c r="M230" i="71"/>
  <c r="AA229" i="71"/>
  <c r="Z229" i="71"/>
  <c r="Q229" i="71"/>
  <c r="P229" i="71"/>
  <c r="O229" i="71"/>
  <c r="N229" i="71"/>
  <c r="R229" i="71" s="1"/>
  <c r="M229" i="71"/>
  <c r="AA228" i="71"/>
  <c r="Z228" i="71"/>
  <c r="Q228" i="71"/>
  <c r="P228" i="71"/>
  <c r="O228" i="71"/>
  <c r="N228" i="71"/>
  <c r="M228" i="71"/>
  <c r="AA227" i="71"/>
  <c r="Z227" i="71"/>
  <c r="Q227" i="71"/>
  <c r="P227" i="71"/>
  <c r="O227" i="71"/>
  <c r="N227" i="71"/>
  <c r="M227" i="71"/>
  <c r="AA226" i="71"/>
  <c r="Z226" i="71"/>
  <c r="Q226" i="71"/>
  <c r="P226" i="71"/>
  <c r="O226" i="71"/>
  <c r="N226" i="71"/>
  <c r="M226" i="71"/>
  <c r="AA225" i="71"/>
  <c r="Z225" i="71"/>
  <c r="Q225" i="71"/>
  <c r="P225" i="71"/>
  <c r="O225" i="71"/>
  <c r="N225" i="71"/>
  <c r="M225" i="71"/>
  <c r="AA224" i="71"/>
  <c r="Z224" i="71"/>
  <c r="Q224" i="71"/>
  <c r="P224" i="71"/>
  <c r="O224" i="71"/>
  <c r="N224" i="71"/>
  <c r="M224" i="71"/>
  <c r="AA223" i="71"/>
  <c r="Z223" i="71"/>
  <c r="Q223" i="71"/>
  <c r="P223" i="71"/>
  <c r="O223" i="71"/>
  <c r="N223" i="71"/>
  <c r="M223" i="71"/>
  <c r="AA222" i="71"/>
  <c r="Z222" i="71"/>
  <c r="Q222" i="71"/>
  <c r="P222" i="71"/>
  <c r="O222" i="71"/>
  <c r="N222" i="71"/>
  <c r="M222" i="71"/>
  <c r="AA221" i="71"/>
  <c r="Z221" i="71"/>
  <c r="Q221" i="71"/>
  <c r="P221" i="71"/>
  <c r="O221" i="71"/>
  <c r="N221" i="71"/>
  <c r="R221" i="71" s="1"/>
  <c r="M221" i="71"/>
  <c r="AA220" i="71"/>
  <c r="Z220" i="71"/>
  <c r="Q220" i="71"/>
  <c r="P220" i="71"/>
  <c r="O220" i="71"/>
  <c r="N220" i="71"/>
  <c r="M220" i="71"/>
  <c r="AA219" i="71"/>
  <c r="Z219" i="71"/>
  <c r="Q219" i="71"/>
  <c r="P219" i="71"/>
  <c r="O219" i="71"/>
  <c r="N219" i="71"/>
  <c r="M219" i="71"/>
  <c r="AA218" i="71"/>
  <c r="Z218" i="71"/>
  <c r="U218" i="71"/>
  <c r="V218" i="71" s="1"/>
  <c r="Q218" i="71"/>
  <c r="P218" i="71"/>
  <c r="O218" i="71"/>
  <c r="N218" i="71"/>
  <c r="M218" i="71"/>
  <c r="AA217" i="71"/>
  <c r="Z217" i="71"/>
  <c r="V217" i="71"/>
  <c r="Q217" i="71"/>
  <c r="P217" i="71"/>
  <c r="O217" i="71"/>
  <c r="N217" i="71"/>
  <c r="M217" i="71"/>
  <c r="AA216" i="71"/>
  <c r="Z216" i="71"/>
  <c r="V216" i="71"/>
  <c r="Q216" i="71"/>
  <c r="P216" i="71"/>
  <c r="O216" i="71"/>
  <c r="N216" i="71"/>
  <c r="M216" i="71"/>
  <c r="AA215" i="71"/>
  <c r="Z215" i="71"/>
  <c r="V215" i="71"/>
  <c r="Q215" i="71"/>
  <c r="P215" i="71"/>
  <c r="O215" i="71"/>
  <c r="N215" i="71"/>
  <c r="M215" i="71"/>
  <c r="AA214" i="71"/>
  <c r="Z214" i="71"/>
  <c r="V214" i="71"/>
  <c r="Q214" i="71"/>
  <c r="P214" i="71"/>
  <c r="O214" i="71"/>
  <c r="N214" i="71"/>
  <c r="M214" i="71"/>
  <c r="AA213" i="71"/>
  <c r="Z213" i="71"/>
  <c r="V213" i="71"/>
  <c r="Q213" i="71"/>
  <c r="P213" i="71"/>
  <c r="O213" i="71"/>
  <c r="N213" i="71"/>
  <c r="M213" i="71"/>
  <c r="AA212" i="71"/>
  <c r="Z212" i="71"/>
  <c r="U212" i="71"/>
  <c r="V212" i="71" s="1"/>
  <c r="Q212" i="71"/>
  <c r="P212" i="71"/>
  <c r="O212" i="71"/>
  <c r="N212" i="71"/>
  <c r="M212" i="71"/>
  <c r="AA211" i="71"/>
  <c r="Z211" i="71"/>
  <c r="U211" i="71"/>
  <c r="V211" i="71" s="1"/>
  <c r="Q211" i="71"/>
  <c r="P211" i="71"/>
  <c r="O211" i="71"/>
  <c r="N211" i="71"/>
  <c r="M211" i="71"/>
  <c r="AA210" i="71"/>
  <c r="Z210" i="71"/>
  <c r="V210" i="71"/>
  <c r="U210" i="71"/>
  <c r="Q210" i="71"/>
  <c r="P210" i="71"/>
  <c r="O210" i="71"/>
  <c r="N210" i="71"/>
  <c r="R210" i="71" s="1"/>
  <c r="M210" i="71"/>
  <c r="AA209" i="71"/>
  <c r="Z209" i="71"/>
  <c r="V209" i="71"/>
  <c r="U209" i="71"/>
  <c r="Q209" i="71"/>
  <c r="P209" i="71"/>
  <c r="O209" i="71"/>
  <c r="N209" i="71"/>
  <c r="M209" i="71"/>
  <c r="AA208" i="71"/>
  <c r="Z208" i="71"/>
  <c r="Q208" i="71"/>
  <c r="P208" i="71"/>
  <c r="O208" i="71"/>
  <c r="N208" i="71"/>
  <c r="R208" i="71" s="1"/>
  <c r="M208" i="71"/>
  <c r="AA207" i="71"/>
  <c r="Z207" i="71"/>
  <c r="Q207" i="71"/>
  <c r="P207" i="71"/>
  <c r="O207" i="71"/>
  <c r="N207" i="71"/>
  <c r="M207" i="71"/>
  <c r="AA206" i="71"/>
  <c r="Z206" i="71"/>
  <c r="V206" i="71"/>
  <c r="U206" i="71"/>
  <c r="Q206" i="71"/>
  <c r="P206" i="71"/>
  <c r="O206" i="71"/>
  <c r="N206" i="71"/>
  <c r="R206" i="71" s="1"/>
  <c r="M206" i="71"/>
  <c r="AA205" i="71"/>
  <c r="Z205" i="71"/>
  <c r="Q205" i="71"/>
  <c r="P205" i="71"/>
  <c r="O205" i="71"/>
  <c r="N205" i="71"/>
  <c r="M205" i="71"/>
  <c r="AA204" i="71"/>
  <c r="Z204" i="71"/>
  <c r="V204" i="71"/>
  <c r="Q204" i="71"/>
  <c r="P204" i="71"/>
  <c r="O204" i="71"/>
  <c r="N204" i="71"/>
  <c r="M204" i="71"/>
  <c r="AA203" i="71"/>
  <c r="Z203" i="71"/>
  <c r="Q203" i="71"/>
  <c r="P203" i="71"/>
  <c r="O203" i="71"/>
  <c r="N203" i="71"/>
  <c r="M203" i="71"/>
  <c r="AA202" i="71"/>
  <c r="Z202" i="71"/>
  <c r="Q202" i="71"/>
  <c r="P202" i="71"/>
  <c r="O202" i="71"/>
  <c r="N202" i="71"/>
  <c r="M202" i="71"/>
  <c r="AA201" i="71"/>
  <c r="Z201" i="71"/>
  <c r="V201" i="71"/>
  <c r="Q201" i="71"/>
  <c r="P201" i="71"/>
  <c r="O201" i="71"/>
  <c r="N201" i="71"/>
  <c r="M201" i="71"/>
  <c r="AA200" i="71"/>
  <c r="Z200" i="71"/>
  <c r="Q200" i="71"/>
  <c r="P200" i="71"/>
  <c r="O200" i="71"/>
  <c r="N200" i="71"/>
  <c r="M200" i="71"/>
  <c r="AA199" i="71"/>
  <c r="Z199" i="71"/>
  <c r="V199" i="71"/>
  <c r="Q199" i="71"/>
  <c r="P199" i="71"/>
  <c r="O199" i="71"/>
  <c r="N199" i="71"/>
  <c r="M199" i="71"/>
  <c r="AA198" i="71"/>
  <c r="Z198" i="71"/>
  <c r="Q198" i="71"/>
  <c r="P198" i="71"/>
  <c r="O198" i="71"/>
  <c r="N198" i="71"/>
  <c r="M198" i="71"/>
  <c r="AA197" i="71"/>
  <c r="Z197" i="71"/>
  <c r="V197" i="71"/>
  <c r="Q197" i="71"/>
  <c r="P197" i="71"/>
  <c r="O197" i="71"/>
  <c r="N197" i="71"/>
  <c r="M197" i="71"/>
  <c r="AA196" i="71"/>
  <c r="Z196" i="71"/>
  <c r="U196" i="71"/>
  <c r="V196" i="71" s="1"/>
  <c r="Q196" i="71"/>
  <c r="P196" i="71"/>
  <c r="O196" i="71"/>
  <c r="N196" i="71"/>
  <c r="M196" i="71"/>
  <c r="AA195" i="71"/>
  <c r="Z195" i="71"/>
  <c r="U195" i="71"/>
  <c r="V195" i="71" s="1"/>
  <c r="Q195" i="71"/>
  <c r="P195" i="71"/>
  <c r="O195" i="71"/>
  <c r="N195" i="71"/>
  <c r="M195" i="71"/>
  <c r="AA194" i="71"/>
  <c r="Z194" i="71"/>
  <c r="U194" i="71"/>
  <c r="V194" i="71" s="1"/>
  <c r="Q194" i="71"/>
  <c r="P194" i="71"/>
  <c r="O194" i="71"/>
  <c r="N194" i="71"/>
  <c r="M194" i="71"/>
  <c r="AA193" i="71"/>
  <c r="Z193" i="71"/>
  <c r="U193" i="71"/>
  <c r="V193" i="71" s="1"/>
  <c r="Q193" i="71"/>
  <c r="P193" i="71"/>
  <c r="O193" i="71"/>
  <c r="N193" i="71"/>
  <c r="M193" i="71"/>
  <c r="AA192" i="71"/>
  <c r="Z192" i="71"/>
  <c r="Q192" i="71"/>
  <c r="P192" i="71"/>
  <c r="O192" i="71"/>
  <c r="N192" i="71"/>
  <c r="M192" i="71"/>
  <c r="AA191" i="71"/>
  <c r="Z191" i="71"/>
  <c r="Q191" i="71"/>
  <c r="P191" i="71"/>
  <c r="O191" i="71"/>
  <c r="N191" i="71"/>
  <c r="M191" i="71"/>
  <c r="AA190" i="71"/>
  <c r="Z190" i="71"/>
  <c r="Q190" i="71"/>
  <c r="P190" i="71"/>
  <c r="O190" i="71"/>
  <c r="N190" i="71"/>
  <c r="M190" i="71"/>
  <c r="AA189" i="71"/>
  <c r="Z189" i="71"/>
  <c r="Q189" i="71"/>
  <c r="P189" i="71"/>
  <c r="N189" i="71"/>
  <c r="J189" i="71"/>
  <c r="AA188" i="71"/>
  <c r="Z188" i="71"/>
  <c r="Q188" i="71"/>
  <c r="P188" i="71"/>
  <c r="O188" i="71"/>
  <c r="N188" i="71"/>
  <c r="M188" i="71"/>
  <c r="AA187" i="71"/>
  <c r="Z187" i="71"/>
  <c r="Q187" i="71"/>
  <c r="P187" i="71"/>
  <c r="O187" i="71"/>
  <c r="N187" i="71"/>
  <c r="M187" i="71"/>
  <c r="AA186" i="71"/>
  <c r="Z186" i="71"/>
  <c r="Q186" i="71"/>
  <c r="P186" i="71"/>
  <c r="O186" i="71"/>
  <c r="N186" i="71"/>
  <c r="M186" i="71"/>
  <c r="AA185" i="71"/>
  <c r="Z185" i="71"/>
  <c r="Q185" i="71"/>
  <c r="P185" i="71"/>
  <c r="O185" i="71"/>
  <c r="N185" i="71"/>
  <c r="M185" i="71"/>
  <c r="AA184" i="71"/>
  <c r="Z184" i="71"/>
  <c r="Q184" i="71"/>
  <c r="P184" i="71"/>
  <c r="O184" i="71"/>
  <c r="N184" i="71"/>
  <c r="M184" i="71"/>
  <c r="AA183" i="71"/>
  <c r="Z183" i="71"/>
  <c r="Q183" i="71"/>
  <c r="P183" i="71"/>
  <c r="O183" i="71"/>
  <c r="N183" i="71"/>
  <c r="M183" i="71"/>
  <c r="AA182" i="71"/>
  <c r="Z182" i="71"/>
  <c r="Q182" i="71"/>
  <c r="P182" i="71"/>
  <c r="O182" i="71"/>
  <c r="N182" i="71"/>
  <c r="R182" i="71" s="1"/>
  <c r="M182" i="71"/>
  <c r="AA181" i="71"/>
  <c r="Z181" i="71"/>
  <c r="Q181" i="71"/>
  <c r="P181" i="71"/>
  <c r="O181" i="71"/>
  <c r="N181" i="71"/>
  <c r="M181" i="71"/>
  <c r="AA180" i="71"/>
  <c r="Z180" i="71"/>
  <c r="Q180" i="71"/>
  <c r="P180" i="71"/>
  <c r="O180" i="71"/>
  <c r="N180" i="71"/>
  <c r="M180" i="71"/>
  <c r="AA179" i="71"/>
  <c r="Z179" i="71"/>
  <c r="U179" i="71"/>
  <c r="Q179" i="71"/>
  <c r="P179" i="71"/>
  <c r="O179" i="71"/>
  <c r="N179" i="71"/>
  <c r="M179" i="71"/>
  <c r="AA178" i="71"/>
  <c r="Z178" i="71"/>
  <c r="Q178" i="71"/>
  <c r="P178" i="71"/>
  <c r="O178" i="71"/>
  <c r="N178" i="71"/>
  <c r="M178" i="71"/>
  <c r="AA177" i="71"/>
  <c r="Z177" i="71"/>
  <c r="Q177" i="71"/>
  <c r="P177" i="71"/>
  <c r="O177" i="71"/>
  <c r="N177" i="71"/>
  <c r="M177" i="71"/>
  <c r="AA176" i="71"/>
  <c r="Z176" i="71"/>
  <c r="Q176" i="71"/>
  <c r="P176" i="71"/>
  <c r="O176" i="71"/>
  <c r="N176" i="71"/>
  <c r="M176" i="71"/>
  <c r="AA175" i="71"/>
  <c r="Z175" i="71"/>
  <c r="Q175" i="71"/>
  <c r="P175" i="71"/>
  <c r="O175" i="71"/>
  <c r="N175" i="71"/>
  <c r="M175" i="71"/>
  <c r="AA174" i="71"/>
  <c r="Z174" i="71"/>
  <c r="Q174" i="71"/>
  <c r="P174" i="71"/>
  <c r="O174" i="71"/>
  <c r="N174" i="71"/>
  <c r="M174" i="71"/>
  <c r="AA173" i="71"/>
  <c r="Z173" i="71"/>
  <c r="Q173" i="71"/>
  <c r="P173" i="71"/>
  <c r="O173" i="71"/>
  <c r="N173" i="71"/>
  <c r="R173" i="71" s="1"/>
  <c r="M173" i="71"/>
  <c r="AA172" i="71"/>
  <c r="Z172" i="71"/>
  <c r="Q172" i="71"/>
  <c r="P172" i="71"/>
  <c r="O172" i="71"/>
  <c r="N172" i="71"/>
  <c r="M172" i="71"/>
  <c r="AA171" i="71"/>
  <c r="Z171" i="71"/>
  <c r="Q171" i="71"/>
  <c r="P171" i="71"/>
  <c r="O171" i="71"/>
  <c r="N171" i="71"/>
  <c r="M171" i="71"/>
  <c r="AA170" i="71"/>
  <c r="Z170" i="71"/>
  <c r="Q170" i="71"/>
  <c r="P170" i="71"/>
  <c r="O170" i="71"/>
  <c r="N170" i="71"/>
  <c r="M170" i="71"/>
  <c r="AA169" i="71"/>
  <c r="Z169" i="71"/>
  <c r="Q169" i="71"/>
  <c r="P169" i="71"/>
  <c r="O169" i="71"/>
  <c r="N169" i="71"/>
  <c r="M169" i="71"/>
  <c r="AA168" i="71"/>
  <c r="Z168" i="71"/>
  <c r="Q168" i="71"/>
  <c r="P168" i="71"/>
  <c r="O168" i="71"/>
  <c r="N168" i="71"/>
  <c r="M168" i="71"/>
  <c r="AA167" i="71"/>
  <c r="Z167" i="71"/>
  <c r="Q167" i="71"/>
  <c r="P167" i="71"/>
  <c r="O167" i="71"/>
  <c r="N167" i="71"/>
  <c r="M167" i="71"/>
  <c r="AA166" i="71"/>
  <c r="Z166" i="71"/>
  <c r="Q166" i="71"/>
  <c r="P166" i="71"/>
  <c r="O166" i="71"/>
  <c r="N166" i="71"/>
  <c r="M166" i="71"/>
  <c r="AA165" i="71"/>
  <c r="Z165" i="71"/>
  <c r="Q165" i="71"/>
  <c r="P165" i="71"/>
  <c r="O165" i="71"/>
  <c r="N165" i="71"/>
  <c r="R165" i="71" s="1"/>
  <c r="M165" i="71"/>
  <c r="AA164" i="71"/>
  <c r="Z164" i="71"/>
  <c r="Q164" i="71"/>
  <c r="P164" i="71"/>
  <c r="O164" i="71"/>
  <c r="N164" i="71"/>
  <c r="M164" i="71"/>
  <c r="AA163" i="71"/>
  <c r="Z163" i="71"/>
  <c r="Q163" i="71"/>
  <c r="P163" i="71"/>
  <c r="O163" i="71"/>
  <c r="N163" i="71"/>
  <c r="M163" i="71"/>
  <c r="AA162" i="71"/>
  <c r="Z162" i="71"/>
  <c r="Q162" i="71"/>
  <c r="P162" i="71"/>
  <c r="O162" i="71"/>
  <c r="N162" i="71"/>
  <c r="M162" i="71"/>
  <c r="AA161" i="71"/>
  <c r="Z161" i="71"/>
  <c r="Q161" i="71"/>
  <c r="P161" i="71"/>
  <c r="O161" i="71"/>
  <c r="N161" i="71"/>
  <c r="M161" i="71"/>
  <c r="AA160" i="71"/>
  <c r="Z160" i="71"/>
  <c r="V160" i="71"/>
  <c r="Q160" i="71"/>
  <c r="P160" i="71"/>
  <c r="O160" i="71"/>
  <c r="N160" i="71"/>
  <c r="M160" i="71"/>
  <c r="AA159" i="71"/>
  <c r="Z159" i="71"/>
  <c r="Q159" i="71"/>
  <c r="P159" i="71"/>
  <c r="O159" i="71"/>
  <c r="N159" i="71"/>
  <c r="M159" i="71"/>
  <c r="AA158" i="71"/>
  <c r="Z158" i="71"/>
  <c r="V158" i="71"/>
  <c r="Q158" i="71"/>
  <c r="P158" i="71"/>
  <c r="O158" i="71"/>
  <c r="N158" i="71"/>
  <c r="M158" i="71"/>
  <c r="AA157" i="71"/>
  <c r="Z157" i="71"/>
  <c r="V157" i="71"/>
  <c r="Q157" i="71"/>
  <c r="P157" i="71"/>
  <c r="O157" i="71"/>
  <c r="N157" i="71"/>
  <c r="M157" i="71"/>
  <c r="AA156" i="71"/>
  <c r="Z156" i="71"/>
  <c r="V156" i="71"/>
  <c r="Q156" i="71"/>
  <c r="P156" i="71"/>
  <c r="O156" i="71"/>
  <c r="N156" i="71"/>
  <c r="M156" i="71"/>
  <c r="AA155" i="71"/>
  <c r="Z155" i="71"/>
  <c r="V155" i="71"/>
  <c r="Q155" i="71"/>
  <c r="P155" i="71"/>
  <c r="O155" i="71"/>
  <c r="N155" i="71"/>
  <c r="M155" i="71"/>
  <c r="AA154" i="71"/>
  <c r="Z154" i="71"/>
  <c r="V154" i="71"/>
  <c r="Q154" i="71"/>
  <c r="P154" i="71"/>
  <c r="O154" i="71"/>
  <c r="N154" i="71"/>
  <c r="M154" i="71"/>
  <c r="AA153" i="71"/>
  <c r="Z153" i="71"/>
  <c r="V153" i="71"/>
  <c r="Q153" i="71"/>
  <c r="P153" i="71"/>
  <c r="O153" i="71"/>
  <c r="N153" i="71"/>
  <c r="M153" i="71"/>
  <c r="AA152" i="71"/>
  <c r="Z152" i="71"/>
  <c r="V152" i="71"/>
  <c r="Q152" i="71"/>
  <c r="P152" i="71"/>
  <c r="O152" i="71"/>
  <c r="N152" i="71"/>
  <c r="M152" i="71"/>
  <c r="AA151" i="71"/>
  <c r="Z151" i="71"/>
  <c r="Q151" i="71"/>
  <c r="P151" i="71"/>
  <c r="O151" i="71"/>
  <c r="N151" i="71"/>
  <c r="M151" i="71"/>
  <c r="AA150" i="71"/>
  <c r="Z150" i="71"/>
  <c r="Q150" i="71"/>
  <c r="P150" i="71"/>
  <c r="O150" i="71"/>
  <c r="N150" i="71"/>
  <c r="M150" i="71"/>
  <c r="AA149" i="71"/>
  <c r="Z149" i="71"/>
  <c r="Q149" i="71"/>
  <c r="P149" i="71"/>
  <c r="O149" i="71"/>
  <c r="N149" i="71"/>
  <c r="R149" i="71" s="1"/>
  <c r="M149" i="71"/>
  <c r="AA148" i="71"/>
  <c r="Z148" i="71"/>
  <c r="Q148" i="71"/>
  <c r="P148" i="71"/>
  <c r="O148" i="71"/>
  <c r="N148" i="71"/>
  <c r="M148" i="71"/>
  <c r="AA147" i="71"/>
  <c r="Z147" i="71"/>
  <c r="Q147" i="71"/>
  <c r="P147" i="71"/>
  <c r="O147" i="71"/>
  <c r="N147" i="71"/>
  <c r="M147" i="71"/>
  <c r="AA146" i="71"/>
  <c r="Z146" i="71"/>
  <c r="Q146" i="71"/>
  <c r="P146" i="71"/>
  <c r="O146" i="71"/>
  <c r="N146" i="71"/>
  <c r="R146" i="71" s="1"/>
  <c r="M146" i="71"/>
  <c r="AA145" i="71"/>
  <c r="Z145" i="71"/>
  <c r="Q145" i="71"/>
  <c r="P145" i="71"/>
  <c r="O145" i="71"/>
  <c r="N145" i="71"/>
  <c r="M145" i="71"/>
  <c r="AA144" i="71"/>
  <c r="Z144" i="71"/>
  <c r="Q144" i="71"/>
  <c r="P144" i="71"/>
  <c r="O144" i="71"/>
  <c r="N144" i="71"/>
  <c r="M144" i="71"/>
  <c r="AA143" i="71"/>
  <c r="Z143" i="71"/>
  <c r="Q143" i="71"/>
  <c r="P143" i="71"/>
  <c r="O143" i="71"/>
  <c r="N143" i="71"/>
  <c r="M143" i="71"/>
  <c r="AA142" i="71"/>
  <c r="Z142" i="71"/>
  <c r="Q142" i="71"/>
  <c r="P142" i="71"/>
  <c r="O142" i="71"/>
  <c r="N142" i="71"/>
  <c r="M142" i="71"/>
  <c r="AA141" i="71"/>
  <c r="Z141" i="71"/>
  <c r="Q141" i="71"/>
  <c r="P141" i="71"/>
  <c r="O141" i="71"/>
  <c r="N141" i="71"/>
  <c r="R141" i="71" s="1"/>
  <c r="M141" i="71"/>
  <c r="AA140" i="71"/>
  <c r="Z140" i="71"/>
  <c r="Q140" i="71"/>
  <c r="P140" i="71"/>
  <c r="O140" i="71"/>
  <c r="N140" i="71"/>
  <c r="M140" i="71"/>
  <c r="AA139" i="71"/>
  <c r="Z139" i="71"/>
  <c r="Q139" i="71"/>
  <c r="P139" i="71"/>
  <c r="O139" i="71"/>
  <c r="N139" i="71"/>
  <c r="M139" i="71"/>
  <c r="AA138" i="71"/>
  <c r="Z138" i="71"/>
  <c r="Q138" i="71"/>
  <c r="P138" i="71"/>
  <c r="O138" i="71"/>
  <c r="N138" i="71"/>
  <c r="R138" i="71" s="1"/>
  <c r="M138" i="71"/>
  <c r="AA137" i="71"/>
  <c r="Z137" i="71"/>
  <c r="Q137" i="71"/>
  <c r="P137" i="71"/>
  <c r="O137" i="71"/>
  <c r="N137" i="71"/>
  <c r="M137" i="71"/>
  <c r="AA136" i="71"/>
  <c r="Z136" i="71"/>
  <c r="Q136" i="71"/>
  <c r="P136" i="71"/>
  <c r="O136" i="71"/>
  <c r="N136" i="71"/>
  <c r="M136" i="71"/>
  <c r="AA135" i="71"/>
  <c r="Z135" i="71"/>
  <c r="Q135" i="71"/>
  <c r="P135" i="71"/>
  <c r="O135" i="71"/>
  <c r="N135" i="71"/>
  <c r="M135" i="71"/>
  <c r="AA134" i="71"/>
  <c r="Z134" i="71"/>
  <c r="Q134" i="71"/>
  <c r="P134" i="71"/>
  <c r="O134" i="71"/>
  <c r="N134" i="71"/>
  <c r="M134" i="71"/>
  <c r="AA133" i="71"/>
  <c r="Z133" i="71"/>
  <c r="Q133" i="71"/>
  <c r="P133" i="71"/>
  <c r="O133" i="71"/>
  <c r="N133" i="71"/>
  <c r="R133" i="71" s="1"/>
  <c r="M133" i="71"/>
  <c r="AA132" i="71"/>
  <c r="Z132" i="71"/>
  <c r="Q132" i="71"/>
  <c r="P132" i="71"/>
  <c r="O132" i="71"/>
  <c r="N132" i="71"/>
  <c r="M132" i="71"/>
  <c r="AA131" i="71"/>
  <c r="Z131" i="71"/>
  <c r="Q131" i="71"/>
  <c r="P131" i="71"/>
  <c r="O131" i="71"/>
  <c r="N131" i="71"/>
  <c r="M131" i="71"/>
  <c r="AA130" i="71"/>
  <c r="Z130" i="71"/>
  <c r="Q130" i="71"/>
  <c r="P130" i="71"/>
  <c r="O130" i="71"/>
  <c r="N130" i="71"/>
  <c r="R130" i="71" s="1"/>
  <c r="M130" i="71"/>
  <c r="AA129" i="71"/>
  <c r="Z129" i="71"/>
  <c r="Q129" i="71"/>
  <c r="P129" i="71"/>
  <c r="O129" i="71"/>
  <c r="N129" i="71"/>
  <c r="M129" i="71"/>
  <c r="AA128" i="71"/>
  <c r="Z128" i="71"/>
  <c r="Q128" i="71"/>
  <c r="P128" i="71"/>
  <c r="O128" i="71"/>
  <c r="N128" i="71"/>
  <c r="M128" i="71"/>
  <c r="AA127" i="71"/>
  <c r="Z127" i="71"/>
  <c r="V127" i="71"/>
  <c r="Q127" i="71"/>
  <c r="P127" i="71"/>
  <c r="O127" i="71"/>
  <c r="N127" i="71"/>
  <c r="M127" i="71"/>
  <c r="AA126" i="71"/>
  <c r="Z126" i="71"/>
  <c r="Q126" i="71"/>
  <c r="P126" i="71"/>
  <c r="O126" i="71"/>
  <c r="N126" i="71"/>
  <c r="M126" i="71"/>
  <c r="AA125" i="71"/>
  <c r="Z125" i="71"/>
  <c r="Q125" i="71"/>
  <c r="P125" i="71"/>
  <c r="O125" i="71"/>
  <c r="N125" i="71"/>
  <c r="M125" i="71"/>
  <c r="AA124" i="71"/>
  <c r="Z124" i="71"/>
  <c r="U124" i="71"/>
  <c r="Q124" i="71"/>
  <c r="P124" i="71"/>
  <c r="O124" i="71"/>
  <c r="N124" i="71"/>
  <c r="M124" i="71"/>
  <c r="AA123" i="71"/>
  <c r="Z123" i="71"/>
  <c r="Q123" i="71"/>
  <c r="P123" i="71"/>
  <c r="O123" i="71"/>
  <c r="N123" i="71"/>
  <c r="R123" i="71" s="1"/>
  <c r="M123" i="71"/>
  <c r="AA122" i="71"/>
  <c r="Z122" i="71"/>
  <c r="Q122" i="71"/>
  <c r="P122" i="71"/>
  <c r="O122" i="71"/>
  <c r="N122" i="71"/>
  <c r="M122" i="71"/>
  <c r="AA121" i="71"/>
  <c r="Z121" i="71"/>
  <c r="Q121" i="71"/>
  <c r="P121" i="71"/>
  <c r="O121" i="71"/>
  <c r="N121" i="71"/>
  <c r="M121" i="71"/>
  <c r="AA120" i="71"/>
  <c r="Z120" i="71"/>
  <c r="Q120" i="71"/>
  <c r="P120" i="71"/>
  <c r="O120" i="71"/>
  <c r="N120" i="71"/>
  <c r="R120" i="71" s="1"/>
  <c r="M120" i="71"/>
  <c r="AA119" i="71"/>
  <c r="Z119" i="71"/>
  <c r="Q119" i="71"/>
  <c r="P119" i="71"/>
  <c r="O119" i="71"/>
  <c r="N119" i="71"/>
  <c r="M119" i="71"/>
  <c r="AA118" i="71"/>
  <c r="Z118" i="71"/>
  <c r="Q118" i="71"/>
  <c r="P118" i="71"/>
  <c r="O118" i="71"/>
  <c r="N118" i="71"/>
  <c r="M118" i="71"/>
  <c r="AA117" i="71"/>
  <c r="Z117" i="71"/>
  <c r="Q117" i="71"/>
  <c r="P117" i="71"/>
  <c r="O117" i="71"/>
  <c r="N117" i="71"/>
  <c r="M117" i="71"/>
  <c r="AA116" i="71"/>
  <c r="Z116" i="71"/>
  <c r="V116" i="71"/>
  <c r="Q116" i="71"/>
  <c r="P116" i="71"/>
  <c r="O116" i="71"/>
  <c r="N116" i="71"/>
  <c r="M116" i="71"/>
  <c r="AA115" i="71"/>
  <c r="Z115" i="71"/>
  <c r="Q115" i="71"/>
  <c r="O115" i="71"/>
  <c r="N115" i="71"/>
  <c r="M115" i="71"/>
  <c r="K115" i="71"/>
  <c r="P115" i="71" s="1"/>
  <c r="AA114" i="71"/>
  <c r="Z114" i="71"/>
  <c r="Q114" i="71"/>
  <c r="O114" i="71"/>
  <c r="N114" i="71"/>
  <c r="K114" i="71"/>
  <c r="M114" i="71" s="1"/>
  <c r="AA113" i="71"/>
  <c r="Z113" i="71"/>
  <c r="Q113" i="71"/>
  <c r="O113" i="71"/>
  <c r="N113" i="71"/>
  <c r="K113" i="71"/>
  <c r="P113" i="71" s="1"/>
  <c r="AA112" i="71"/>
  <c r="Z112" i="71"/>
  <c r="Q112" i="71"/>
  <c r="O112" i="71"/>
  <c r="N112" i="71"/>
  <c r="K112" i="71"/>
  <c r="AA111" i="71"/>
  <c r="Z111" i="71"/>
  <c r="Q111" i="71"/>
  <c r="O111" i="71"/>
  <c r="N111" i="71"/>
  <c r="K111" i="71"/>
  <c r="P111" i="71" s="1"/>
  <c r="AA110" i="71"/>
  <c r="Z110" i="71"/>
  <c r="Q110" i="71"/>
  <c r="O110" i="71"/>
  <c r="N110" i="71"/>
  <c r="K110" i="71"/>
  <c r="M110" i="71" s="1"/>
  <c r="AA109" i="71"/>
  <c r="Z109" i="71"/>
  <c r="Q109" i="71"/>
  <c r="O109" i="71"/>
  <c r="N109" i="71"/>
  <c r="K109" i="71"/>
  <c r="P109" i="71" s="1"/>
  <c r="AA108" i="71"/>
  <c r="Z108" i="71"/>
  <c r="Q108" i="71"/>
  <c r="O108" i="71"/>
  <c r="N108" i="71"/>
  <c r="K108" i="71"/>
  <c r="AA107" i="71"/>
  <c r="Z107" i="71"/>
  <c r="Q107" i="71"/>
  <c r="O107" i="71"/>
  <c r="N107" i="71"/>
  <c r="K107" i="71"/>
  <c r="P107" i="71" s="1"/>
  <c r="AA106" i="71"/>
  <c r="Z106" i="71"/>
  <c r="V106" i="71"/>
  <c r="Q106" i="71"/>
  <c r="O106" i="71"/>
  <c r="N106" i="71"/>
  <c r="K106" i="71"/>
  <c r="P106" i="71" s="1"/>
  <c r="AA105" i="71"/>
  <c r="Z105" i="71"/>
  <c r="Q105" i="71"/>
  <c r="O105" i="71"/>
  <c r="N105" i="71"/>
  <c r="K105" i="71"/>
  <c r="M105" i="71" s="1"/>
  <c r="AA104" i="71"/>
  <c r="Z104" i="71"/>
  <c r="Q104" i="71"/>
  <c r="O104" i="71"/>
  <c r="N104" i="71"/>
  <c r="K104" i="71"/>
  <c r="P104" i="71" s="1"/>
  <c r="AA103" i="71"/>
  <c r="Z103" i="71"/>
  <c r="Q103" i="71"/>
  <c r="O103" i="71"/>
  <c r="N103" i="71"/>
  <c r="K103" i="71"/>
  <c r="M103" i="71" s="1"/>
  <c r="AA102" i="71"/>
  <c r="Z102" i="71"/>
  <c r="Q102" i="71"/>
  <c r="O102" i="71"/>
  <c r="N102" i="71"/>
  <c r="K102" i="71"/>
  <c r="P102" i="71" s="1"/>
  <c r="AA101" i="71"/>
  <c r="Z101" i="71"/>
  <c r="Q101" i="71"/>
  <c r="O101" i="71"/>
  <c r="N101" i="71"/>
  <c r="K101" i="71"/>
  <c r="M101" i="71" s="1"/>
  <c r="AA100" i="71"/>
  <c r="Z100" i="71"/>
  <c r="Q100" i="71"/>
  <c r="P100" i="71"/>
  <c r="O100" i="71"/>
  <c r="N100" i="71"/>
  <c r="M100" i="71"/>
  <c r="AA99" i="71"/>
  <c r="Z99" i="71"/>
  <c r="Q99" i="71"/>
  <c r="P99" i="71"/>
  <c r="O99" i="71"/>
  <c r="N99" i="71"/>
  <c r="R99" i="71" s="1"/>
  <c r="M99" i="71"/>
  <c r="AA98" i="71"/>
  <c r="Z98" i="71"/>
  <c r="Q98" i="71"/>
  <c r="P98" i="71"/>
  <c r="N98" i="71"/>
  <c r="J98" i="71"/>
  <c r="O98" i="71" s="1"/>
  <c r="AA97" i="71"/>
  <c r="Z97" i="71"/>
  <c r="Q97" i="71"/>
  <c r="P97" i="71"/>
  <c r="N97" i="71"/>
  <c r="J97" i="71"/>
  <c r="O97" i="71" s="1"/>
  <c r="AA96" i="71"/>
  <c r="Z96" i="71"/>
  <c r="Q96" i="71"/>
  <c r="P96" i="71"/>
  <c r="N96" i="71"/>
  <c r="J96" i="71"/>
  <c r="O96" i="71" s="1"/>
  <c r="AA95" i="71"/>
  <c r="Z95" i="71"/>
  <c r="Q95" i="71"/>
  <c r="P95" i="71"/>
  <c r="N95" i="71"/>
  <c r="J95" i="71"/>
  <c r="O95" i="71" s="1"/>
  <c r="AA94" i="71"/>
  <c r="Z94" i="71"/>
  <c r="Q94" i="71"/>
  <c r="P94" i="71"/>
  <c r="O94" i="71"/>
  <c r="N94" i="71"/>
  <c r="R94" i="71" s="1"/>
  <c r="M94" i="71"/>
  <c r="AA93" i="71"/>
  <c r="Z93" i="71"/>
  <c r="Q93" i="71"/>
  <c r="P93" i="71"/>
  <c r="O93" i="71"/>
  <c r="N93" i="71"/>
  <c r="M93" i="71"/>
  <c r="AA92" i="71"/>
  <c r="Z92" i="71"/>
  <c r="Q92" i="71"/>
  <c r="P92" i="71"/>
  <c r="O92" i="71"/>
  <c r="N92" i="71"/>
  <c r="M92" i="71"/>
  <c r="AA91" i="71"/>
  <c r="Z91" i="71"/>
  <c r="Q91" i="71"/>
  <c r="P91" i="71"/>
  <c r="O91" i="71"/>
  <c r="N91" i="71"/>
  <c r="M91" i="71"/>
  <c r="AA90" i="71"/>
  <c r="Z90" i="71"/>
  <c r="Q90" i="71"/>
  <c r="P90" i="71"/>
  <c r="O90" i="71"/>
  <c r="N90" i="71"/>
  <c r="R90" i="71" s="1"/>
  <c r="M90" i="71"/>
  <c r="AA89" i="71"/>
  <c r="Z89" i="71"/>
  <c r="Q89" i="71"/>
  <c r="P89" i="71"/>
  <c r="O89" i="71"/>
  <c r="N89" i="71"/>
  <c r="M89" i="71"/>
  <c r="AA88" i="71"/>
  <c r="Z88" i="71"/>
  <c r="Q88" i="71"/>
  <c r="P88" i="71"/>
  <c r="O88" i="71"/>
  <c r="N88" i="71"/>
  <c r="M88" i="71"/>
  <c r="AA87" i="71"/>
  <c r="Z87" i="71"/>
  <c r="Q87" i="71"/>
  <c r="P87" i="71"/>
  <c r="O87" i="71"/>
  <c r="N87" i="71"/>
  <c r="M87" i="71"/>
  <c r="AA86" i="71"/>
  <c r="Z86" i="71"/>
  <c r="Q86" i="71"/>
  <c r="P86" i="71"/>
  <c r="O86" i="71"/>
  <c r="N86" i="71"/>
  <c r="R86" i="71" s="1"/>
  <c r="M86" i="71"/>
  <c r="AA85" i="71"/>
  <c r="Z85" i="71"/>
  <c r="Q85" i="71"/>
  <c r="P85" i="71"/>
  <c r="O85" i="71"/>
  <c r="N85" i="71"/>
  <c r="M85" i="71"/>
  <c r="AA84" i="71"/>
  <c r="Z84" i="71"/>
  <c r="Q84" i="71"/>
  <c r="P84" i="71"/>
  <c r="O84" i="71"/>
  <c r="N84" i="71"/>
  <c r="M84" i="71"/>
  <c r="AA83" i="71"/>
  <c r="Z83" i="71"/>
  <c r="Q83" i="71"/>
  <c r="P83" i="71"/>
  <c r="O83" i="71"/>
  <c r="N83" i="71"/>
  <c r="M83" i="71"/>
  <c r="AA82" i="71"/>
  <c r="Z82" i="71"/>
  <c r="Q82" i="71"/>
  <c r="P82" i="71"/>
  <c r="O82" i="71"/>
  <c r="N82" i="71"/>
  <c r="R82" i="71" s="1"/>
  <c r="M82" i="71"/>
  <c r="AA81" i="71"/>
  <c r="Z81" i="71"/>
  <c r="Q81" i="71"/>
  <c r="P81" i="71"/>
  <c r="O81" i="71"/>
  <c r="N81" i="71"/>
  <c r="M81" i="71"/>
  <c r="AA80" i="71"/>
  <c r="Z80" i="71"/>
  <c r="Q80" i="71"/>
  <c r="P80" i="71"/>
  <c r="O80" i="71"/>
  <c r="N80" i="71"/>
  <c r="M80" i="71"/>
  <c r="AA79" i="71"/>
  <c r="Z79" i="71"/>
  <c r="Q79" i="71"/>
  <c r="P79" i="71"/>
  <c r="O79" i="71"/>
  <c r="N79" i="71"/>
  <c r="M79" i="71"/>
  <c r="AA78" i="71"/>
  <c r="Z78" i="71"/>
  <c r="Q78" i="71"/>
  <c r="P78" i="71"/>
  <c r="O78" i="71"/>
  <c r="N78" i="71"/>
  <c r="R78" i="71" s="1"/>
  <c r="M78" i="71"/>
  <c r="AA77" i="71"/>
  <c r="Z77" i="71"/>
  <c r="Q77" i="71"/>
  <c r="P77" i="71"/>
  <c r="O77" i="71"/>
  <c r="N77" i="71"/>
  <c r="M77" i="71"/>
  <c r="AA76" i="71"/>
  <c r="Z76" i="71"/>
  <c r="Q76" i="71"/>
  <c r="P76" i="71"/>
  <c r="O76" i="71"/>
  <c r="N76" i="71"/>
  <c r="M76" i="71"/>
  <c r="AA75" i="71"/>
  <c r="Z75" i="71"/>
  <c r="Q75" i="71"/>
  <c r="P75" i="71"/>
  <c r="O75" i="71"/>
  <c r="N75" i="71"/>
  <c r="M75" i="71"/>
  <c r="AA74" i="71"/>
  <c r="Z74" i="71"/>
  <c r="Q74" i="71"/>
  <c r="P74" i="71"/>
  <c r="O74" i="71"/>
  <c r="N74" i="71"/>
  <c r="M74" i="71"/>
  <c r="AA73" i="71"/>
  <c r="Z73" i="71"/>
  <c r="Q73" i="71"/>
  <c r="P73" i="71"/>
  <c r="O73" i="71"/>
  <c r="N73" i="71"/>
  <c r="M73" i="71"/>
  <c r="AA72" i="71"/>
  <c r="Z72" i="71"/>
  <c r="Q72" i="71"/>
  <c r="P72" i="71"/>
  <c r="O72" i="71"/>
  <c r="N72" i="71"/>
  <c r="M72" i="71"/>
  <c r="AA71" i="71"/>
  <c r="Z71" i="71"/>
  <c r="Q71" i="71"/>
  <c r="P71" i="71"/>
  <c r="O71" i="71"/>
  <c r="N71" i="71"/>
  <c r="M71" i="71"/>
  <c r="AA70" i="71"/>
  <c r="Z70" i="71"/>
  <c r="Q70" i="71"/>
  <c r="P70" i="71"/>
  <c r="O70" i="71"/>
  <c r="N70" i="71"/>
  <c r="R70" i="71" s="1"/>
  <c r="M70" i="71"/>
  <c r="AA69" i="71"/>
  <c r="Z69" i="71"/>
  <c r="Q69" i="71"/>
  <c r="P69" i="71"/>
  <c r="O69" i="71"/>
  <c r="N69" i="71"/>
  <c r="M69" i="71"/>
  <c r="AA68" i="71"/>
  <c r="Z68" i="71"/>
  <c r="Q68" i="71"/>
  <c r="P68" i="71"/>
  <c r="O68" i="71"/>
  <c r="N68" i="71"/>
  <c r="M68" i="71"/>
  <c r="AA67" i="71"/>
  <c r="Z67" i="71"/>
  <c r="Q67" i="71"/>
  <c r="P67" i="71"/>
  <c r="O67" i="71"/>
  <c r="N67" i="71"/>
  <c r="M67" i="71"/>
  <c r="AA66" i="71"/>
  <c r="Z66" i="71"/>
  <c r="Q66" i="71"/>
  <c r="P66" i="71"/>
  <c r="O66" i="71"/>
  <c r="N66" i="71"/>
  <c r="M66" i="71"/>
  <c r="AA65" i="71"/>
  <c r="Z65" i="71"/>
  <c r="Q65" i="71"/>
  <c r="P65" i="71"/>
  <c r="O65" i="71"/>
  <c r="N65" i="71"/>
  <c r="M65" i="71"/>
  <c r="AA64" i="71"/>
  <c r="Z64" i="71"/>
  <c r="Q64" i="71"/>
  <c r="P64" i="71"/>
  <c r="O64" i="71"/>
  <c r="N64" i="71"/>
  <c r="M64" i="71"/>
  <c r="AA63" i="71"/>
  <c r="Z63" i="71"/>
  <c r="Q63" i="71"/>
  <c r="P63" i="71"/>
  <c r="O63" i="71"/>
  <c r="N63" i="71"/>
  <c r="M63" i="71"/>
  <c r="AA62" i="71"/>
  <c r="Z62" i="71"/>
  <c r="Q62" i="71"/>
  <c r="P62" i="71"/>
  <c r="O62" i="71"/>
  <c r="N62" i="71"/>
  <c r="R62" i="71" s="1"/>
  <c r="M62" i="71"/>
  <c r="AA61" i="71"/>
  <c r="Z61" i="71"/>
  <c r="Q61" i="71"/>
  <c r="P61" i="71"/>
  <c r="O61" i="71"/>
  <c r="N61" i="71"/>
  <c r="M61" i="71"/>
  <c r="AA60" i="71"/>
  <c r="Z60" i="71"/>
  <c r="U60" i="71"/>
  <c r="Q60" i="71"/>
  <c r="P60" i="71"/>
  <c r="O60" i="71"/>
  <c r="N60" i="71"/>
  <c r="M60" i="71"/>
  <c r="AA59" i="71"/>
  <c r="Z59" i="71"/>
  <c r="Q59" i="71"/>
  <c r="P59" i="71"/>
  <c r="O59" i="71"/>
  <c r="N59" i="71"/>
  <c r="M59" i="71"/>
  <c r="AA58" i="71"/>
  <c r="Z58" i="71"/>
  <c r="Q58" i="71"/>
  <c r="P58" i="71"/>
  <c r="O58" i="71"/>
  <c r="N58" i="71"/>
  <c r="M58" i="71"/>
  <c r="AA57" i="71"/>
  <c r="Z57" i="71"/>
  <c r="Q57" i="71"/>
  <c r="P57" i="71"/>
  <c r="O57" i="71"/>
  <c r="N57" i="71"/>
  <c r="M57" i="71"/>
  <c r="AA56" i="71"/>
  <c r="Z56" i="71"/>
  <c r="Q56" i="71"/>
  <c r="P56" i="71"/>
  <c r="O56" i="71"/>
  <c r="N56" i="71"/>
  <c r="M56" i="71"/>
  <c r="AA55" i="71"/>
  <c r="Z55" i="71"/>
  <c r="Q55" i="71"/>
  <c r="P55" i="71"/>
  <c r="O55" i="71"/>
  <c r="N55" i="71"/>
  <c r="M55" i="71"/>
  <c r="AA54" i="71"/>
  <c r="Z54" i="71"/>
  <c r="Q54" i="71"/>
  <c r="P54" i="71"/>
  <c r="O54" i="71"/>
  <c r="N54" i="71"/>
  <c r="M54" i="71"/>
  <c r="AA53" i="71"/>
  <c r="Z53" i="71"/>
  <c r="Q53" i="71"/>
  <c r="P53" i="71"/>
  <c r="O53" i="71"/>
  <c r="N53" i="71"/>
  <c r="M53" i="71"/>
  <c r="AA52" i="71"/>
  <c r="Z52" i="71"/>
  <c r="Q52" i="71"/>
  <c r="P52" i="71"/>
  <c r="O52" i="71"/>
  <c r="N52" i="71"/>
  <c r="M52" i="71"/>
  <c r="AA51" i="71"/>
  <c r="Z51" i="71"/>
  <c r="Q51" i="71"/>
  <c r="P51" i="71"/>
  <c r="O51" i="71"/>
  <c r="N51" i="71"/>
  <c r="M51" i="71"/>
  <c r="AA50" i="71"/>
  <c r="Z50" i="71"/>
  <c r="Q50" i="71"/>
  <c r="P50" i="71"/>
  <c r="O50" i="71"/>
  <c r="N50" i="71"/>
  <c r="M50" i="71"/>
  <c r="AA49" i="71"/>
  <c r="Z49" i="71"/>
  <c r="Q49" i="71"/>
  <c r="P49" i="71"/>
  <c r="O49" i="71"/>
  <c r="N49" i="71"/>
  <c r="M49" i="71"/>
  <c r="AA48" i="71"/>
  <c r="Z48" i="71"/>
  <c r="Q48" i="71"/>
  <c r="P48" i="71"/>
  <c r="O48" i="71"/>
  <c r="N48" i="71"/>
  <c r="M48" i="71"/>
  <c r="AA47" i="71"/>
  <c r="Z47" i="71"/>
  <c r="Q47" i="71"/>
  <c r="P47" i="71"/>
  <c r="O47" i="71"/>
  <c r="N47" i="71"/>
  <c r="M47" i="71"/>
  <c r="AA46" i="71"/>
  <c r="Z46" i="71"/>
  <c r="Q46" i="71"/>
  <c r="P46" i="71"/>
  <c r="O46" i="71"/>
  <c r="N46" i="71"/>
  <c r="M46" i="71"/>
  <c r="AA45" i="71"/>
  <c r="Z45" i="71"/>
  <c r="Q45" i="71"/>
  <c r="P45" i="71"/>
  <c r="O45" i="71"/>
  <c r="N45" i="71"/>
  <c r="R45" i="71" s="1"/>
  <c r="M45" i="71"/>
  <c r="AA44" i="71"/>
  <c r="Z44" i="71"/>
  <c r="Q44" i="71"/>
  <c r="P44" i="71"/>
  <c r="O44" i="71"/>
  <c r="N44" i="71"/>
  <c r="M44" i="71"/>
  <c r="AA43" i="71"/>
  <c r="Z43" i="71"/>
  <c r="Q43" i="71"/>
  <c r="P43" i="71"/>
  <c r="O43" i="71"/>
  <c r="N43" i="71"/>
  <c r="M43" i="71"/>
  <c r="AA42" i="71"/>
  <c r="Z42" i="71"/>
  <c r="Q42" i="71"/>
  <c r="P42" i="71"/>
  <c r="O42" i="71"/>
  <c r="N42" i="71"/>
  <c r="M42" i="71"/>
  <c r="AA41" i="71"/>
  <c r="Z41" i="71"/>
  <c r="Q41" i="71"/>
  <c r="P41" i="71"/>
  <c r="O41" i="71"/>
  <c r="N41" i="71"/>
  <c r="M41" i="71"/>
  <c r="AA40" i="71"/>
  <c r="Z40" i="71"/>
  <c r="Q40" i="71"/>
  <c r="P40" i="71"/>
  <c r="O40" i="71"/>
  <c r="N40" i="71"/>
  <c r="M40" i="71"/>
  <c r="AA39" i="71"/>
  <c r="Z39" i="71"/>
  <c r="Q39" i="71"/>
  <c r="P39" i="71"/>
  <c r="O39" i="71"/>
  <c r="N39" i="71"/>
  <c r="M39" i="71"/>
  <c r="AA38" i="71"/>
  <c r="Z38" i="71"/>
  <c r="Q38" i="71"/>
  <c r="P38" i="71"/>
  <c r="N38" i="71"/>
  <c r="J38" i="71"/>
  <c r="O38" i="71" s="1"/>
  <c r="AA37" i="71"/>
  <c r="Z37" i="71"/>
  <c r="Q37" i="71"/>
  <c r="P37" i="71"/>
  <c r="O37" i="71"/>
  <c r="N37" i="71"/>
  <c r="M37" i="71"/>
  <c r="AA36" i="71"/>
  <c r="Z36" i="71"/>
  <c r="Q36" i="71"/>
  <c r="P36" i="71"/>
  <c r="O36" i="71"/>
  <c r="N36" i="71"/>
  <c r="M36" i="71"/>
  <c r="AA35" i="71"/>
  <c r="Z35" i="71"/>
  <c r="Q35" i="71"/>
  <c r="P35" i="71"/>
  <c r="O35" i="71"/>
  <c r="N35" i="71"/>
  <c r="M35" i="71"/>
  <c r="AA34" i="71"/>
  <c r="Z34" i="71"/>
  <c r="Q34" i="71"/>
  <c r="P34" i="71"/>
  <c r="O34" i="71"/>
  <c r="N34" i="71"/>
  <c r="M34" i="71"/>
  <c r="AA33" i="71"/>
  <c r="Z33" i="71"/>
  <c r="Q33" i="71"/>
  <c r="P33" i="71"/>
  <c r="O33" i="71"/>
  <c r="N33" i="71"/>
  <c r="M33" i="71"/>
  <c r="AA32" i="71"/>
  <c r="Z32" i="71"/>
  <c r="Q32" i="71"/>
  <c r="P32" i="71"/>
  <c r="O32" i="71"/>
  <c r="N32" i="71"/>
  <c r="M32" i="71"/>
  <c r="AA31" i="71"/>
  <c r="Z31" i="71"/>
  <c r="Q31" i="71"/>
  <c r="P31" i="71"/>
  <c r="O31" i="71"/>
  <c r="N31" i="71"/>
  <c r="M31" i="71"/>
  <c r="AA30" i="71"/>
  <c r="Z30" i="71"/>
  <c r="Q30" i="71"/>
  <c r="P30" i="71"/>
  <c r="O30" i="71"/>
  <c r="N30" i="71"/>
  <c r="M30" i="71"/>
  <c r="AA29" i="71"/>
  <c r="Z29" i="71"/>
  <c r="Q29" i="71"/>
  <c r="P29" i="71"/>
  <c r="O29" i="71"/>
  <c r="N29" i="71"/>
  <c r="M29" i="71"/>
  <c r="AA28" i="71"/>
  <c r="Z28" i="71"/>
  <c r="Q28" i="71"/>
  <c r="P28" i="71"/>
  <c r="O28" i="71"/>
  <c r="N28" i="71"/>
  <c r="M28" i="71"/>
  <c r="AA27" i="71"/>
  <c r="Z27" i="71"/>
  <c r="Q27" i="71"/>
  <c r="P27" i="71"/>
  <c r="O27" i="71"/>
  <c r="N27" i="71"/>
  <c r="M27" i="71"/>
  <c r="AA26" i="71"/>
  <c r="Z26" i="71"/>
  <c r="Q26" i="71"/>
  <c r="P26" i="71"/>
  <c r="O26" i="71"/>
  <c r="N26" i="71"/>
  <c r="M26" i="71"/>
  <c r="AA25" i="71"/>
  <c r="Z25" i="71"/>
  <c r="Q25" i="71"/>
  <c r="P25" i="71"/>
  <c r="O25" i="71"/>
  <c r="N25" i="71"/>
  <c r="M25" i="71"/>
  <c r="AA24" i="71"/>
  <c r="Z24" i="71"/>
  <c r="Q24" i="71"/>
  <c r="P24" i="71"/>
  <c r="O24" i="71"/>
  <c r="N24" i="71"/>
  <c r="M24" i="71"/>
  <c r="AA23" i="71"/>
  <c r="Z23" i="71"/>
  <c r="Q23" i="71"/>
  <c r="P23" i="71"/>
  <c r="O23" i="71"/>
  <c r="N23" i="71"/>
  <c r="M23" i="71"/>
  <c r="AA22" i="71"/>
  <c r="Z22" i="71"/>
  <c r="Q22" i="71"/>
  <c r="P22" i="71"/>
  <c r="O22" i="71"/>
  <c r="N22" i="71"/>
  <c r="M22" i="71"/>
  <c r="AA21" i="71"/>
  <c r="Z21" i="71"/>
  <c r="Q21" i="71"/>
  <c r="P21" i="71"/>
  <c r="O21" i="71"/>
  <c r="N21" i="71"/>
  <c r="M21" i="71"/>
  <c r="AA20" i="71"/>
  <c r="Z20" i="71"/>
  <c r="Q20" i="71"/>
  <c r="P20" i="71"/>
  <c r="O20" i="71"/>
  <c r="N20" i="71"/>
  <c r="M20" i="71"/>
  <c r="AA19" i="71"/>
  <c r="Z19" i="71"/>
  <c r="Q19" i="71"/>
  <c r="P19" i="71"/>
  <c r="O19" i="71"/>
  <c r="N19" i="71"/>
  <c r="M19" i="71"/>
  <c r="AA18" i="71"/>
  <c r="Z18" i="71"/>
  <c r="Q18" i="71"/>
  <c r="P18" i="71"/>
  <c r="O18" i="71"/>
  <c r="N18" i="71"/>
  <c r="M18" i="71"/>
  <c r="AA17" i="71"/>
  <c r="Z17" i="71"/>
  <c r="Q17" i="71"/>
  <c r="P17" i="71"/>
  <c r="O17" i="71"/>
  <c r="N17" i="71"/>
  <c r="M17" i="71"/>
  <c r="AA16" i="71"/>
  <c r="Z16" i="71"/>
  <c r="Q16" i="71"/>
  <c r="P16" i="71"/>
  <c r="O16" i="71"/>
  <c r="N16" i="71"/>
  <c r="M16" i="71"/>
  <c r="AA15" i="71"/>
  <c r="Z15" i="71"/>
  <c r="Q15" i="71"/>
  <c r="P15" i="71"/>
  <c r="O15" i="71"/>
  <c r="N15" i="71"/>
  <c r="M15" i="71"/>
  <c r="AA14" i="71"/>
  <c r="Z14" i="71"/>
  <c r="Q14" i="71"/>
  <c r="P14" i="71"/>
  <c r="O14" i="71"/>
  <c r="N14" i="71"/>
  <c r="M14" i="71"/>
  <c r="AA13" i="71"/>
  <c r="Z13" i="71"/>
  <c r="Q13" i="71"/>
  <c r="P13" i="71"/>
  <c r="O13" i="71"/>
  <c r="N13" i="71"/>
  <c r="M13" i="71"/>
  <c r="AA12" i="71"/>
  <c r="Z12" i="71"/>
  <c r="Q12" i="71"/>
  <c r="P12" i="71"/>
  <c r="O12" i="71"/>
  <c r="N12" i="71"/>
  <c r="M12" i="71"/>
  <c r="AA11" i="71"/>
  <c r="Z11" i="71"/>
  <c r="Q11" i="71"/>
  <c r="P11" i="71"/>
  <c r="O11" i="71"/>
  <c r="N11" i="71"/>
  <c r="M11" i="71"/>
  <c r="AA10" i="71"/>
  <c r="Z10" i="71"/>
  <c r="Q10" i="71"/>
  <c r="P10" i="71"/>
  <c r="O10" i="71"/>
  <c r="N10" i="71"/>
  <c r="M10" i="71"/>
  <c r="AA9" i="71"/>
  <c r="Z9" i="71"/>
  <c r="Q9" i="71"/>
  <c r="P9" i="71"/>
  <c r="O9" i="71"/>
  <c r="N9" i="71"/>
  <c r="M9" i="71"/>
  <c r="AA8" i="71"/>
  <c r="Z8" i="71"/>
  <c r="Q8" i="71"/>
  <c r="P8" i="71"/>
  <c r="O8" i="71"/>
  <c r="N8" i="71"/>
  <c r="M8" i="71"/>
  <c r="AA7" i="71"/>
  <c r="Z7" i="71"/>
  <c r="Q7" i="71"/>
  <c r="P7" i="71"/>
  <c r="O7" i="71"/>
  <c r="N7" i="71"/>
  <c r="M7" i="71"/>
  <c r="AA6" i="71"/>
  <c r="Z6" i="71"/>
  <c r="Q6" i="71"/>
  <c r="P6" i="71"/>
  <c r="O6" i="71"/>
  <c r="N6" i="71"/>
  <c r="M6" i="71"/>
  <c r="AM5" i="71"/>
  <c r="AL5" i="71"/>
  <c r="AK5" i="71"/>
  <c r="AJ5" i="71"/>
  <c r="AI5" i="71"/>
  <c r="AH5" i="71"/>
  <c r="AG5" i="71"/>
  <c r="AF5" i="71"/>
  <c r="AE5" i="71"/>
  <c r="AD5" i="71"/>
  <c r="AC5" i="71"/>
  <c r="AB5" i="71"/>
  <c r="AA5" i="71"/>
  <c r="Z5" i="71"/>
  <c r="Y5" i="71"/>
  <c r="X5" i="71"/>
  <c r="W5" i="71"/>
  <c r="V5" i="71"/>
  <c r="U5" i="71"/>
  <c r="T5" i="71"/>
  <c r="S5" i="71"/>
  <c r="R5" i="71"/>
  <c r="Q5" i="71"/>
  <c r="P5" i="71"/>
  <c r="O5" i="71"/>
  <c r="N5" i="71"/>
  <c r="L5" i="71"/>
  <c r="K5" i="71"/>
  <c r="J5" i="71"/>
  <c r="I5" i="71"/>
  <c r="H5" i="71"/>
  <c r="G5" i="71"/>
  <c r="F5" i="71"/>
  <c r="E5" i="71"/>
  <c r="D5" i="71"/>
  <c r="C5" i="71"/>
  <c r="B5" i="71"/>
  <c r="A5" i="71"/>
  <c r="AA4" i="71"/>
  <c r="Z4" i="71"/>
  <c r="AA3" i="71"/>
  <c r="Z3" i="71"/>
  <c r="M463" i="69"/>
  <c r="C460" i="72" s="1"/>
  <c r="I460" i="72" s="1"/>
  <c r="AN5" i="69"/>
  <c r="AM5" i="69"/>
  <c r="AL5" i="69"/>
  <c r="AK5" i="69"/>
  <c r="AJ5" i="69"/>
  <c r="AI5" i="69"/>
  <c r="AH5" i="69"/>
  <c r="AG5" i="69"/>
  <c r="AF5" i="69"/>
  <c r="AE5" i="69"/>
  <c r="AD5" i="69"/>
  <c r="AC5" i="69"/>
  <c r="AB5" i="69"/>
  <c r="AA5" i="69"/>
  <c r="Z5" i="69"/>
  <c r="Y5" i="69"/>
  <c r="X5" i="69"/>
  <c r="V5" i="69"/>
  <c r="U5" i="69"/>
  <c r="T5" i="69"/>
  <c r="S5" i="69"/>
  <c r="R5" i="69"/>
  <c r="D2" i="72" s="1"/>
  <c r="Q5" i="69"/>
  <c r="P5" i="69"/>
  <c r="O5" i="69"/>
  <c r="N5" i="69"/>
  <c r="L5" i="69"/>
  <c r="K5" i="69"/>
  <c r="J5" i="69"/>
  <c r="I5" i="69"/>
  <c r="H5" i="69"/>
  <c r="G5" i="69"/>
  <c r="F5" i="69"/>
  <c r="E5" i="69"/>
  <c r="D5" i="69"/>
  <c r="G2" i="72" s="1"/>
  <c r="C5" i="69"/>
  <c r="B2" i="72" s="1"/>
  <c r="B5" i="69"/>
  <c r="A5" i="69"/>
  <c r="AB463" i="69"/>
  <c r="H460" i="72" s="1"/>
  <c r="AA463" i="69"/>
  <c r="F460" i="72" s="1"/>
  <c r="Q463" i="69"/>
  <c r="P463" i="69"/>
  <c r="O463" i="69"/>
  <c r="N463" i="69"/>
  <c r="AB4" i="69"/>
  <c r="AA4" i="69"/>
  <c r="AB3" i="69"/>
  <c r="AA3" i="69"/>
  <c r="M38" i="71" l="1"/>
  <c r="R122" i="71"/>
  <c r="R132" i="71"/>
  <c r="R140" i="71"/>
  <c r="R148" i="71"/>
  <c r="R164" i="71"/>
  <c r="R172" i="71"/>
  <c r="R205" i="71"/>
  <c r="R207" i="71"/>
  <c r="R211" i="71"/>
  <c r="P114" i="71"/>
  <c r="R114" i="71" s="1"/>
  <c r="R421" i="71"/>
  <c r="R429" i="71"/>
  <c r="R437" i="71"/>
  <c r="R449" i="71"/>
  <c r="R457" i="71"/>
  <c r="R465" i="71"/>
  <c r="R12" i="71"/>
  <c r="R20" i="71"/>
  <c r="R28" i="71"/>
  <c r="R36" i="71"/>
  <c r="R53" i="71"/>
  <c r="R162" i="71"/>
  <c r="R170" i="71"/>
  <c r="R178" i="71"/>
  <c r="R225" i="71"/>
  <c r="R233" i="71"/>
  <c r="R234" i="71"/>
  <c r="R276" i="71"/>
  <c r="R284" i="71"/>
  <c r="R295" i="71"/>
  <c r="R303" i="71"/>
  <c r="R311" i="71"/>
  <c r="R319" i="71"/>
  <c r="R326" i="71"/>
  <c r="R334" i="71"/>
  <c r="R361" i="71"/>
  <c r="R369" i="71"/>
  <c r="R377" i="71"/>
  <c r="R385" i="71"/>
  <c r="R394" i="71"/>
  <c r="R406" i="71"/>
  <c r="R11" i="71"/>
  <c r="R19" i="71"/>
  <c r="R27" i="71"/>
  <c r="R35" i="71"/>
  <c r="R44" i="71"/>
  <c r="R52" i="71"/>
  <c r="R60" i="71"/>
  <c r="R61" i="71"/>
  <c r="R69" i="71"/>
  <c r="R77" i="71"/>
  <c r="R85" i="71"/>
  <c r="R93" i="71"/>
  <c r="M98" i="71"/>
  <c r="R119" i="71"/>
  <c r="R161" i="71"/>
  <c r="R169" i="71"/>
  <c r="R177" i="71"/>
  <c r="R186" i="71"/>
  <c r="R193" i="71"/>
  <c r="R250" i="71"/>
  <c r="R258" i="71"/>
  <c r="R266" i="71"/>
  <c r="R275" i="71"/>
  <c r="R283" i="71"/>
  <c r="R291" i="71"/>
  <c r="R294" i="71"/>
  <c r="R302" i="71"/>
  <c r="R310" i="71"/>
  <c r="R318" i="71"/>
  <c r="R325" i="71"/>
  <c r="R343" i="71"/>
  <c r="R351" i="71"/>
  <c r="R360" i="71"/>
  <c r="R368" i="71"/>
  <c r="R376" i="71"/>
  <c r="R384" i="71"/>
  <c r="R392" i="71"/>
  <c r="R43" i="71"/>
  <c r="R197" i="71"/>
  <c r="R282" i="71"/>
  <c r="R290" i="71"/>
  <c r="R292" i="71"/>
  <c r="R309" i="71"/>
  <c r="R324" i="71"/>
  <c r="R332" i="71"/>
  <c r="R359" i="71"/>
  <c r="R367" i="71"/>
  <c r="R375" i="71"/>
  <c r="R383" i="71"/>
  <c r="R391" i="71"/>
  <c r="R400" i="71"/>
  <c r="R401" i="71"/>
  <c r="R403" i="71"/>
  <c r="R404" i="71"/>
  <c r="R412" i="71"/>
  <c r="R17" i="71"/>
  <c r="R25" i="71"/>
  <c r="R33" i="71"/>
  <c r="R42" i="71"/>
  <c r="R50" i="71"/>
  <c r="R58" i="71"/>
  <c r="R67" i="71"/>
  <c r="R75" i="71"/>
  <c r="R83" i="71"/>
  <c r="R91" i="71"/>
  <c r="R256" i="71"/>
  <c r="R300" i="71"/>
  <c r="R308" i="71"/>
  <c r="R316" i="71"/>
  <c r="R425" i="71"/>
  <c r="R433" i="71"/>
  <c r="M106" i="71"/>
  <c r="M107" i="71"/>
  <c r="M113" i="71"/>
  <c r="R10" i="71"/>
  <c r="R18" i="71"/>
  <c r="R26" i="71"/>
  <c r="R34" i="71"/>
  <c r="R51" i="71"/>
  <c r="R59" i="71"/>
  <c r="R68" i="71"/>
  <c r="R76" i="71"/>
  <c r="R84" i="71"/>
  <c r="R92" i="71"/>
  <c r="R100" i="71"/>
  <c r="R121" i="71"/>
  <c r="R131" i="71"/>
  <c r="R139" i="71"/>
  <c r="R147" i="71"/>
  <c r="R163" i="71"/>
  <c r="R171" i="71"/>
  <c r="R179" i="71"/>
  <c r="R180" i="71"/>
  <c r="R188" i="71"/>
  <c r="R209" i="71"/>
  <c r="R223" i="71"/>
  <c r="R231" i="71"/>
  <c r="R273" i="71"/>
  <c r="R274" i="71"/>
  <c r="R293" i="71"/>
  <c r="R301" i="71"/>
  <c r="R317" i="71"/>
  <c r="R340" i="71"/>
  <c r="R341" i="71"/>
  <c r="R419" i="71"/>
  <c r="R427" i="71"/>
  <c r="R435" i="71"/>
  <c r="R455" i="71"/>
  <c r="R463" i="71"/>
  <c r="R9" i="71"/>
  <c r="R248" i="71"/>
  <c r="R264" i="71"/>
  <c r="R272" i="71"/>
  <c r="R281" i="71"/>
  <c r="R289" i="71"/>
  <c r="R349" i="71"/>
  <c r="R358" i="71"/>
  <c r="R366" i="71"/>
  <c r="R374" i="71"/>
  <c r="R382" i="71"/>
  <c r="R390" i="71"/>
  <c r="M418" i="71"/>
  <c r="R8" i="71"/>
  <c r="R16" i="71"/>
  <c r="R24" i="71"/>
  <c r="R32" i="71"/>
  <c r="R41" i="71"/>
  <c r="R49" i="71"/>
  <c r="R57" i="71"/>
  <c r="R66" i="71"/>
  <c r="R74" i="71"/>
  <c r="R98" i="71"/>
  <c r="M104" i="71"/>
  <c r="M111" i="71"/>
  <c r="R129" i="71"/>
  <c r="R137" i="71"/>
  <c r="R145" i="71"/>
  <c r="R244" i="71"/>
  <c r="R245" i="71"/>
  <c r="R246" i="71"/>
  <c r="R271" i="71"/>
  <c r="R280" i="71"/>
  <c r="R288" i="71"/>
  <c r="R307" i="71"/>
  <c r="R315" i="71"/>
  <c r="R330" i="71"/>
  <c r="R338" i="71"/>
  <c r="R357" i="71"/>
  <c r="R365" i="71"/>
  <c r="R373" i="71"/>
  <c r="R381" i="71"/>
  <c r="R389" i="71"/>
  <c r="R398" i="71"/>
  <c r="R453" i="71"/>
  <c r="R461" i="71"/>
  <c r="R7" i="71"/>
  <c r="R15" i="71"/>
  <c r="R23" i="71"/>
  <c r="R31" i="71"/>
  <c r="R40" i="71"/>
  <c r="R48" i="71"/>
  <c r="R56" i="71"/>
  <c r="R65" i="71"/>
  <c r="R73" i="71"/>
  <c r="R81" i="71"/>
  <c r="R89" i="71"/>
  <c r="M96" i="71"/>
  <c r="R118" i="71"/>
  <c r="R127" i="71"/>
  <c r="R128" i="71"/>
  <c r="R136" i="71"/>
  <c r="R144" i="71"/>
  <c r="R152" i="71"/>
  <c r="R154" i="71"/>
  <c r="R155" i="71"/>
  <c r="R156" i="71"/>
  <c r="R158" i="71"/>
  <c r="R159" i="71"/>
  <c r="R168" i="71"/>
  <c r="R176" i="71"/>
  <c r="R192" i="71"/>
  <c r="R194" i="71"/>
  <c r="R203" i="71"/>
  <c r="R212" i="71"/>
  <c r="R242" i="71"/>
  <c r="R254" i="71"/>
  <c r="R262" i="71"/>
  <c r="R270" i="71"/>
  <c r="R279" i="71"/>
  <c r="R287" i="71"/>
  <c r="R298" i="71"/>
  <c r="R306" i="71"/>
  <c r="R314" i="71"/>
  <c r="R322" i="71"/>
  <c r="R347" i="71"/>
  <c r="R356" i="71"/>
  <c r="R364" i="71"/>
  <c r="R372" i="71"/>
  <c r="R380" i="71"/>
  <c r="R388" i="71"/>
  <c r="R416" i="71"/>
  <c r="R6" i="71"/>
  <c r="R14" i="71"/>
  <c r="R22" i="71"/>
  <c r="R30" i="71"/>
  <c r="R39" i="71"/>
  <c r="R47" i="71"/>
  <c r="R55" i="71"/>
  <c r="R64" i="71"/>
  <c r="R72" i="71"/>
  <c r="R80" i="71"/>
  <c r="R88" i="71"/>
  <c r="R96" i="71"/>
  <c r="M109" i="71"/>
  <c r="R117" i="71"/>
  <c r="R135" i="71"/>
  <c r="R143" i="71"/>
  <c r="R151" i="71"/>
  <c r="R167" i="71"/>
  <c r="R175" i="71"/>
  <c r="R184" i="71"/>
  <c r="R191" i="71"/>
  <c r="R195" i="71"/>
  <c r="R201" i="71"/>
  <c r="R213" i="71"/>
  <c r="R214" i="71"/>
  <c r="R215" i="71"/>
  <c r="R217" i="71"/>
  <c r="R218" i="71"/>
  <c r="R219" i="71"/>
  <c r="R227" i="71"/>
  <c r="R240" i="71"/>
  <c r="R269" i="71"/>
  <c r="R278" i="71"/>
  <c r="R286" i="71"/>
  <c r="R297" i="71"/>
  <c r="R305" i="71"/>
  <c r="R313" i="71"/>
  <c r="R321" i="71"/>
  <c r="R328" i="71"/>
  <c r="R336" i="71"/>
  <c r="R355" i="71"/>
  <c r="R363" i="71"/>
  <c r="R371" i="71"/>
  <c r="R379" i="71"/>
  <c r="R387" i="71"/>
  <c r="R396" i="71"/>
  <c r="R408" i="71"/>
  <c r="R415" i="71"/>
  <c r="R423" i="71"/>
  <c r="R431" i="71"/>
  <c r="R451" i="71"/>
  <c r="R459" i="71"/>
  <c r="R13" i="71"/>
  <c r="R21" i="71"/>
  <c r="R29" i="71"/>
  <c r="R37" i="71"/>
  <c r="R38" i="71"/>
  <c r="R46" i="71"/>
  <c r="R54" i="71"/>
  <c r="R63" i="71"/>
  <c r="R71" i="71"/>
  <c r="R79" i="71"/>
  <c r="R87" i="71"/>
  <c r="M102" i="71"/>
  <c r="P110" i="71"/>
  <c r="R110" i="71" s="1"/>
  <c r="R124" i="71"/>
  <c r="R125" i="71"/>
  <c r="R134" i="71"/>
  <c r="R142" i="71"/>
  <c r="R150" i="71"/>
  <c r="R166" i="71"/>
  <c r="R174" i="71"/>
  <c r="R190" i="71"/>
  <c r="R196" i="71"/>
  <c r="R199" i="71"/>
  <c r="R200" i="71"/>
  <c r="R235" i="71"/>
  <c r="R237" i="71"/>
  <c r="R238" i="71"/>
  <c r="R239" i="71"/>
  <c r="R252" i="71"/>
  <c r="R260" i="71"/>
  <c r="R268" i="71"/>
  <c r="R277" i="71"/>
  <c r="R285" i="71"/>
  <c r="R296" i="71"/>
  <c r="R304" i="71"/>
  <c r="R312" i="71"/>
  <c r="R320" i="71"/>
  <c r="R345" i="71"/>
  <c r="R353" i="71"/>
  <c r="R354" i="71"/>
  <c r="R362" i="71"/>
  <c r="R370" i="71"/>
  <c r="R378" i="71"/>
  <c r="R386" i="71"/>
  <c r="R414" i="71"/>
  <c r="I34" i="72"/>
  <c r="I26" i="72"/>
  <c r="I18" i="72"/>
  <c r="I10" i="72"/>
  <c r="J27" i="72"/>
  <c r="I346" i="72"/>
  <c r="I338" i="72"/>
  <c r="I330" i="72"/>
  <c r="I322" i="72"/>
  <c r="I314" i="72"/>
  <c r="I305" i="72"/>
  <c r="I297" i="72"/>
  <c r="I289" i="72"/>
  <c r="I281" i="72"/>
  <c r="I273" i="72"/>
  <c r="I265" i="72"/>
  <c r="I257" i="72"/>
  <c r="I249" i="72"/>
  <c r="I241" i="72"/>
  <c r="I233" i="72"/>
  <c r="I225" i="72"/>
  <c r="I217" i="72"/>
  <c r="I209" i="72"/>
  <c r="I201" i="72"/>
  <c r="I193" i="72"/>
  <c r="I185" i="72"/>
  <c r="I177" i="72"/>
  <c r="I169" i="72"/>
  <c r="I161" i="72"/>
  <c r="I153" i="72"/>
  <c r="J11" i="72"/>
  <c r="I452" i="72"/>
  <c r="I444" i="72"/>
  <c r="J35" i="72"/>
  <c r="J19" i="72"/>
  <c r="J3" i="72"/>
  <c r="L460" i="72"/>
  <c r="J426" i="72"/>
  <c r="J418" i="72"/>
  <c r="J410" i="72"/>
  <c r="J402" i="72"/>
  <c r="J394" i="72"/>
  <c r="J386" i="72"/>
  <c r="J378" i="72"/>
  <c r="J370" i="72"/>
  <c r="J362" i="72"/>
  <c r="J354" i="72"/>
  <c r="J346" i="72"/>
  <c r="J338" i="72"/>
  <c r="J330" i="72"/>
  <c r="J322" i="72"/>
  <c r="J314" i="72"/>
  <c r="J305" i="72"/>
  <c r="J297" i="72"/>
  <c r="J289" i="72"/>
  <c r="J281" i="72"/>
  <c r="J273" i="72"/>
  <c r="J265" i="72"/>
  <c r="J257" i="72"/>
  <c r="J249" i="72"/>
  <c r="J241" i="72"/>
  <c r="J233" i="72"/>
  <c r="J225" i="72"/>
  <c r="J217" i="72"/>
  <c r="J209" i="72"/>
  <c r="J201" i="72"/>
  <c r="J193" i="72"/>
  <c r="J185" i="72"/>
  <c r="J177" i="72"/>
  <c r="J169" i="72"/>
  <c r="J161" i="72"/>
  <c r="J153" i="72"/>
  <c r="J145" i="72"/>
  <c r="J137" i="72"/>
  <c r="J122" i="72"/>
  <c r="J114" i="72"/>
  <c r="J106" i="72"/>
  <c r="J98" i="72"/>
  <c r="J91" i="72"/>
  <c r="J83" i="72"/>
  <c r="J75" i="72"/>
  <c r="J67" i="72"/>
  <c r="J59" i="72"/>
  <c r="J52" i="72"/>
  <c r="J44" i="72"/>
  <c r="J37" i="72"/>
  <c r="J21" i="72"/>
  <c r="J13" i="72"/>
  <c r="J5" i="72"/>
  <c r="I431" i="72"/>
  <c r="I423" i="72"/>
  <c r="I415" i="72"/>
  <c r="I407" i="72"/>
  <c r="I399" i="72"/>
  <c r="I391" i="72"/>
  <c r="I383" i="72"/>
  <c r="I375" i="72"/>
  <c r="I367" i="72"/>
  <c r="I359" i="72"/>
  <c r="I351" i="72"/>
  <c r="I343" i="72"/>
  <c r="I335" i="72"/>
  <c r="I327" i="72"/>
  <c r="I319" i="72"/>
  <c r="I311" i="72"/>
  <c r="I302" i="72"/>
  <c r="I294" i="72"/>
  <c r="I286" i="72"/>
  <c r="I278" i="72"/>
  <c r="I270" i="72"/>
  <c r="I262" i="72"/>
  <c r="I254" i="72"/>
  <c r="I246" i="72"/>
  <c r="I238" i="72"/>
  <c r="I230" i="72"/>
  <c r="I222" i="72"/>
  <c r="I214" i="72"/>
  <c r="I206" i="72"/>
  <c r="I198" i="72"/>
  <c r="I190" i="72"/>
  <c r="I182" i="72"/>
  <c r="I174" i="72"/>
  <c r="I166" i="72"/>
  <c r="I158" i="72"/>
  <c r="I150" i="72"/>
  <c r="I142" i="72"/>
  <c r="I134" i="72"/>
  <c r="I127" i="72"/>
  <c r="I119" i="72"/>
  <c r="I111" i="72"/>
  <c r="I103" i="72"/>
  <c r="I88" i="72"/>
  <c r="I80" i="72"/>
  <c r="I72" i="72"/>
  <c r="I64" i="72"/>
  <c r="I49" i="72"/>
  <c r="I41" i="72"/>
  <c r="J29" i="72"/>
  <c r="J452" i="72"/>
  <c r="J444" i="72"/>
  <c r="J34" i="72"/>
  <c r="J26" i="72"/>
  <c r="J18" i="72"/>
  <c r="J10" i="72"/>
  <c r="I426" i="72"/>
  <c r="I418" i="72"/>
  <c r="I410" i="72"/>
  <c r="I402" i="72"/>
  <c r="I394" i="72"/>
  <c r="I386" i="72"/>
  <c r="I378" i="72"/>
  <c r="I370" i="72"/>
  <c r="I362" i="72"/>
  <c r="I354" i="72"/>
  <c r="I145" i="72"/>
  <c r="I137" i="72"/>
  <c r="I122" i="72"/>
  <c r="I114" i="72"/>
  <c r="I106" i="72"/>
  <c r="I98" i="72"/>
  <c r="I91" i="72"/>
  <c r="I83" i="72"/>
  <c r="I75" i="72"/>
  <c r="I67" i="72"/>
  <c r="I59" i="72"/>
  <c r="I52" i="72"/>
  <c r="I44" i="72"/>
  <c r="I429" i="72"/>
  <c r="I421" i="72"/>
  <c r="I413" i="72"/>
  <c r="I405" i="72"/>
  <c r="I397" i="72"/>
  <c r="I389" i="72"/>
  <c r="I381" i="72"/>
  <c r="I373" i="72"/>
  <c r="I365" i="72"/>
  <c r="I357" i="72"/>
  <c r="I349" i="72"/>
  <c r="I341" i="72"/>
  <c r="I333" i="72"/>
  <c r="I325" i="72"/>
  <c r="I317" i="72"/>
  <c r="I309" i="72"/>
  <c r="I300" i="72"/>
  <c r="I292" i="72"/>
  <c r="I284" i="72"/>
  <c r="I276" i="72"/>
  <c r="I268" i="72"/>
  <c r="I260" i="72"/>
  <c r="I252" i="72"/>
  <c r="I244" i="72"/>
  <c r="I236" i="72"/>
  <c r="I228" i="72"/>
  <c r="I220" i="72"/>
  <c r="I212" i="72"/>
  <c r="I204" i="72"/>
  <c r="I196" i="72"/>
  <c r="I188" i="72"/>
  <c r="I180" i="72"/>
  <c r="I172" i="72"/>
  <c r="I164" i="72"/>
  <c r="I156" i="72"/>
  <c r="I148" i="72"/>
  <c r="I140" i="72"/>
  <c r="I132" i="72"/>
  <c r="I125" i="72"/>
  <c r="I117" i="72"/>
  <c r="I109" i="72"/>
  <c r="I101" i="72"/>
  <c r="I94" i="72"/>
  <c r="I86" i="72"/>
  <c r="I78" i="72"/>
  <c r="I70" i="72"/>
  <c r="I62" i="72"/>
  <c r="I55" i="72"/>
  <c r="I47" i="72"/>
  <c r="I31" i="72"/>
  <c r="I23" i="72"/>
  <c r="I15" i="72"/>
  <c r="I7" i="72"/>
  <c r="I457" i="72"/>
  <c r="I449" i="72"/>
  <c r="J431" i="72"/>
  <c r="J423" i="72"/>
  <c r="J415" i="72"/>
  <c r="J407" i="72"/>
  <c r="J399" i="72"/>
  <c r="J391" i="72"/>
  <c r="J383" i="72"/>
  <c r="J375" i="72"/>
  <c r="J367" i="72"/>
  <c r="J359" i="72"/>
  <c r="J351" i="72"/>
  <c r="J343" i="72"/>
  <c r="J335" i="72"/>
  <c r="J327" i="72"/>
  <c r="J319" i="72"/>
  <c r="J311" i="72"/>
  <c r="J302" i="72"/>
  <c r="J294" i="72"/>
  <c r="J286" i="72"/>
  <c r="J278" i="72"/>
  <c r="J270" i="72"/>
  <c r="J262" i="72"/>
  <c r="J254" i="72"/>
  <c r="J246" i="72"/>
  <c r="J238" i="72"/>
  <c r="J230" i="72"/>
  <c r="J222" i="72"/>
  <c r="J214" i="72"/>
  <c r="J206" i="72"/>
  <c r="J198" i="72"/>
  <c r="J190" i="72"/>
  <c r="J182" i="72"/>
  <c r="J174" i="72"/>
  <c r="J166" i="72"/>
  <c r="J158" i="72"/>
  <c r="J150" i="72"/>
  <c r="J142" i="72"/>
  <c r="J134" i="72"/>
  <c r="J127" i="72"/>
  <c r="J119" i="72"/>
  <c r="J111" i="72"/>
  <c r="J103" i="72"/>
  <c r="J88" i="72"/>
  <c r="J80" i="72"/>
  <c r="J72" i="72"/>
  <c r="J64" i="72"/>
  <c r="J49" i="72"/>
  <c r="J41" i="72"/>
  <c r="I37" i="72"/>
  <c r="I29" i="72"/>
  <c r="I21" i="72"/>
  <c r="I13" i="72"/>
  <c r="I5" i="72"/>
  <c r="I455" i="72"/>
  <c r="I447" i="72"/>
  <c r="J457" i="72"/>
  <c r="J449" i="72"/>
  <c r="J429" i="72"/>
  <c r="J421" i="72"/>
  <c r="J413" i="72"/>
  <c r="J405" i="72"/>
  <c r="J397" i="72"/>
  <c r="J389" i="72"/>
  <c r="J381" i="72"/>
  <c r="J373" i="72"/>
  <c r="J365" i="72"/>
  <c r="J357" i="72"/>
  <c r="J349" i="72"/>
  <c r="J341" i="72"/>
  <c r="J333" i="72"/>
  <c r="J325" i="72"/>
  <c r="J317" i="72"/>
  <c r="J309" i="72"/>
  <c r="J300" i="72"/>
  <c r="J292" i="72"/>
  <c r="J284" i="72"/>
  <c r="J276" i="72"/>
  <c r="J268" i="72"/>
  <c r="J260" i="72"/>
  <c r="J252" i="72"/>
  <c r="J244" i="72"/>
  <c r="J236" i="72"/>
  <c r="J228" i="72"/>
  <c r="J220" i="72"/>
  <c r="J212" i="72"/>
  <c r="J204" i="72"/>
  <c r="J196" i="72"/>
  <c r="J188" i="72"/>
  <c r="J180" i="72"/>
  <c r="J172" i="72"/>
  <c r="J164" i="72"/>
  <c r="J156" i="72"/>
  <c r="J148" i="72"/>
  <c r="J140" i="72"/>
  <c r="J132" i="72"/>
  <c r="J125" i="72"/>
  <c r="J117" i="72"/>
  <c r="J109" i="72"/>
  <c r="J101" i="72"/>
  <c r="J94" i="72"/>
  <c r="J86" i="72"/>
  <c r="J78" i="72"/>
  <c r="J70" i="72"/>
  <c r="J62" i="72"/>
  <c r="J55" i="72"/>
  <c r="J47" i="72"/>
  <c r="J31" i="72"/>
  <c r="J23" i="72"/>
  <c r="J15" i="72"/>
  <c r="J7" i="72"/>
  <c r="J455" i="72"/>
  <c r="J447" i="72"/>
  <c r="L274" i="72"/>
  <c r="I427" i="72"/>
  <c r="I419" i="72"/>
  <c r="I411" i="72"/>
  <c r="I403" i="72"/>
  <c r="I395" i="72"/>
  <c r="I387" i="72"/>
  <c r="I379" i="72"/>
  <c r="I371" i="72"/>
  <c r="I363" i="72"/>
  <c r="I355" i="72"/>
  <c r="I347" i="72"/>
  <c r="I339" i="72"/>
  <c r="I331" i="72"/>
  <c r="I323" i="72"/>
  <c r="I315" i="72"/>
  <c r="I306" i="72"/>
  <c r="I298" i="72"/>
  <c r="I290" i="72"/>
  <c r="I282" i="72"/>
  <c r="I274" i="72"/>
  <c r="I266" i="72"/>
  <c r="I258" i="72"/>
  <c r="I250" i="72"/>
  <c r="I242" i="72"/>
  <c r="I234" i="72"/>
  <c r="I226" i="72"/>
  <c r="I218" i="72"/>
  <c r="I210" i="72"/>
  <c r="I202" i="72"/>
  <c r="I194" i="72"/>
  <c r="I186" i="72"/>
  <c r="I178" i="72"/>
  <c r="I170" i="72"/>
  <c r="I162" i="72"/>
  <c r="I154" i="72"/>
  <c r="I146" i="72"/>
  <c r="I138" i="72"/>
  <c r="I130" i="72"/>
  <c r="I123" i="72"/>
  <c r="I115" i="72"/>
  <c r="I107" i="72"/>
  <c r="I99" i="72"/>
  <c r="I92" i="72"/>
  <c r="I84" i="72"/>
  <c r="I76" i="72"/>
  <c r="I68" i="72"/>
  <c r="I60" i="72"/>
  <c r="I53" i="72"/>
  <c r="I45" i="72"/>
  <c r="I35" i="72"/>
  <c r="I27" i="72"/>
  <c r="I19" i="72"/>
  <c r="I11" i="72"/>
  <c r="I3" i="72"/>
  <c r="I453" i="72"/>
  <c r="I445" i="72"/>
  <c r="J427" i="72"/>
  <c r="J419" i="72"/>
  <c r="J411" i="72"/>
  <c r="J403" i="72"/>
  <c r="J395" i="72"/>
  <c r="J387" i="72"/>
  <c r="J379" i="72"/>
  <c r="J371" i="72"/>
  <c r="J363" i="72"/>
  <c r="J355" i="72"/>
  <c r="J347" i="72"/>
  <c r="J339" i="72"/>
  <c r="J331" i="72"/>
  <c r="J323" i="72"/>
  <c r="J315" i="72"/>
  <c r="J306" i="72"/>
  <c r="J298" i="72"/>
  <c r="J290" i="72"/>
  <c r="J282" i="72"/>
  <c r="J274" i="72"/>
  <c r="J266" i="72"/>
  <c r="J258" i="72"/>
  <c r="J250" i="72"/>
  <c r="J242" i="72"/>
  <c r="J234" i="72"/>
  <c r="J226" i="72"/>
  <c r="J218" i="72"/>
  <c r="J210" i="72"/>
  <c r="J202" i="72"/>
  <c r="J194" i="72"/>
  <c r="J186" i="72"/>
  <c r="J178" i="72"/>
  <c r="J170" i="72"/>
  <c r="J162" i="72"/>
  <c r="J154" i="72"/>
  <c r="J146" i="72"/>
  <c r="J138" i="72"/>
  <c r="J130" i="72"/>
  <c r="J123" i="72"/>
  <c r="J115" i="72"/>
  <c r="J107" i="72"/>
  <c r="J99" i="72"/>
  <c r="J92" i="72"/>
  <c r="J84" i="72"/>
  <c r="J76" i="72"/>
  <c r="J68" i="72"/>
  <c r="J60" i="72"/>
  <c r="J53" i="72"/>
  <c r="J45" i="72"/>
  <c r="J453" i="72"/>
  <c r="J445" i="72"/>
  <c r="K183" i="72"/>
  <c r="K428" i="72"/>
  <c r="K332" i="72"/>
  <c r="K267" i="72"/>
  <c r="K423" i="72"/>
  <c r="K391" i="72"/>
  <c r="K359" i="72"/>
  <c r="K327" i="72"/>
  <c r="K294" i="72"/>
  <c r="K262" i="72"/>
  <c r="K230" i="72"/>
  <c r="K175" i="72"/>
  <c r="K19" i="72"/>
  <c r="L242" i="72"/>
  <c r="I428" i="72"/>
  <c r="I420" i="72"/>
  <c r="I412" i="72"/>
  <c r="I404" i="72"/>
  <c r="I396" i="72"/>
  <c r="I388" i="72"/>
  <c r="I380" i="72"/>
  <c r="I372" i="72"/>
  <c r="I364" i="72"/>
  <c r="I356" i="72"/>
  <c r="I348" i="72"/>
  <c r="I340" i="72"/>
  <c r="I332" i="72"/>
  <c r="I324" i="72"/>
  <c r="I316" i="72"/>
  <c r="I307" i="72"/>
  <c r="I299" i="72"/>
  <c r="I291" i="72"/>
  <c r="I283" i="72"/>
  <c r="I275" i="72"/>
  <c r="I267" i="72"/>
  <c r="I259" i="72"/>
  <c r="I251" i="72"/>
  <c r="I243" i="72"/>
  <c r="I235" i="72"/>
  <c r="I227" i="72"/>
  <c r="I219" i="72"/>
  <c r="I211" i="72"/>
  <c r="I203" i="72"/>
  <c r="I195" i="72"/>
  <c r="I187" i="72"/>
  <c r="I179" i="72"/>
  <c r="I171" i="72"/>
  <c r="I163" i="72"/>
  <c r="I155" i="72"/>
  <c r="I147" i="72"/>
  <c r="I139" i="72"/>
  <c r="I131" i="72"/>
  <c r="I124" i="72"/>
  <c r="I116" i="72"/>
  <c r="I108" i="72"/>
  <c r="I100" i="72"/>
  <c r="I93" i="72"/>
  <c r="I85" i="72"/>
  <c r="I77" i="72"/>
  <c r="I69" i="72"/>
  <c r="I61" i="72"/>
  <c r="I54" i="72"/>
  <c r="I46" i="72"/>
  <c r="K420" i="72"/>
  <c r="K388" i="72"/>
  <c r="K356" i="72"/>
  <c r="K324" i="72"/>
  <c r="K291" i="72"/>
  <c r="K259" i="72"/>
  <c r="K227" i="72"/>
  <c r="K168" i="72"/>
  <c r="K455" i="72"/>
  <c r="L210" i="72"/>
  <c r="L29" i="72"/>
  <c r="K415" i="72"/>
  <c r="K383" i="72"/>
  <c r="K351" i="72"/>
  <c r="K319" i="72"/>
  <c r="K286" i="72"/>
  <c r="K254" i="72"/>
  <c r="K222" i="72"/>
  <c r="K139" i="72"/>
  <c r="K444" i="72"/>
  <c r="L178" i="72"/>
  <c r="L8" i="72"/>
  <c r="I36" i="72"/>
  <c r="I28" i="72"/>
  <c r="I20" i="72"/>
  <c r="I12" i="72"/>
  <c r="I4" i="72"/>
  <c r="I454" i="72"/>
  <c r="I446" i="72"/>
  <c r="K412" i="72"/>
  <c r="K380" i="72"/>
  <c r="K348" i="72"/>
  <c r="K316" i="72"/>
  <c r="K283" i="72"/>
  <c r="K251" i="72"/>
  <c r="K219" i="72"/>
  <c r="K108" i="72"/>
  <c r="L403" i="72"/>
  <c r="L146" i="72"/>
  <c r="L453" i="72"/>
  <c r="K364" i="72"/>
  <c r="K299" i="72"/>
  <c r="K235" i="72"/>
  <c r="J428" i="72"/>
  <c r="J420" i="72"/>
  <c r="J412" i="72"/>
  <c r="J404" i="72"/>
  <c r="J396" i="72"/>
  <c r="J388" i="72"/>
  <c r="J380" i="72"/>
  <c r="J372" i="72"/>
  <c r="J364" i="72"/>
  <c r="J356" i="72"/>
  <c r="J348" i="72"/>
  <c r="J340" i="72"/>
  <c r="J332" i="72"/>
  <c r="J324" i="72"/>
  <c r="J316" i="72"/>
  <c r="J307" i="72"/>
  <c r="J299" i="72"/>
  <c r="J291" i="72"/>
  <c r="J283" i="72"/>
  <c r="J275" i="72"/>
  <c r="J267" i="72"/>
  <c r="J259" i="72"/>
  <c r="J251" i="72"/>
  <c r="J243" i="72"/>
  <c r="J235" i="72"/>
  <c r="J227" i="72"/>
  <c r="J219" i="72"/>
  <c r="J211" i="72"/>
  <c r="J203" i="72"/>
  <c r="J195" i="72"/>
  <c r="J187" i="72"/>
  <c r="J179" i="72"/>
  <c r="J171" i="72"/>
  <c r="J163" i="72"/>
  <c r="J155" i="72"/>
  <c r="J147" i="72"/>
  <c r="J139" i="72"/>
  <c r="J131" i="72"/>
  <c r="J124" i="72"/>
  <c r="J116" i="72"/>
  <c r="J108" i="72"/>
  <c r="J100" i="72"/>
  <c r="J93" i="72"/>
  <c r="J85" i="72"/>
  <c r="J77" i="72"/>
  <c r="J69" i="72"/>
  <c r="J61" i="72"/>
  <c r="J54" i="72"/>
  <c r="J46" i="72"/>
  <c r="K407" i="72"/>
  <c r="K375" i="72"/>
  <c r="K343" i="72"/>
  <c r="K311" i="72"/>
  <c r="K278" i="72"/>
  <c r="K246" i="72"/>
  <c r="K208" i="72"/>
  <c r="K77" i="72"/>
  <c r="L371" i="72"/>
  <c r="L115" i="72"/>
  <c r="K396" i="72"/>
  <c r="J454" i="72"/>
  <c r="J446" i="72"/>
  <c r="K404" i="72"/>
  <c r="K372" i="72"/>
  <c r="K340" i="72"/>
  <c r="K307" i="72"/>
  <c r="K275" i="72"/>
  <c r="K243" i="72"/>
  <c r="K195" i="72"/>
  <c r="K46" i="72"/>
  <c r="L339" i="72"/>
  <c r="L84" i="72"/>
  <c r="J36" i="72"/>
  <c r="J28" i="72"/>
  <c r="J20" i="72"/>
  <c r="J12" i="72"/>
  <c r="J4" i="72"/>
  <c r="K431" i="72"/>
  <c r="K399" i="72"/>
  <c r="K367" i="72"/>
  <c r="K335" i="72"/>
  <c r="K302" i="72"/>
  <c r="K270" i="72"/>
  <c r="K238" i="72"/>
  <c r="K187" i="72"/>
  <c r="L306" i="72"/>
  <c r="L53" i="72"/>
  <c r="J40" i="72"/>
  <c r="L17" i="72"/>
  <c r="K17" i="72"/>
  <c r="L459" i="72"/>
  <c r="K459" i="72"/>
  <c r="K213" i="72"/>
  <c r="K200" i="72"/>
  <c r="K152" i="72"/>
  <c r="K121" i="72"/>
  <c r="K90" i="72"/>
  <c r="K58" i="72"/>
  <c r="K30" i="72"/>
  <c r="L414" i="72"/>
  <c r="L382" i="72"/>
  <c r="L350" i="72"/>
  <c r="L318" i="72"/>
  <c r="L285" i="72"/>
  <c r="L253" i="72"/>
  <c r="L221" i="72"/>
  <c r="L189" i="72"/>
  <c r="L157" i="72"/>
  <c r="L126" i="72"/>
  <c r="L95" i="72"/>
  <c r="L63" i="72"/>
  <c r="L159" i="72"/>
  <c r="K159" i="72"/>
  <c r="L151" i="72"/>
  <c r="K151" i="72"/>
  <c r="L143" i="72"/>
  <c r="K143" i="72"/>
  <c r="L135" i="72"/>
  <c r="K135" i="72"/>
  <c r="J128" i="72"/>
  <c r="L128" i="72"/>
  <c r="K128" i="72"/>
  <c r="L120" i="72"/>
  <c r="K120" i="72"/>
  <c r="L112" i="72"/>
  <c r="K112" i="72"/>
  <c r="L104" i="72"/>
  <c r="K104" i="72"/>
  <c r="L96" i="72"/>
  <c r="K96" i="72"/>
  <c r="L89" i="72"/>
  <c r="K89" i="72"/>
  <c r="L81" i="72"/>
  <c r="K81" i="72"/>
  <c r="L73" i="72"/>
  <c r="K73" i="72"/>
  <c r="L65" i="72"/>
  <c r="K65" i="72"/>
  <c r="L57" i="72"/>
  <c r="K57" i="72"/>
  <c r="L50" i="72"/>
  <c r="K50" i="72"/>
  <c r="L42" i="72"/>
  <c r="K42" i="72"/>
  <c r="L458" i="72"/>
  <c r="K458" i="72"/>
  <c r="L450" i="72"/>
  <c r="K450" i="72"/>
  <c r="K430" i="72"/>
  <c r="K422" i="72"/>
  <c r="K406" i="72"/>
  <c r="K398" i="72"/>
  <c r="K390" i="72"/>
  <c r="K374" i="72"/>
  <c r="K366" i="72"/>
  <c r="K358" i="72"/>
  <c r="K342" i="72"/>
  <c r="K334" i="72"/>
  <c r="K326" i="72"/>
  <c r="K310" i="72"/>
  <c r="K301" i="72"/>
  <c r="K293" i="72"/>
  <c r="K277" i="72"/>
  <c r="K269" i="72"/>
  <c r="K261" i="72"/>
  <c r="K245" i="72"/>
  <c r="K237" i="72"/>
  <c r="K229" i="72"/>
  <c r="K211" i="72"/>
  <c r="K199" i="72"/>
  <c r="K186" i="72"/>
  <c r="K171" i="72"/>
  <c r="K147" i="72"/>
  <c r="K116" i="72"/>
  <c r="K85" i="72"/>
  <c r="K54" i="72"/>
  <c r="K27" i="72"/>
  <c r="K452" i="72"/>
  <c r="L411" i="72"/>
  <c r="L379" i="72"/>
  <c r="L347" i="72"/>
  <c r="L315" i="72"/>
  <c r="L282" i="72"/>
  <c r="L250" i="72"/>
  <c r="L218" i="72"/>
  <c r="L154" i="72"/>
  <c r="L123" i="72"/>
  <c r="L92" i="72"/>
  <c r="L60" i="72"/>
  <c r="L37" i="72"/>
  <c r="L5" i="72"/>
  <c r="L33" i="72"/>
  <c r="K33" i="72"/>
  <c r="L25" i="72"/>
  <c r="K25" i="72"/>
  <c r="L9" i="72"/>
  <c r="K9" i="72"/>
  <c r="L451" i="72"/>
  <c r="K451" i="72"/>
  <c r="L206" i="72"/>
  <c r="K206" i="72"/>
  <c r="L198" i="72"/>
  <c r="K198" i="72"/>
  <c r="L190" i="72"/>
  <c r="K190" i="72"/>
  <c r="L182" i="72"/>
  <c r="K182" i="72"/>
  <c r="L174" i="72"/>
  <c r="K174" i="72"/>
  <c r="L166" i="72"/>
  <c r="K166" i="72"/>
  <c r="L158" i="72"/>
  <c r="K158" i="72"/>
  <c r="L150" i="72"/>
  <c r="K150" i="72"/>
  <c r="L142" i="72"/>
  <c r="K142" i="72"/>
  <c r="L134" i="72"/>
  <c r="K134" i="72"/>
  <c r="L127" i="72"/>
  <c r="K127" i="72"/>
  <c r="L119" i="72"/>
  <c r="K119" i="72"/>
  <c r="L111" i="72"/>
  <c r="K111" i="72"/>
  <c r="L103" i="72"/>
  <c r="K103" i="72"/>
  <c r="L88" i="72"/>
  <c r="K88" i="72"/>
  <c r="L80" i="72"/>
  <c r="K80" i="72"/>
  <c r="L72" i="72"/>
  <c r="K72" i="72"/>
  <c r="L64" i="72"/>
  <c r="K64" i="72"/>
  <c r="L49" i="72"/>
  <c r="K49" i="72"/>
  <c r="L41" i="72"/>
  <c r="K41" i="72"/>
  <c r="K31" i="72"/>
  <c r="L31" i="72"/>
  <c r="K23" i="72"/>
  <c r="L23" i="72"/>
  <c r="K15" i="72"/>
  <c r="L15" i="72"/>
  <c r="K7" i="72"/>
  <c r="L7" i="72"/>
  <c r="L457" i="72"/>
  <c r="K457" i="72"/>
  <c r="L449" i="72"/>
  <c r="K449" i="72"/>
  <c r="K429" i="72"/>
  <c r="K421" i="72"/>
  <c r="K413" i="72"/>
  <c r="K405" i="72"/>
  <c r="K397" i="72"/>
  <c r="K389" i="72"/>
  <c r="K381" i="72"/>
  <c r="K373" i="72"/>
  <c r="K365" i="72"/>
  <c r="K357" i="72"/>
  <c r="K349" i="72"/>
  <c r="K341" i="72"/>
  <c r="K333" i="72"/>
  <c r="K325" i="72"/>
  <c r="K317" i="72"/>
  <c r="K309" i="72"/>
  <c r="K300" i="72"/>
  <c r="K292" i="72"/>
  <c r="K284" i="72"/>
  <c r="K276" i="72"/>
  <c r="K268" i="72"/>
  <c r="K260" i="72"/>
  <c r="K252" i="72"/>
  <c r="K244" i="72"/>
  <c r="K236" i="72"/>
  <c r="K228" i="72"/>
  <c r="K220" i="72"/>
  <c r="K197" i="72"/>
  <c r="K184" i="72"/>
  <c r="K170" i="72"/>
  <c r="K144" i="72"/>
  <c r="K113" i="72"/>
  <c r="K82" i="72"/>
  <c r="K51" i="72"/>
  <c r="K22" i="72"/>
  <c r="K447" i="72"/>
  <c r="L181" i="72"/>
  <c r="L149" i="72"/>
  <c r="L118" i="72"/>
  <c r="L87" i="72"/>
  <c r="L56" i="72"/>
  <c r="L32" i="72"/>
  <c r="L456" i="72"/>
  <c r="K212" i="72"/>
  <c r="L212" i="72"/>
  <c r="K204" i="72"/>
  <c r="L204" i="72"/>
  <c r="K196" i="72"/>
  <c r="L196" i="72"/>
  <c r="K188" i="72"/>
  <c r="L188" i="72"/>
  <c r="K180" i="72"/>
  <c r="L180" i="72"/>
  <c r="K172" i="72"/>
  <c r="L172" i="72"/>
  <c r="K164" i="72"/>
  <c r="L164" i="72"/>
  <c r="K156" i="72"/>
  <c r="L156" i="72"/>
  <c r="K148" i="72"/>
  <c r="L148" i="72"/>
  <c r="K140" i="72"/>
  <c r="L140" i="72"/>
  <c r="K132" i="72"/>
  <c r="L132" i="72"/>
  <c r="K125" i="72"/>
  <c r="L125" i="72"/>
  <c r="K117" i="72"/>
  <c r="L117" i="72"/>
  <c r="K109" i="72"/>
  <c r="L109" i="72"/>
  <c r="K101" i="72"/>
  <c r="L101" i="72"/>
  <c r="K94" i="72"/>
  <c r="L94" i="72"/>
  <c r="K86" i="72"/>
  <c r="L86" i="72"/>
  <c r="K78" i="72"/>
  <c r="L78" i="72"/>
  <c r="K70" i="72"/>
  <c r="L70" i="72"/>
  <c r="K62" i="72"/>
  <c r="L62" i="72"/>
  <c r="K55" i="72"/>
  <c r="L55" i="72"/>
  <c r="K47" i="72"/>
  <c r="L47" i="72"/>
  <c r="K427" i="72"/>
  <c r="K419" i="72"/>
  <c r="K395" i="72"/>
  <c r="K387" i="72"/>
  <c r="K363" i="72"/>
  <c r="K355" i="72"/>
  <c r="K331" i="72"/>
  <c r="K323" i="72"/>
  <c r="K298" i="72"/>
  <c r="K290" i="72"/>
  <c r="K266" i="72"/>
  <c r="K258" i="72"/>
  <c r="K234" i="72"/>
  <c r="K226" i="72"/>
  <c r="K207" i="72"/>
  <c r="K194" i="72"/>
  <c r="K167" i="72"/>
  <c r="K136" i="72"/>
  <c r="K105" i="72"/>
  <c r="K74" i="72"/>
  <c r="K43" i="72"/>
  <c r="K14" i="72"/>
  <c r="L205" i="72"/>
  <c r="L173" i="72"/>
  <c r="L141" i="72"/>
  <c r="L110" i="72"/>
  <c r="L79" i="72"/>
  <c r="L48" i="72"/>
  <c r="L24" i="72"/>
  <c r="L448" i="72"/>
  <c r="I406" i="72"/>
  <c r="L36" i="72"/>
  <c r="K36" i="72"/>
  <c r="L28" i="72"/>
  <c r="K28" i="72"/>
  <c r="L20" i="72"/>
  <c r="K20" i="72"/>
  <c r="L12" i="72"/>
  <c r="K12" i="72"/>
  <c r="L4" i="72"/>
  <c r="K4" i="72"/>
  <c r="L454" i="72"/>
  <c r="K454" i="72"/>
  <c r="L446" i="72"/>
  <c r="K446" i="72"/>
  <c r="K3" i="72"/>
  <c r="K426" i="72"/>
  <c r="K418" i="72"/>
  <c r="K410" i="72"/>
  <c r="K402" i="72"/>
  <c r="K394" i="72"/>
  <c r="K386" i="72"/>
  <c r="K378" i="72"/>
  <c r="K370" i="72"/>
  <c r="K362" i="72"/>
  <c r="K354" i="72"/>
  <c r="K346" i="72"/>
  <c r="K338" i="72"/>
  <c r="K330" i="72"/>
  <c r="K322" i="72"/>
  <c r="K314" i="72"/>
  <c r="K305" i="72"/>
  <c r="K297" i="72"/>
  <c r="K289" i="72"/>
  <c r="K281" i="72"/>
  <c r="K273" i="72"/>
  <c r="K265" i="72"/>
  <c r="K257" i="72"/>
  <c r="K249" i="72"/>
  <c r="K241" i="72"/>
  <c r="K233" i="72"/>
  <c r="K225" i="72"/>
  <c r="K216" i="72"/>
  <c r="K192" i="72"/>
  <c r="K179" i="72"/>
  <c r="K163" i="72"/>
  <c r="K131" i="72"/>
  <c r="K100" i="72"/>
  <c r="K69" i="72"/>
  <c r="K11" i="72"/>
  <c r="L202" i="72"/>
  <c r="L138" i="72"/>
  <c r="L107" i="72"/>
  <c r="L76" i="72"/>
  <c r="L45" i="72"/>
  <c r="L21" i="72"/>
  <c r="L445" i="72"/>
  <c r="K433" i="72"/>
  <c r="K425" i="72"/>
  <c r="K417" i="72"/>
  <c r="K409" i="72"/>
  <c r="K401" i="72"/>
  <c r="K393" i="72"/>
  <c r="K385" i="72"/>
  <c r="K377" i="72"/>
  <c r="K369" i="72"/>
  <c r="K361" i="72"/>
  <c r="K353" i="72"/>
  <c r="K345" i="72"/>
  <c r="K337" i="72"/>
  <c r="K329" i="72"/>
  <c r="K321" i="72"/>
  <c r="K313" i="72"/>
  <c r="K304" i="72"/>
  <c r="K296" i="72"/>
  <c r="K288" i="72"/>
  <c r="K280" i="72"/>
  <c r="K272" i="72"/>
  <c r="K264" i="72"/>
  <c r="K256" i="72"/>
  <c r="K248" i="72"/>
  <c r="K240" i="72"/>
  <c r="K232" i="72"/>
  <c r="K224" i="72"/>
  <c r="K215" i="72"/>
  <c r="K203" i="72"/>
  <c r="K191" i="72"/>
  <c r="K160" i="72"/>
  <c r="K129" i="72"/>
  <c r="K97" i="72"/>
  <c r="K66" i="72"/>
  <c r="K6" i="72"/>
  <c r="L165" i="72"/>
  <c r="L133" i="72"/>
  <c r="L102" i="72"/>
  <c r="L71" i="72"/>
  <c r="L40" i="72"/>
  <c r="L16" i="72"/>
  <c r="L217" i="72"/>
  <c r="K217" i="72"/>
  <c r="L209" i="72"/>
  <c r="K209" i="72"/>
  <c r="L201" i="72"/>
  <c r="K201" i="72"/>
  <c r="L193" i="72"/>
  <c r="K193" i="72"/>
  <c r="L185" i="72"/>
  <c r="K185" i="72"/>
  <c r="L177" i="72"/>
  <c r="K177" i="72"/>
  <c r="L169" i="72"/>
  <c r="K169" i="72"/>
  <c r="L161" i="72"/>
  <c r="K161" i="72"/>
  <c r="L153" i="72"/>
  <c r="K153" i="72"/>
  <c r="L145" i="72"/>
  <c r="K145" i="72"/>
  <c r="L137" i="72"/>
  <c r="K137" i="72"/>
  <c r="L122" i="72"/>
  <c r="K122" i="72"/>
  <c r="L114" i="72"/>
  <c r="K114" i="72"/>
  <c r="L106" i="72"/>
  <c r="K106" i="72"/>
  <c r="L98" i="72"/>
  <c r="K98" i="72"/>
  <c r="L91" i="72"/>
  <c r="K91" i="72"/>
  <c r="L83" i="72"/>
  <c r="K83" i="72"/>
  <c r="L75" i="72"/>
  <c r="K75" i="72"/>
  <c r="L67" i="72"/>
  <c r="K67" i="72"/>
  <c r="L59" i="72"/>
  <c r="K59" i="72"/>
  <c r="L52" i="72"/>
  <c r="K52" i="72"/>
  <c r="L44" i="72"/>
  <c r="K44" i="72"/>
  <c r="L34" i="72"/>
  <c r="K34" i="72"/>
  <c r="L26" i="72"/>
  <c r="K26" i="72"/>
  <c r="L18" i="72"/>
  <c r="K18" i="72"/>
  <c r="L10" i="72"/>
  <c r="K10" i="72"/>
  <c r="K432" i="72"/>
  <c r="K424" i="72"/>
  <c r="K416" i="72"/>
  <c r="K408" i="72"/>
  <c r="K400" i="72"/>
  <c r="K392" i="72"/>
  <c r="K384" i="72"/>
  <c r="K376" i="72"/>
  <c r="K368" i="72"/>
  <c r="K360" i="72"/>
  <c r="K352" i="72"/>
  <c r="K344" i="72"/>
  <c r="K336" i="72"/>
  <c r="K328" i="72"/>
  <c r="K320" i="72"/>
  <c r="K312" i="72"/>
  <c r="K303" i="72"/>
  <c r="K295" i="72"/>
  <c r="K287" i="72"/>
  <c r="K279" i="72"/>
  <c r="K271" i="72"/>
  <c r="K263" i="72"/>
  <c r="K255" i="72"/>
  <c r="K247" i="72"/>
  <c r="K239" i="72"/>
  <c r="K231" i="72"/>
  <c r="K223" i="72"/>
  <c r="K214" i="72"/>
  <c r="K176" i="72"/>
  <c r="K155" i="72"/>
  <c r="K124" i="72"/>
  <c r="K93" i="72"/>
  <c r="K61" i="72"/>
  <c r="K35" i="72"/>
  <c r="K460" i="72"/>
  <c r="L162" i="72"/>
  <c r="L130" i="72"/>
  <c r="L99" i="72"/>
  <c r="L68" i="72"/>
  <c r="L13" i="72"/>
  <c r="I33" i="72"/>
  <c r="I25" i="72"/>
  <c r="I17" i="72"/>
  <c r="I9" i="72"/>
  <c r="I459" i="72"/>
  <c r="I451" i="72"/>
  <c r="J433" i="72"/>
  <c r="J425" i="72"/>
  <c r="J417" i="72"/>
  <c r="J409" i="72"/>
  <c r="J401" i="72"/>
  <c r="J393" i="72"/>
  <c r="J385" i="72"/>
  <c r="J377" i="72"/>
  <c r="J369" i="72"/>
  <c r="J361" i="72"/>
  <c r="J353" i="72"/>
  <c r="J345" i="72"/>
  <c r="J337" i="72"/>
  <c r="J329" i="72"/>
  <c r="J321" i="72"/>
  <c r="J313" i="72"/>
  <c r="J304" i="72"/>
  <c r="J296" i="72"/>
  <c r="J288" i="72"/>
  <c r="J280" i="72"/>
  <c r="J272" i="72"/>
  <c r="J264" i="72"/>
  <c r="J256" i="72"/>
  <c r="J248" i="72"/>
  <c r="J240" i="72"/>
  <c r="J232" i="72"/>
  <c r="J224" i="72"/>
  <c r="J216" i="72"/>
  <c r="J208" i="72"/>
  <c r="J200" i="72"/>
  <c r="J192" i="72"/>
  <c r="J184" i="72"/>
  <c r="J176" i="72"/>
  <c r="J168" i="72"/>
  <c r="J160" i="72"/>
  <c r="J152" i="72"/>
  <c r="J144" i="72"/>
  <c r="J136" i="72"/>
  <c r="J129" i="72"/>
  <c r="J121" i="72"/>
  <c r="J113" i="72"/>
  <c r="J105" i="72"/>
  <c r="J97" i="72"/>
  <c r="J90" i="72"/>
  <c r="J82" i="72"/>
  <c r="J74" i="72"/>
  <c r="J66" i="72"/>
  <c r="J58" i="72"/>
  <c r="J51" i="72"/>
  <c r="J43" i="72"/>
  <c r="J159" i="72"/>
  <c r="J65" i="72"/>
  <c r="J459" i="72"/>
  <c r="J451" i="72"/>
  <c r="J33" i="72"/>
  <c r="J25" i="72"/>
  <c r="J17" i="72"/>
  <c r="J9" i="72"/>
  <c r="I191" i="72"/>
  <c r="I433" i="72"/>
  <c r="I425" i="72"/>
  <c r="I417" i="72"/>
  <c r="I409" i="72"/>
  <c r="I401" i="72"/>
  <c r="I393" i="72"/>
  <c r="I385" i="72"/>
  <c r="I377" i="72"/>
  <c r="I369" i="72"/>
  <c r="I361" i="72"/>
  <c r="I353" i="72"/>
  <c r="I345" i="72"/>
  <c r="I337" i="72"/>
  <c r="I329" i="72"/>
  <c r="I321" i="72"/>
  <c r="I313" i="72"/>
  <c r="I304" i="72"/>
  <c r="I296" i="72"/>
  <c r="I288" i="72"/>
  <c r="I280" i="72"/>
  <c r="I272" i="72"/>
  <c r="I264" i="72"/>
  <c r="I256" i="72"/>
  <c r="I248" i="72"/>
  <c r="I240" i="72"/>
  <c r="I232" i="72"/>
  <c r="I224" i="72"/>
  <c r="I216" i="72"/>
  <c r="I208" i="72"/>
  <c r="I200" i="72"/>
  <c r="I192" i="72"/>
  <c r="I184" i="72"/>
  <c r="I176" i="72"/>
  <c r="I168" i="72"/>
  <c r="I160" i="72"/>
  <c r="I152" i="72"/>
  <c r="I144" i="72"/>
  <c r="I136" i="72"/>
  <c r="I129" i="72"/>
  <c r="I121" i="72"/>
  <c r="I113" i="72"/>
  <c r="I105" i="72"/>
  <c r="I97" i="72"/>
  <c r="I90" i="72"/>
  <c r="I82" i="72"/>
  <c r="I74" i="72"/>
  <c r="I66" i="72"/>
  <c r="I58" i="72"/>
  <c r="I51" i="72"/>
  <c r="I43" i="72"/>
  <c r="J32" i="72"/>
  <c r="J24" i="72"/>
  <c r="J16" i="72"/>
  <c r="J8" i="72"/>
  <c r="I432" i="72"/>
  <c r="I424" i="72"/>
  <c r="I416" i="72"/>
  <c r="I408" i="72"/>
  <c r="I400" i="72"/>
  <c r="I392" i="72"/>
  <c r="I384" i="72"/>
  <c r="I376" i="72"/>
  <c r="I368" i="72"/>
  <c r="I360" i="72"/>
  <c r="I352" i="72"/>
  <c r="I344" i="72"/>
  <c r="I336" i="72"/>
  <c r="I328" i="72"/>
  <c r="I320" i="72"/>
  <c r="I312" i="72"/>
  <c r="I303" i="72"/>
  <c r="I295" i="72"/>
  <c r="I287" i="72"/>
  <c r="I279" i="72"/>
  <c r="I271" i="72"/>
  <c r="I263" i="72"/>
  <c r="I255" i="72"/>
  <c r="I247" i="72"/>
  <c r="I239" i="72"/>
  <c r="I231" i="72"/>
  <c r="I223" i="72"/>
  <c r="I215" i="72"/>
  <c r="I207" i="72"/>
  <c r="I199" i="72"/>
  <c r="I183" i="72"/>
  <c r="I175" i="72"/>
  <c r="I167" i="72"/>
  <c r="I159" i="72"/>
  <c r="I151" i="72"/>
  <c r="I143" i="72"/>
  <c r="I135" i="72"/>
  <c r="I128" i="72"/>
  <c r="I120" i="72"/>
  <c r="I112" i="72"/>
  <c r="I104" i="72"/>
  <c r="I96" i="72"/>
  <c r="I89" i="72"/>
  <c r="I81" i="72"/>
  <c r="I73" i="72"/>
  <c r="I65" i="72"/>
  <c r="I57" i="72"/>
  <c r="I50" i="72"/>
  <c r="I42" i="72"/>
  <c r="J205" i="72"/>
  <c r="J102" i="72"/>
  <c r="I32" i="72"/>
  <c r="I24" i="72"/>
  <c r="I16" i="72"/>
  <c r="I8" i="72"/>
  <c r="I458" i="72"/>
  <c r="I450" i="72"/>
  <c r="J432" i="72"/>
  <c r="J424" i="72"/>
  <c r="J416" i="72"/>
  <c r="J408" i="72"/>
  <c r="J400" i="72"/>
  <c r="J392" i="72"/>
  <c r="J384" i="72"/>
  <c r="J376" i="72"/>
  <c r="J368" i="72"/>
  <c r="J360" i="72"/>
  <c r="J352" i="72"/>
  <c r="J344" i="72"/>
  <c r="J336" i="72"/>
  <c r="J328" i="72"/>
  <c r="J320" i="72"/>
  <c r="J312" i="72"/>
  <c r="J303" i="72"/>
  <c r="J295" i="72"/>
  <c r="J287" i="72"/>
  <c r="J279" i="72"/>
  <c r="J271" i="72"/>
  <c r="J263" i="72"/>
  <c r="J255" i="72"/>
  <c r="J247" i="72"/>
  <c r="J239" i="72"/>
  <c r="J231" i="72"/>
  <c r="J223" i="72"/>
  <c r="J215" i="72"/>
  <c r="J207" i="72"/>
  <c r="J199" i="72"/>
  <c r="J191" i="72"/>
  <c r="J183" i="72"/>
  <c r="J175" i="72"/>
  <c r="J167" i="72"/>
  <c r="J151" i="72"/>
  <c r="J143" i="72"/>
  <c r="J135" i="72"/>
  <c r="J120" i="72"/>
  <c r="J112" i="72"/>
  <c r="J104" i="72"/>
  <c r="J96" i="72"/>
  <c r="J89" i="72"/>
  <c r="J81" i="72"/>
  <c r="J73" i="72"/>
  <c r="J57" i="72"/>
  <c r="J50" i="72"/>
  <c r="J42" i="72"/>
  <c r="J458" i="72"/>
  <c r="J450" i="72"/>
  <c r="I430" i="72"/>
  <c r="I422" i="72"/>
  <c r="I414" i="72"/>
  <c r="I398" i="72"/>
  <c r="I390" i="72"/>
  <c r="I382" i="72"/>
  <c r="I374" i="72"/>
  <c r="I366" i="72"/>
  <c r="I358" i="72"/>
  <c r="I350" i="72"/>
  <c r="I342" i="72"/>
  <c r="I334" i="72"/>
  <c r="I326" i="72"/>
  <c r="I318" i="72"/>
  <c r="I310" i="72"/>
  <c r="I301" i="72"/>
  <c r="I293" i="72"/>
  <c r="I285" i="72"/>
  <c r="I277" i="72"/>
  <c r="I269" i="72"/>
  <c r="I261" i="72"/>
  <c r="I253" i="72"/>
  <c r="I245" i="72"/>
  <c r="I237" i="72"/>
  <c r="I229" i="72"/>
  <c r="I221" i="72"/>
  <c r="I213" i="72"/>
  <c r="I205" i="72"/>
  <c r="I197" i="72"/>
  <c r="I189" i="72"/>
  <c r="I181" i="72"/>
  <c r="J430" i="72"/>
  <c r="J422" i="72"/>
  <c r="J414" i="72"/>
  <c r="J406" i="72"/>
  <c r="J398" i="72"/>
  <c r="J390" i="72"/>
  <c r="J382" i="72"/>
  <c r="J374" i="72"/>
  <c r="J366" i="72"/>
  <c r="J358" i="72"/>
  <c r="J350" i="72"/>
  <c r="J342" i="72"/>
  <c r="J334" i="72"/>
  <c r="J326" i="72"/>
  <c r="J318" i="72"/>
  <c r="J310" i="72"/>
  <c r="J301" i="72"/>
  <c r="J293" i="72"/>
  <c r="J285" i="72"/>
  <c r="J277" i="72"/>
  <c r="J269" i="72"/>
  <c r="J261" i="72"/>
  <c r="J253" i="72"/>
  <c r="J245" i="72"/>
  <c r="J237" i="72"/>
  <c r="J229" i="72"/>
  <c r="J221" i="72"/>
  <c r="J213" i="72"/>
  <c r="J197" i="72"/>
  <c r="J189" i="72"/>
  <c r="J181" i="72"/>
  <c r="J173" i="72"/>
  <c r="J165" i="72"/>
  <c r="J157" i="72"/>
  <c r="J149" i="72"/>
  <c r="J141" i="72"/>
  <c r="J133" i="72"/>
  <c r="J126" i="72"/>
  <c r="J118" i="72"/>
  <c r="J110" i="72"/>
  <c r="J95" i="72"/>
  <c r="J87" i="72"/>
  <c r="J79" i="72"/>
  <c r="J71" i="72"/>
  <c r="J63" i="72"/>
  <c r="J56" i="72"/>
  <c r="J48" i="72"/>
  <c r="I173" i="72"/>
  <c r="I165" i="72"/>
  <c r="I157" i="72"/>
  <c r="I149" i="72"/>
  <c r="I141" i="72"/>
  <c r="I133" i="72"/>
  <c r="I126" i="72"/>
  <c r="I118" i="72"/>
  <c r="I110" i="72"/>
  <c r="I102" i="72"/>
  <c r="I95" i="72"/>
  <c r="I87" i="72"/>
  <c r="I79" i="72"/>
  <c r="I71" i="72"/>
  <c r="I63" i="72"/>
  <c r="I56" i="72"/>
  <c r="I48" i="72"/>
  <c r="I40" i="72"/>
  <c r="I30" i="72"/>
  <c r="I22" i="72"/>
  <c r="I14" i="72"/>
  <c r="I6" i="72"/>
  <c r="I456" i="72"/>
  <c r="I448" i="72"/>
  <c r="J456" i="72"/>
  <c r="J448" i="72"/>
  <c r="J30" i="72"/>
  <c r="J22" i="72"/>
  <c r="J14" i="72"/>
  <c r="J6" i="72"/>
  <c r="R102" i="71"/>
  <c r="R95" i="71"/>
  <c r="R97" i="71"/>
  <c r="R104" i="71"/>
  <c r="P101" i="71"/>
  <c r="R101" i="71" s="1"/>
  <c r="P103" i="71"/>
  <c r="R103" i="71" s="1"/>
  <c r="P105" i="71"/>
  <c r="R105" i="71" s="1"/>
  <c r="M108" i="71"/>
  <c r="P108" i="71"/>
  <c r="R109" i="71"/>
  <c r="M112" i="71"/>
  <c r="P112" i="71"/>
  <c r="R112" i="71" s="1"/>
  <c r="R113" i="71"/>
  <c r="M95" i="71"/>
  <c r="M97" i="71"/>
  <c r="R106" i="71"/>
  <c r="R108" i="71"/>
  <c r="R107" i="71"/>
  <c r="R111" i="71"/>
  <c r="R115" i="71"/>
  <c r="R116" i="71"/>
  <c r="R126" i="71"/>
  <c r="R153" i="71"/>
  <c r="R157" i="71"/>
  <c r="R160" i="71"/>
  <c r="R181" i="71"/>
  <c r="R183" i="71"/>
  <c r="R185" i="71"/>
  <c r="R187" i="71"/>
  <c r="R198" i="71"/>
  <c r="R202" i="71"/>
  <c r="R204" i="71"/>
  <c r="R216" i="71"/>
  <c r="R220" i="71"/>
  <c r="R222" i="71"/>
  <c r="R224" i="71"/>
  <c r="R226" i="71"/>
  <c r="R228" i="71"/>
  <c r="R230" i="71"/>
  <c r="R232" i="71"/>
  <c r="R236" i="71"/>
  <c r="R241" i="71"/>
  <c r="R243" i="71"/>
  <c r="R247" i="71"/>
  <c r="R249" i="71"/>
  <c r="R251" i="71"/>
  <c r="R253" i="71"/>
  <c r="R255" i="71"/>
  <c r="R257" i="71"/>
  <c r="R259" i="71"/>
  <c r="R261" i="71"/>
  <c r="R263" i="71"/>
  <c r="R265" i="71"/>
  <c r="R267" i="71"/>
  <c r="R323" i="71"/>
  <c r="O189" i="71"/>
  <c r="R189" i="71" s="1"/>
  <c r="M189" i="71"/>
  <c r="R418" i="71"/>
  <c r="M323" i="71"/>
  <c r="R327" i="71"/>
  <c r="R329" i="71"/>
  <c r="R331" i="71"/>
  <c r="R333" i="71"/>
  <c r="R335" i="71"/>
  <c r="R337" i="71"/>
  <c r="R339" i="71"/>
  <c r="R342" i="71"/>
  <c r="R344" i="71"/>
  <c r="R346" i="71"/>
  <c r="R348" i="71"/>
  <c r="R350" i="71"/>
  <c r="R352" i="71"/>
  <c r="R393" i="71"/>
  <c r="R395" i="71"/>
  <c r="R397" i="71"/>
  <c r="R399" i="71"/>
  <c r="R402" i="71"/>
  <c r="R405" i="71"/>
  <c r="R407" i="71"/>
  <c r="R409" i="71"/>
  <c r="R411" i="71"/>
  <c r="P413" i="71"/>
  <c r="R413" i="71" s="1"/>
  <c r="R420" i="71"/>
  <c r="R422" i="71"/>
  <c r="R424" i="71"/>
  <c r="R426" i="71"/>
  <c r="R428" i="71"/>
  <c r="R430" i="71"/>
  <c r="R432" i="71"/>
  <c r="R434" i="71"/>
  <c r="R436" i="71"/>
  <c r="R438" i="71"/>
  <c r="R450" i="71"/>
  <c r="R452" i="71"/>
  <c r="R454" i="71"/>
  <c r="R456" i="71"/>
  <c r="R458" i="71"/>
  <c r="R460" i="71"/>
  <c r="R462" i="71"/>
  <c r="R464" i="71"/>
  <c r="R463" i="69"/>
  <c r="D460" i="72" s="1"/>
  <c r="J460" i="72" s="1"/>
  <c r="J19" i="54" l="1"/>
  <c r="E26" i="46"/>
  <c r="D10" i="25"/>
  <c r="D5" i="25"/>
  <c r="D8" i="4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5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SE DESPACHO 17 X ZEGARRA</t>
        </r>
      </text>
    </comment>
    <comment ref="E6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 xml:space="preserve">SE DESPACHO 10 X ZEGARRA
</t>
        </r>
      </text>
    </comment>
  </commentList>
</comments>
</file>

<file path=xl/sharedStrings.xml><?xml version="1.0" encoding="utf-8"?>
<sst xmlns="http://schemas.openxmlformats.org/spreadsheetml/2006/main" count="26322" uniqueCount="2002">
  <si>
    <t>101T</t>
  </si>
  <si>
    <t>104T</t>
  </si>
  <si>
    <t>108T</t>
  </si>
  <si>
    <t>113T</t>
  </si>
  <si>
    <t>114T</t>
  </si>
  <si>
    <t>115T</t>
  </si>
  <si>
    <t>116T</t>
  </si>
  <si>
    <t>117T</t>
  </si>
  <si>
    <t>118T</t>
  </si>
  <si>
    <t>119T</t>
  </si>
  <si>
    <t>120T</t>
  </si>
  <si>
    <t>121T</t>
  </si>
  <si>
    <t>123T</t>
  </si>
  <si>
    <t>124T</t>
  </si>
  <si>
    <t>129T</t>
  </si>
  <si>
    <t>130T</t>
  </si>
  <si>
    <t>131T</t>
  </si>
  <si>
    <t>345660 BUTTERKNIT BATA CORTA</t>
  </si>
  <si>
    <t>132T</t>
  </si>
  <si>
    <t>133T</t>
  </si>
  <si>
    <t>134T</t>
  </si>
  <si>
    <t>355660 BUTTERKNIT BATA LARGA</t>
  </si>
  <si>
    <t>135T</t>
  </si>
  <si>
    <t>136T</t>
  </si>
  <si>
    <t>397660 BUTTERKNIT PIJAMA CON BOTONES</t>
  </si>
  <si>
    <t>137T</t>
  </si>
  <si>
    <t>ORDEN</t>
  </si>
  <si>
    <t>ESTILOS</t>
  </si>
  <si>
    <t>CANT</t>
  </si>
  <si>
    <t>Fecha Pedido</t>
  </si>
  <si>
    <t>140T</t>
  </si>
  <si>
    <t>358700 BASKETWEAVE LONG ROBE</t>
  </si>
  <si>
    <t>138T</t>
  </si>
  <si>
    <t>139T</t>
  </si>
  <si>
    <t>390405 PRINTED JERSEY PIJAMA</t>
  </si>
  <si>
    <t>393418 PRINTED JERSEY PIJAMA</t>
  </si>
  <si>
    <t>141T</t>
  </si>
  <si>
    <t>323418 LEOPARDS IN COLORS SHORT GOWN</t>
  </si>
  <si>
    <t>142T</t>
  </si>
  <si>
    <t>143T</t>
  </si>
  <si>
    <t>144T</t>
  </si>
  <si>
    <t>125T</t>
  </si>
  <si>
    <t>350500/Z NEW BUTTERKNITS ROBES ZIPPER</t>
  </si>
  <si>
    <t>395701 WHITE CLASSICS PJ</t>
  </si>
  <si>
    <t>127T</t>
  </si>
  <si>
    <t>128T</t>
  </si>
  <si>
    <t>147T</t>
  </si>
  <si>
    <t>148T</t>
  </si>
  <si>
    <t>149T</t>
  </si>
  <si>
    <t>150T</t>
  </si>
  <si>
    <t>151T</t>
  </si>
  <si>
    <t>152T</t>
  </si>
  <si>
    <t>155T</t>
  </si>
  <si>
    <t>156T</t>
  </si>
  <si>
    <t>157T</t>
  </si>
  <si>
    <t>169T</t>
  </si>
  <si>
    <t>158T</t>
  </si>
  <si>
    <t>159T</t>
  </si>
  <si>
    <t xml:space="preserve">386661 BUTTERKNIT EN LEOPARDO CAMISON </t>
  </si>
  <si>
    <t>356661 BUTTERKNIT EN LEOPARDO ROBE</t>
  </si>
  <si>
    <t>MARZO 1/17</t>
  </si>
  <si>
    <t>164T</t>
  </si>
  <si>
    <t>166T</t>
  </si>
  <si>
    <t>327662 BUTTERKNIT CORTO CAP SLEEVED</t>
  </si>
  <si>
    <t>167T</t>
  </si>
  <si>
    <t>168T</t>
  </si>
  <si>
    <t>327660 BUTTERKNIT CORTO CAP SLEEVED</t>
  </si>
  <si>
    <t>153T</t>
  </si>
  <si>
    <t>154T</t>
  </si>
  <si>
    <t>OBSERVACIONES</t>
  </si>
  <si>
    <t>Fecha Despacho</t>
  </si>
  <si>
    <t>ESTADO</t>
  </si>
  <si>
    <t>396660 BUTTERKNIT PIJAMA SIN BOTONES</t>
  </si>
  <si>
    <r>
      <t xml:space="preserve">     OP
</t>
    </r>
    <r>
      <rPr>
        <b/>
        <i/>
        <sz val="11"/>
        <color rgb="FF0070C0"/>
        <rFont val="Calibri"/>
        <family val="2"/>
        <scheme val="minor"/>
      </rPr>
      <t>Click para ver</t>
    </r>
  </si>
  <si>
    <t>DIC 20/16</t>
  </si>
  <si>
    <t>190T</t>
  </si>
  <si>
    <t>AH1406 - TINAS  NITESHIRT LARGO</t>
  </si>
  <si>
    <t>7T</t>
  </si>
  <si>
    <t>8T</t>
  </si>
  <si>
    <t>9T</t>
  </si>
  <si>
    <t>11T</t>
  </si>
  <si>
    <t>333413 CAMISON CORTO DE MANGA CORTA</t>
  </si>
  <si>
    <t>OP16-124-FV</t>
  </si>
  <si>
    <t>INMEDIATO</t>
  </si>
  <si>
    <t>15/09/17</t>
  </si>
  <si>
    <t>BORDADO</t>
  </si>
  <si>
    <t>OP17-073-FV</t>
  </si>
  <si>
    <t>OP17-074-FV</t>
  </si>
  <si>
    <t>OP17-075-FV</t>
  </si>
  <si>
    <t>OP17-076-FV</t>
  </si>
  <si>
    <t>OP17-077-FV</t>
  </si>
  <si>
    <t>OP17-078-FV</t>
  </si>
  <si>
    <t>61T</t>
  </si>
  <si>
    <t>62T</t>
  </si>
  <si>
    <t>63T</t>
  </si>
  <si>
    <t>64T</t>
  </si>
  <si>
    <t>65T</t>
  </si>
  <si>
    <t>66T</t>
  </si>
  <si>
    <t>327431 RIBS + INTERLOCK GOWN 35 PULG</t>
  </si>
  <si>
    <t>397431 RIBS + INTERLOCK PIJAMA</t>
  </si>
  <si>
    <t>387426 APPLIQUED JERSEY CAMISON LARGO LS</t>
  </si>
  <si>
    <t>377426 APPLIQUED JERSEY CAMISON LARGO SS</t>
  </si>
  <si>
    <t>307426 APPLIQUED JERSEY CHEMISE CORTO</t>
  </si>
  <si>
    <t>386660 BUTTERKNIT LARGO MANGA 3/4</t>
  </si>
  <si>
    <t>CARLOTA 1/S HEIRLOOMS JERSEY SHORT GOWN SL</t>
  </si>
  <si>
    <t xml:space="preserve">357246 SPA ROBE II </t>
  </si>
  <si>
    <t>376660 BUTTERKNIT CORTO MANGA 3/4</t>
  </si>
  <si>
    <t>30036EN2 ENTERIZO C/CUELLO BEBE BORDADO DE OVEJA</t>
  </si>
  <si>
    <t>TEXMAYA</t>
  </si>
  <si>
    <t>OP17-118-FV</t>
  </si>
  <si>
    <t>92T</t>
  </si>
  <si>
    <t>OP17-119-FV</t>
  </si>
  <si>
    <t>93T</t>
  </si>
  <si>
    <t>OP17-120-FV</t>
  </si>
  <si>
    <t>94T</t>
  </si>
  <si>
    <t>OP17-121-FV</t>
  </si>
  <si>
    <t>95T</t>
  </si>
  <si>
    <t>OP17-124-FV</t>
  </si>
  <si>
    <t>AH1006 TINAS PJ MANGA LARGA</t>
  </si>
  <si>
    <t>AH1106 TINAS PJ MANGA CORTA</t>
  </si>
  <si>
    <t>245701 WHITE CLASSICS BATA DE HOMBRE</t>
  </si>
  <si>
    <t>70022CA3</t>
  </si>
  <si>
    <t>CAMISON PRIMER GRIS BORDADO BLANCO M/C</t>
  </si>
  <si>
    <t>OP17-126-CO</t>
  </si>
  <si>
    <t>70020CA3</t>
  </si>
  <si>
    <t>CAMISON ROSITAS ORGANICAS BORDADO M/0</t>
  </si>
  <si>
    <t>OP17-127-CO</t>
  </si>
  <si>
    <t>OP17-129-FV</t>
  </si>
  <si>
    <t>OP17-130-FV</t>
  </si>
  <si>
    <t>102T</t>
  </si>
  <si>
    <t>OP17-131-FV</t>
  </si>
  <si>
    <t>103T</t>
  </si>
  <si>
    <t>OP17-132-FV</t>
  </si>
  <si>
    <t>OP17-133-FV</t>
  </si>
  <si>
    <t>105T</t>
  </si>
  <si>
    <t>OP17-134-FV</t>
  </si>
  <si>
    <t>106T</t>
  </si>
  <si>
    <t>TALLER</t>
  </si>
  <si>
    <t>IBETH</t>
  </si>
  <si>
    <t>ESMERALDA</t>
  </si>
  <si>
    <t>LUZ</t>
  </si>
  <si>
    <t>EMBOLSADO</t>
  </si>
  <si>
    <t>OP17-149-FV</t>
  </si>
  <si>
    <t>SL03 SWEET LEOP CAP GOWN</t>
  </si>
  <si>
    <t>OP17-154-FV</t>
  </si>
  <si>
    <t>OP17-155-FV</t>
  </si>
  <si>
    <t>OP17-156-FV</t>
  </si>
  <si>
    <t>397248 DEEP BLUE GINGHAM PJ MANGA LARGA</t>
  </si>
  <si>
    <t>OP17-157-FV</t>
  </si>
  <si>
    <t>397248/SS DEEP BLUE GINGHAM PJ MANGA CORTA</t>
  </si>
  <si>
    <t>OP17-158-FV</t>
  </si>
  <si>
    <t>317248 DEEP BLUE GINGHAM SHORT SET</t>
  </si>
  <si>
    <t>OP17-159-FV</t>
  </si>
  <si>
    <t>327248 DEEP BLUE GINGHAM NITESHIRT</t>
  </si>
  <si>
    <t>OP17-160-FV</t>
  </si>
  <si>
    <t>307248 DEEP BLUE GINGHAM CHEMISE 32 PULG</t>
  </si>
  <si>
    <t>OP17-161-FV</t>
  </si>
  <si>
    <t>347248 DEEP BLUE GINGHAM SHORT ROBE 36 PULG</t>
  </si>
  <si>
    <t>OP17-162-FV</t>
  </si>
  <si>
    <t>317250/S SHORT FLORES ROSADAS</t>
  </si>
  <si>
    <t>OP17-164-FV</t>
  </si>
  <si>
    <r>
      <t xml:space="preserve">317250/S SHORT FLORES ROSADAS </t>
    </r>
    <r>
      <rPr>
        <sz val="10"/>
        <color rgb="FFFF0000"/>
        <rFont val="Arial Narrow"/>
        <family val="2"/>
      </rPr>
      <t>NEIMAN</t>
    </r>
  </si>
  <si>
    <r>
      <t xml:space="preserve">397250/P PANTALON BARELY BLUE DOTS </t>
    </r>
    <r>
      <rPr>
        <sz val="10"/>
        <color rgb="FFFF0000"/>
        <rFont val="Arial Narrow"/>
        <family val="2"/>
      </rPr>
      <t>NEIMAN</t>
    </r>
  </si>
  <si>
    <t>OP17-165-FV</t>
  </si>
  <si>
    <r>
      <t xml:space="preserve">317250/TS TOP V NECK </t>
    </r>
    <r>
      <rPr>
        <sz val="10"/>
        <color rgb="FFFF0000"/>
        <rFont val="Arial Narrow"/>
        <family val="2"/>
      </rPr>
      <t>NEIMAN</t>
    </r>
  </si>
  <si>
    <t>OP17-166-FV</t>
  </si>
  <si>
    <t>397250/P PANTALON FLORES ROSADAS</t>
  </si>
  <si>
    <t>OP17-168-FV</t>
  </si>
  <si>
    <t>397250/P PANTALON FUCSIA HOJAS BLANCAS</t>
  </si>
  <si>
    <t>OP17-169-FV</t>
  </si>
  <si>
    <t xml:space="preserve">397250/P PANTALON BARELY BLUE DOTS </t>
  </si>
  <si>
    <t>OP17-170-FV</t>
  </si>
  <si>
    <t>397250/P PANTALON NAVY GEO</t>
  </si>
  <si>
    <t>OP17-171-FV</t>
  </si>
  <si>
    <t>OP17-172-FV</t>
  </si>
  <si>
    <t>317250/S SHORT AQUA CON FLORES BLANCAS</t>
  </si>
  <si>
    <t>OP17-173-FV</t>
  </si>
  <si>
    <t>317250/S SHORT FUCSIA CON HOJAS BLANCAS</t>
  </si>
  <si>
    <t>OP17-174-FV</t>
  </si>
  <si>
    <t>317250/S SHORT BARELY BLUE DOTS</t>
  </si>
  <si>
    <t>OP17-175-FV</t>
  </si>
  <si>
    <t>317250/S SHORT NAVY GEO</t>
  </si>
  <si>
    <t>OP17-176-FV</t>
  </si>
  <si>
    <t xml:space="preserve">317250/TS TOP V NECK </t>
  </si>
  <si>
    <t>OP17-177-FV</t>
  </si>
  <si>
    <r>
      <t xml:space="preserve">397249 CORAL CHECKS PJ M/L </t>
    </r>
    <r>
      <rPr>
        <sz val="10"/>
        <color rgb="FFFF0000"/>
        <rFont val="Arial Narrow"/>
        <family val="2"/>
      </rPr>
      <t>NEIMAN</t>
    </r>
  </si>
  <si>
    <t>OP17-178-FV</t>
  </si>
  <si>
    <t>397249/SS CORAL CHECKS PJ M/C</t>
  </si>
  <si>
    <t>OP17-179-FV</t>
  </si>
  <si>
    <t>317249 CORAL CHECKS SHORT SET</t>
  </si>
  <si>
    <t>OP17-180-FV</t>
  </si>
  <si>
    <t>327249 CORAL CHECKS NITESHIRT 34 PULG</t>
  </si>
  <si>
    <t>OP17-181-FV</t>
  </si>
  <si>
    <t>307249 CORAL CHECKS CHEMISE 32 PULG</t>
  </si>
  <si>
    <t>OP17-182-FV</t>
  </si>
  <si>
    <t>347249 CORAL CHECKS SHORT ROBE 36 PULG</t>
  </si>
  <si>
    <t>OP17-183-FV</t>
  </si>
  <si>
    <t>BOUTIQUES CAMISON LARGO DE MANGA CORTA</t>
  </si>
  <si>
    <t>OP17-184-FV</t>
  </si>
  <si>
    <t>BOUTIQUES/SG CAMISON CORTO DE MANGA CORTA 38 PULG</t>
  </si>
  <si>
    <t>OP17-185-FV</t>
  </si>
  <si>
    <t>BOUTIQUES CAMISON LARGP DE M/C 48 PULG</t>
  </si>
  <si>
    <t>OP17-186-FV</t>
  </si>
  <si>
    <t>307428 JASPE &amp; LACE CHEMISE CORTO 32 PULG</t>
  </si>
  <si>
    <t>OP17-187-FV</t>
  </si>
  <si>
    <t>145T</t>
  </si>
  <si>
    <t>146T</t>
  </si>
  <si>
    <t>337428 CAMISON CORTO M/C 32 PULG</t>
  </si>
  <si>
    <t>OP17-188-FV</t>
  </si>
  <si>
    <t>397428 JASPE &amp; LACE PJ M/C</t>
  </si>
  <si>
    <t>OP17-189-FV</t>
  </si>
  <si>
    <t>317428 JASPE SHORT SET</t>
  </si>
  <si>
    <t>OP17-190-FV</t>
  </si>
  <si>
    <t>307429 WATERCOLOR FLORAL CHEMISE 34 PULG</t>
  </si>
  <si>
    <t>OP17-191-FV</t>
  </si>
  <si>
    <t>337429 WATWECOLOR FLORAL GOWN 34 PULG</t>
  </si>
  <si>
    <t>OP17-192-FV</t>
  </si>
  <si>
    <t>397429 WATERCOLOR FLORAL PJ M/C</t>
  </si>
  <si>
    <t>OP17-193-FV</t>
  </si>
  <si>
    <t xml:space="preserve">317429 WATERCOLOR FLORAL SHORT SET </t>
  </si>
  <si>
    <t>OP17-194-FV</t>
  </si>
  <si>
    <t>307521 SUN PIMA DRESS SIN MANGAS</t>
  </si>
  <si>
    <t>OP17-195-FV</t>
  </si>
  <si>
    <t>337521 SUN PIMA DRESS SIN MANGAS</t>
  </si>
  <si>
    <t>OP17-196-FV</t>
  </si>
  <si>
    <t>DANDELIONS 1 CAMISON CORTO SIN MANGAS 38 PULG</t>
  </si>
  <si>
    <t>OP17-197-FV</t>
  </si>
  <si>
    <t>DANDELIONS 1/L CAMISON LARGO SIN MANGAS 38 PULG</t>
  </si>
  <si>
    <t>OP17-198-FV</t>
  </si>
  <si>
    <t>OP17-199-FV</t>
  </si>
  <si>
    <t>DANDELIONS 2 CAMISON CORTO MANGA CORTA 38 PULG</t>
  </si>
  <si>
    <t>FECHA</t>
  </si>
  <si>
    <t>N° PEDIDO</t>
  </si>
  <si>
    <t>CAPACIDAD</t>
  </si>
  <si>
    <t>FECHA DE ENTREGA</t>
  </si>
  <si>
    <t>OP</t>
  </si>
  <si>
    <t>FECHA DE INICIO</t>
  </si>
  <si>
    <t>FECHA DE INICO</t>
  </si>
  <si>
    <t>20 DEL PEDIDO ESPECIAL</t>
  </si>
  <si>
    <t>FECHA PROGRAMADA</t>
  </si>
  <si>
    <t>OROPEZA</t>
  </si>
  <si>
    <t>REALIZA EL PEGADO DE BLONDAS</t>
  </si>
  <si>
    <t>OP17-200-FV</t>
  </si>
  <si>
    <t>OP17-207-MD</t>
  </si>
  <si>
    <t>20020CA3 CAMISON M/0 Y ENTERIZO</t>
  </si>
  <si>
    <t>20022CA3 CAMISON M/C Y ENTERIZO</t>
  </si>
  <si>
    <t>20018CA3 CAMISON M/L Y ENTERIZO</t>
  </si>
  <si>
    <t>OP17-208-MD</t>
  </si>
  <si>
    <t>OP17-209-MD</t>
  </si>
  <si>
    <t>ENTREGÓ EL 24, SE PARO PRODUCCIÓN PARA PROGRAMAR PEDIDO URGENTE</t>
  </si>
  <si>
    <t>SERVICIO DE CORTE</t>
  </si>
  <si>
    <t>EL GURBIÓN SE REALIZÓ EN TEXMAYA</t>
  </si>
  <si>
    <t>FECHA DE ENTREGA REAL</t>
  </si>
  <si>
    <t>27/10/147</t>
  </si>
  <si>
    <t>MADELEY</t>
  </si>
  <si>
    <t>8/11/17 ENTREGÓ PANTALONES</t>
  </si>
  <si>
    <t>27 OCT AL 02 NOV</t>
  </si>
  <si>
    <t>OBSERVACION</t>
  </si>
  <si>
    <t>MARITZA</t>
  </si>
  <si>
    <t>ENTREGÓ EL 22/11/17</t>
  </si>
  <si>
    <t>ENTERGÓ EL 22/11/17</t>
  </si>
  <si>
    <t>18/11/17 ENTREGA SU CARGA, INDICA QUE NO SE ENTREGO FUSIONADOS</t>
  </si>
  <si>
    <t>OP17-213-FV</t>
  </si>
  <si>
    <t>OP17-214-FV</t>
  </si>
  <si>
    <t>OP17-215-FV</t>
  </si>
  <si>
    <t>OP17-216-FV</t>
  </si>
  <si>
    <t>OP17-217-FV</t>
  </si>
  <si>
    <t>OP17-218-FV</t>
  </si>
  <si>
    <t>OP17-219-FV</t>
  </si>
  <si>
    <t>165T</t>
  </si>
  <si>
    <t>354715 QUILTED POINTELLE LONG ROBE</t>
  </si>
  <si>
    <t>344715 QUILTED POINTELLE SHORT ROBE</t>
  </si>
  <si>
    <t>307709 SILKY RIBS CHEMISE CORTO</t>
  </si>
  <si>
    <t>347709 SILKY RIBS ROBE CORTO</t>
  </si>
  <si>
    <t>170T</t>
  </si>
  <si>
    <t>396239P BONE TIRED PANT</t>
  </si>
  <si>
    <t>INICIO</t>
  </si>
  <si>
    <t>FIN</t>
  </si>
  <si>
    <t>OP17-220-FV</t>
  </si>
  <si>
    <t>171T</t>
  </si>
  <si>
    <t>OP17-221-FV</t>
  </si>
  <si>
    <t>172T</t>
  </si>
  <si>
    <t>384417 CAMISON LARGO DE MANGA LARGA</t>
  </si>
  <si>
    <t>OP17-222-FV</t>
  </si>
  <si>
    <t>173T</t>
  </si>
  <si>
    <t>OP17-223-FV</t>
  </si>
  <si>
    <t>174T</t>
  </si>
  <si>
    <t>OP17-224-FV</t>
  </si>
  <si>
    <t>175T</t>
  </si>
  <si>
    <t>CORTADO</t>
  </si>
  <si>
    <r>
      <t xml:space="preserve">396241 HABERSHARY PJ </t>
    </r>
    <r>
      <rPr>
        <b/>
        <sz val="10"/>
        <color rgb="FFFF0000"/>
        <rFont val="Arial Narrow"/>
        <family val="2"/>
      </rPr>
      <t>NEIMAN</t>
    </r>
  </si>
  <si>
    <t>30264EN2 ENTERIZO ROMBOS Y ROSAS C/BORDADO SMOCK</t>
  </si>
  <si>
    <t>OP17-225-CO</t>
  </si>
  <si>
    <t>OP17-226-CO</t>
  </si>
  <si>
    <t>DICIEMBRE</t>
  </si>
  <si>
    <t>FEBRERO</t>
  </si>
  <si>
    <t>SOLO ENTERIZOS, ENTREGÓ 2/1/17</t>
  </si>
  <si>
    <t>Entregó 12/12/17 producción completa</t>
  </si>
  <si>
    <r>
      <t xml:space="preserve">396243 FINE STRIPES PJ </t>
    </r>
    <r>
      <rPr>
        <b/>
        <sz val="10"/>
        <color rgb="FFFF0000"/>
        <rFont val="Arial Narrow"/>
        <family val="2"/>
      </rPr>
      <t>NEIMAN</t>
    </r>
    <r>
      <rPr>
        <sz val="10"/>
        <color theme="1"/>
        <rFont val="Arial Narrow"/>
        <family val="2"/>
      </rPr>
      <t xml:space="preserve"> (RAYAS FINAS AZULES)</t>
    </r>
  </si>
  <si>
    <t>Entregó 04/1/18 producción completa</t>
  </si>
  <si>
    <t>6/1/18 PARA OJAL</t>
  </si>
  <si>
    <t>CORTADA</t>
  </si>
  <si>
    <t>CANT. OP</t>
  </si>
  <si>
    <r>
      <t xml:space="preserve">DANDELIONS 1 CAMISON CORTO SIN MANGAS 38 PULG </t>
    </r>
    <r>
      <rPr>
        <sz val="10"/>
        <color rgb="FFFF0000"/>
        <rFont val="Arial Narrow"/>
        <family val="2"/>
      </rPr>
      <t>neiman</t>
    </r>
  </si>
  <si>
    <r>
      <t xml:space="preserve">DANDELIONS 1/L CAMISON LARGO SIN MANGAS 38 PULG </t>
    </r>
    <r>
      <rPr>
        <sz val="10"/>
        <color rgb="FFFF0000"/>
        <rFont val="Arial Narrow"/>
        <family val="2"/>
      </rPr>
      <t>neiman</t>
    </r>
  </si>
  <si>
    <t>ENTREGÓ EL 13/1/18</t>
  </si>
  <si>
    <t>ENTREGÓ EL 17/01/2018</t>
  </si>
  <si>
    <t>ENTREGÓ EL 12/12/17</t>
  </si>
  <si>
    <t>ENTREGÓ EL 17/12/17</t>
  </si>
  <si>
    <t>28/12/17 CORTE</t>
  </si>
  <si>
    <t>CONFECCION</t>
  </si>
  <si>
    <t>OP17-227-FV</t>
  </si>
  <si>
    <t>358700 BASKETWEAVW LONG ROBE</t>
  </si>
  <si>
    <t>OP17-228-FV</t>
  </si>
  <si>
    <t>176T</t>
  </si>
  <si>
    <t>396242P DOWNTON PANT</t>
  </si>
  <si>
    <t>OP17-229-FV</t>
  </si>
  <si>
    <t>177T</t>
  </si>
  <si>
    <t>306425 JERSEY PIQUE CHEMISE CORTO</t>
  </si>
  <si>
    <t>OP17-230-FV</t>
  </si>
  <si>
    <t>178T</t>
  </si>
  <si>
    <t>179T</t>
  </si>
  <si>
    <t>336425 JERSEY Y PIQUE CAMISON CORTO MANGA</t>
  </si>
  <si>
    <t>OP17-231-FV</t>
  </si>
  <si>
    <t>180T</t>
  </si>
  <si>
    <t>BETSY CAMISON LARGO M/0</t>
  </si>
  <si>
    <t>OP17-232-FV</t>
  </si>
  <si>
    <t>181T</t>
  </si>
  <si>
    <t>OP17-233-FV</t>
  </si>
  <si>
    <t>182T</t>
  </si>
  <si>
    <t>OP18-001-FV</t>
  </si>
  <si>
    <t>1T</t>
  </si>
  <si>
    <t>386661 BUTTERKNIT EN LEOPARDO CAMISON</t>
  </si>
  <si>
    <t>OP18-002-FV</t>
  </si>
  <si>
    <t>2T</t>
  </si>
  <si>
    <t>OP18-003-FV</t>
  </si>
  <si>
    <t>3T</t>
  </si>
  <si>
    <t>OP18-004-FV</t>
  </si>
  <si>
    <t>4T</t>
  </si>
  <si>
    <t>CARLOTA 2/S HEIRLOOMS JERSEY SHORT GOWN SS</t>
  </si>
  <si>
    <t>OP18-005-FV</t>
  </si>
  <si>
    <t>5T</t>
  </si>
  <si>
    <t>CARLA 3 HEIRLOOMS LARGO M/L</t>
  </si>
  <si>
    <t>OP18-006-FV</t>
  </si>
  <si>
    <t>6T</t>
  </si>
  <si>
    <t>OP18-007-FV</t>
  </si>
  <si>
    <t>OP18-008-FV</t>
  </si>
  <si>
    <t>377660 BUTTERKNIT CORTO M/L Y BOTONES</t>
  </si>
  <si>
    <t>OP18-009-FV</t>
  </si>
  <si>
    <t>387660 BUTTERKNIT LARGO M/L Y BOTONES</t>
  </si>
  <si>
    <t>OP18-010-FV</t>
  </si>
  <si>
    <t>10T</t>
  </si>
  <si>
    <t>OP18-011-FV</t>
  </si>
  <si>
    <t xml:space="preserve">   </t>
  </si>
  <si>
    <t>WILLIAN</t>
  </si>
  <si>
    <t>LIZ</t>
  </si>
  <si>
    <t>FEBRRO</t>
  </si>
  <si>
    <r>
      <t xml:space="preserve">BOUTIQUES/SG CAMISON CORTO DE MANGA CORTA 38 PULG </t>
    </r>
    <r>
      <rPr>
        <b/>
        <sz val="10"/>
        <color rgb="FFFF0000"/>
        <rFont val="Arial Narrow"/>
        <family val="2"/>
      </rPr>
      <t>NEIMAN</t>
    </r>
  </si>
  <si>
    <r>
      <t xml:space="preserve">BOUTIQUES CAMISON LARGO DE MANGA CORTA </t>
    </r>
    <r>
      <rPr>
        <b/>
        <sz val="10"/>
        <color rgb="FFFF0000"/>
        <rFont val="Arial Narrow"/>
        <family val="2"/>
      </rPr>
      <t>NEIMAN</t>
    </r>
  </si>
  <si>
    <t>ENTREGÓ 240</t>
  </si>
  <si>
    <t>PIEZAS ENTREGADAS INCOMPLETAS, PROBLEMAS POR CAZADO DE LÍNEAS</t>
  </si>
  <si>
    <t>ENTREGÓ 14/2/18 COMPLETO</t>
  </si>
  <si>
    <t>ENTREGÓ  5/2/18</t>
  </si>
  <si>
    <t>ENTREGÓ  2/2/18</t>
  </si>
  <si>
    <t>ENTREGÓ 14/2/18, LE FALTA COMPLETAR 12 PDAS</t>
  </si>
  <si>
    <t>ENTREGÓ EL 23/2/18</t>
  </si>
  <si>
    <t>ENTREGÓ EL 22/2/18 POR FALTA DE TWILL</t>
  </si>
  <si>
    <t>14T</t>
  </si>
  <si>
    <t>15T</t>
  </si>
  <si>
    <t>16T</t>
  </si>
  <si>
    <t>17T</t>
  </si>
  <si>
    <t>18T</t>
  </si>
  <si>
    <t>19T</t>
  </si>
  <si>
    <t>20T</t>
  </si>
  <si>
    <t>21T</t>
  </si>
  <si>
    <t>365660 BUTTERKNIT LARGO SIN MANGAS</t>
  </si>
  <si>
    <t>OP18-014-FV</t>
  </si>
  <si>
    <t>OP18-015-FV</t>
  </si>
  <si>
    <t>OP18-016-FV</t>
  </si>
  <si>
    <t>OP18-017-FV</t>
  </si>
  <si>
    <t>OP18-018-FV</t>
  </si>
  <si>
    <t>OP18-019-FV</t>
  </si>
  <si>
    <t>OP18-020-FV</t>
  </si>
  <si>
    <t>OP18-021-FV</t>
  </si>
  <si>
    <t>375660 BUTTERKNIT LARGP CPN MANGA CORTA</t>
  </si>
  <si>
    <t>AH1906 TINAS BATA CORTA</t>
  </si>
  <si>
    <t>AH1806 TINAS BATA LARGA</t>
  </si>
  <si>
    <t>AH1706 TINAS CHEMISE CORTO</t>
  </si>
  <si>
    <t>AH1606 TINAS CHEMISE LARGO</t>
  </si>
  <si>
    <t>AH1506 TINAS PJ NITESHIRT CORTO</t>
  </si>
  <si>
    <t xml:space="preserve">       </t>
  </si>
  <si>
    <t xml:space="preserve">      </t>
  </si>
  <si>
    <t>CORTE</t>
  </si>
  <si>
    <t>ENTREGÓ EL  1/03/18</t>
  </si>
  <si>
    <t>ENTREGÓ EL 5/3/18, 75 PDAS</t>
  </si>
  <si>
    <t>ENTREGA 10/3/18</t>
  </si>
  <si>
    <t>OP18-022-LV</t>
  </si>
  <si>
    <t>LNO1512042301WH BATA MINI LIVLY</t>
  </si>
  <si>
    <t>OP18-023-LV</t>
  </si>
  <si>
    <t>LSS1512090101WHB BATA MRS. LIVLY</t>
  </si>
  <si>
    <t>OP18-024-LV</t>
  </si>
  <si>
    <t>MRS SET - SHORT SET BLANCO</t>
  </si>
  <si>
    <t>OP18-025-LV</t>
  </si>
  <si>
    <t>MRS SET - SHORT SET NEGRO</t>
  </si>
  <si>
    <t>OP18-026-LV</t>
  </si>
  <si>
    <t>LAW18A16012BMS PIJAMA LISTADO</t>
  </si>
  <si>
    <t>OP18-027-LV</t>
  </si>
  <si>
    <t>LAW18A16012BMS-US PIJAMA LISTADO</t>
  </si>
  <si>
    <t>OP18-028-LV</t>
  </si>
  <si>
    <t>LAW18A16012PMS PIJAMA LISTADO</t>
  </si>
  <si>
    <t>OP18-029-LV</t>
  </si>
  <si>
    <t>LAW18A16012PMS-US PIJAMA LISTADO</t>
  </si>
  <si>
    <t>OP18-030-LV</t>
  </si>
  <si>
    <t>MINI SET - SHORT SET BLANCO</t>
  </si>
  <si>
    <t>OP18-031-LV</t>
  </si>
  <si>
    <t>MINI SET - SHORT SET NEGRO</t>
  </si>
  <si>
    <t>OP18-032-FV</t>
  </si>
  <si>
    <t>22T</t>
  </si>
  <si>
    <t>TELA</t>
  </si>
  <si>
    <t>BOTONES</t>
  </si>
  <si>
    <t>TRICOT</t>
  </si>
  <si>
    <t>PUNTILLAS</t>
  </si>
  <si>
    <t>OK</t>
  </si>
  <si>
    <t>NA</t>
  </si>
  <si>
    <t>OP18-033-FV</t>
  </si>
  <si>
    <t>23T</t>
  </si>
  <si>
    <t>305660 BUTTERKNIT CORTO SIN MANGAS</t>
  </si>
  <si>
    <t>OP18-034-FV</t>
  </si>
  <si>
    <t>24T</t>
  </si>
  <si>
    <t>325660 BUTTERKNIT DE MANGA CORTA</t>
  </si>
  <si>
    <t>OP18-035-FV</t>
  </si>
  <si>
    <t>25T</t>
  </si>
  <si>
    <t>OP18-036-FV</t>
  </si>
  <si>
    <t>26T</t>
  </si>
  <si>
    <t>19/13/18</t>
  </si>
  <si>
    <t>ENTREGÓ EL 19/3/18</t>
  </si>
  <si>
    <t>FALTA BLONDA</t>
  </si>
  <si>
    <t>ENTREGÓ EL 23/3/18 PARA GURBIÓN</t>
  </si>
  <si>
    <t>OP18-037-BA</t>
  </si>
  <si>
    <t>OP18-038-BA</t>
  </si>
  <si>
    <t>OP18-039-BA</t>
  </si>
  <si>
    <t>OP18-040-BA</t>
  </si>
  <si>
    <t>OP18-041-BA</t>
  </si>
  <si>
    <t xml:space="preserve">PANAL - ROSAS ROCOCO - LAZOS ENTERIZO CON CROCHET EN CUELLO </t>
  </si>
  <si>
    <t>BAUTIZO - OSITO ENTERIZO CON CROCHET EN CUELLO</t>
  </si>
  <si>
    <t>PAYASITO ENTERIZO CON CUELLO Y PUÑOS EN NANZÚ</t>
  </si>
  <si>
    <t>ROMBOS ENTERIZO CUELLO CROCHET ROMBOS</t>
  </si>
  <si>
    <t>CUELLO CROCHET ENTERIZO</t>
  </si>
  <si>
    <t>TIZADO</t>
  </si>
  <si>
    <t>NO</t>
  </si>
  <si>
    <t>FUSIONADO</t>
  </si>
  <si>
    <t>SET BAMBINO</t>
  </si>
  <si>
    <t>BOTONES/BROCHE</t>
  </si>
  <si>
    <t>ENTERIZO PAYASITO</t>
  </si>
  <si>
    <t>POR BORDAR</t>
  </si>
  <si>
    <t>ENTERIZO BISHOP</t>
  </si>
  <si>
    <t>JUMPER Y BODY</t>
  </si>
  <si>
    <t>SET ELEFANTITOS</t>
  </si>
  <si>
    <t>ENTERIZO INGLES</t>
  </si>
  <si>
    <t>SET OVEJITAS</t>
  </si>
  <si>
    <t>PIJAMA CONEJOS</t>
  </si>
  <si>
    <t>CAMISON LACTANCIA CON SMOCK</t>
  </si>
  <si>
    <t>CAMISON ROSITAS ORGANICAS</t>
  </si>
  <si>
    <t>DESCRIPCIÓN</t>
  </si>
  <si>
    <t>ESTAMPADO</t>
  </si>
  <si>
    <t>ENTERIZO LARGO, ENTERIZO CORTE Y BODY</t>
  </si>
  <si>
    <t>CUERPO GAMUZA 60/1 BLANCO, CUELLO Y PUÑOS EN NANSÚ</t>
  </si>
  <si>
    <t>GAMUZA 60/1 BLANCO</t>
  </si>
  <si>
    <t>VILLELA ROSADA Y FRANELA BLANCA</t>
  </si>
  <si>
    <t>PANTALONES LISTADOS Y TOP GAMUZA 60/1</t>
  </si>
  <si>
    <t>SET DE GRANELITO, CON COLLARETA BLANCA</t>
  </si>
  <si>
    <t>EN TRES PRESENTACIONES M/0, M/C Y M/L</t>
  </si>
  <si>
    <t>PERU MODA</t>
  </si>
  <si>
    <t>ENTERIZO CUELLO PLANO</t>
  </si>
  <si>
    <t>GAMUZA CON CUELLO PLANO OVEJITA. CON BPRDADO DE FLORECITAS ROCOCO SALPICADAS</t>
  </si>
  <si>
    <t>CAMISON ADRIANA</t>
  </si>
  <si>
    <t>CROCHET, SE DESARROLLARA EN S, M, L Y XL</t>
  </si>
  <si>
    <t>CAMISA AMERICANA</t>
  </si>
  <si>
    <t>UNO EN TELA PLANA Y OTRO EN PUNTO AMBOS CON VIVO</t>
  </si>
  <si>
    <t>ENTERIZO CUELLO CRUZADO</t>
  </si>
  <si>
    <t>ENTERIZO BROCHES ATRÁS</t>
  </si>
  <si>
    <t>ENTERIZO ESTAMPADO</t>
  </si>
  <si>
    <t>CUERPO GAMUZA 60/1 BLANCO, PATITAS LISTADAS</t>
  </si>
  <si>
    <t>BODY CON CUELLO Y PLAQUETA PLANA</t>
  </si>
  <si>
    <t>TRES BOTONES AL FRENTE</t>
  </si>
  <si>
    <t>COCONUT</t>
  </si>
  <si>
    <t>GORRO BORDADO</t>
  </si>
  <si>
    <t>SHORT ESTAMPADO</t>
  </si>
  <si>
    <t>GRANELITO</t>
  </si>
  <si>
    <t>TELA ESTAMPADA ROJA Y AZUL</t>
  </si>
  <si>
    <t xml:space="preserve">    </t>
  </si>
  <si>
    <t>JUANA VALLADARES</t>
  </si>
  <si>
    <t>PUNTILLAS/BLONDA</t>
  </si>
  <si>
    <t>ENTREGO EL 09/4/18</t>
  </si>
  <si>
    <t>375660 BUTTERKNIT LARGP CON MANGA CORTA</t>
  </si>
  <si>
    <t>OP18-042-FV</t>
  </si>
  <si>
    <t>OP18-043-FV</t>
  </si>
  <si>
    <t>OP18-044-FV</t>
  </si>
  <si>
    <t>OP18-045-FV</t>
  </si>
  <si>
    <t>OP18-046-FV</t>
  </si>
  <si>
    <t>OP18-047-FV</t>
  </si>
  <si>
    <t>27T</t>
  </si>
  <si>
    <t>28T</t>
  </si>
  <si>
    <t>29T</t>
  </si>
  <si>
    <t>30T</t>
  </si>
  <si>
    <t>31T</t>
  </si>
  <si>
    <t>32T</t>
  </si>
  <si>
    <t>OP18-048-FV</t>
  </si>
  <si>
    <t>308700 BASKETWEAVE MAÑANOTA</t>
  </si>
  <si>
    <t>33T</t>
  </si>
  <si>
    <t>339705 PLENO VERANO SHORT GOWN SS</t>
  </si>
  <si>
    <t>309705 PLENO VERANO SHORT GOWN SIN MANGA</t>
  </si>
  <si>
    <t>319705 PLENO VERANO SHORT SET</t>
  </si>
  <si>
    <t>FECHA DE DESPACHO</t>
  </si>
  <si>
    <t>FECHA DE DESPACHO REAL</t>
  </si>
  <si>
    <t>CANT. CORTADA</t>
  </si>
  <si>
    <t>FECHA DE PEDIDO</t>
  </si>
  <si>
    <t>FECHA DESPACHO MODIFICADA</t>
  </si>
  <si>
    <t>OP18-049-CO</t>
  </si>
  <si>
    <t>OP18-050-CO</t>
  </si>
  <si>
    <t>OP18-051-CO</t>
  </si>
  <si>
    <t>OP18-052-CO</t>
  </si>
  <si>
    <t>OP18-053-CO</t>
  </si>
  <si>
    <t>OP18-054-CO</t>
  </si>
  <si>
    <t>OP18-055-CO</t>
  </si>
  <si>
    <t>OP18-056-CO</t>
  </si>
  <si>
    <t>30026 SET MANTA Y BABITA</t>
  </si>
  <si>
    <t>30030 ENTERITO BLANCO C/BORDADO SMOCK</t>
  </si>
  <si>
    <t>30131 ENTERITO LISTADO C/BORDADO SMOCK</t>
  </si>
  <si>
    <t>30025 SET GORRO Y BABERO C/BORDADO SMOCK</t>
  </si>
  <si>
    <t>70022 CAMISON M/C PRIMER GRIS</t>
  </si>
  <si>
    <t>70020 CAMISON M/0 ROSITAS ORGANICAS</t>
  </si>
  <si>
    <t>70021 CAMISON GUIRNALDAS MULTICOLORES</t>
  </si>
  <si>
    <t>70088 CAMISON M/C ADRIANA</t>
  </si>
  <si>
    <t>ENTREGÓ EL 04/4/18, POR FALTA DE BLONDA</t>
  </si>
  <si>
    <t>ENTREGÓ EL 05/5/18</t>
  </si>
  <si>
    <t>4/4/18</t>
  </si>
  <si>
    <t>ENTREGÓ EL 26/4/18</t>
  </si>
  <si>
    <t>ENTREGÓ EL 7/5/18</t>
  </si>
  <si>
    <t>ENTREGÓ EL 11/4/18</t>
  </si>
  <si>
    <t>R</t>
  </si>
  <si>
    <t>16/</t>
  </si>
  <si>
    <t>ENTREGÓ EL 6/4/18</t>
  </si>
  <si>
    <t>306425 JERSEY Y PIQUE CHEMISE CORTO</t>
  </si>
  <si>
    <t>ENTREGÓ EL 17/4/18</t>
  </si>
  <si>
    <t>CARLA 3 HEIRLOOMS LARGO MANGA LARGA</t>
  </si>
  <si>
    <t>BONIFACIO</t>
  </si>
  <si>
    <t>AYUDO EN 30 CANASTAS</t>
  </si>
  <si>
    <t>0P18-070-FV</t>
  </si>
  <si>
    <t>OP18-071-FV</t>
  </si>
  <si>
    <t>OP18-072-FV</t>
  </si>
  <si>
    <t>OP18-073-FV</t>
  </si>
  <si>
    <t>OP18-074-FV</t>
  </si>
  <si>
    <t>OP18-075-FV</t>
  </si>
  <si>
    <t>OP18-076-FV</t>
  </si>
  <si>
    <t>OP18-077-FV</t>
  </si>
  <si>
    <t>OP18-078-FV</t>
  </si>
  <si>
    <t>47T</t>
  </si>
  <si>
    <t>48T</t>
  </si>
  <si>
    <t>49T</t>
  </si>
  <si>
    <t>50T</t>
  </si>
  <si>
    <t>51T</t>
  </si>
  <si>
    <t>52T</t>
  </si>
  <si>
    <t>53T</t>
  </si>
  <si>
    <t>54T</t>
  </si>
  <si>
    <t>55T</t>
  </si>
  <si>
    <t>OP18-057-FV</t>
  </si>
  <si>
    <t>OP18-058-FV</t>
  </si>
  <si>
    <t>OP18-059-FV</t>
  </si>
  <si>
    <t>OP18-060-FV</t>
  </si>
  <si>
    <t>OP18-061-FV</t>
  </si>
  <si>
    <t>OP18-062-FV</t>
  </si>
  <si>
    <t>OP18-063-FV</t>
  </si>
  <si>
    <t>OP18-064-FV</t>
  </si>
  <si>
    <t>OP18-065-FV</t>
  </si>
  <si>
    <t>OP18-066-FV</t>
  </si>
  <si>
    <t>OP18-067-FV</t>
  </si>
  <si>
    <t>OP18-068-FV</t>
  </si>
  <si>
    <t>OP18-069-FV</t>
  </si>
  <si>
    <t>34T</t>
  </si>
  <si>
    <t>35T</t>
  </si>
  <si>
    <t>36T</t>
  </si>
  <si>
    <t>37T</t>
  </si>
  <si>
    <t>38T</t>
  </si>
  <si>
    <t>39T</t>
  </si>
  <si>
    <t>40T</t>
  </si>
  <si>
    <t>41T</t>
  </si>
  <si>
    <t>42T</t>
  </si>
  <si>
    <t>43T</t>
  </si>
  <si>
    <t>44T</t>
  </si>
  <si>
    <t>45T</t>
  </si>
  <si>
    <t>46T</t>
  </si>
  <si>
    <r>
      <t xml:space="preserve">399660 HEATHER BUTTERKNIT PJAMA </t>
    </r>
    <r>
      <rPr>
        <sz val="10"/>
        <color rgb="FFFF0000"/>
        <rFont val="Arial Narrow"/>
        <family val="2"/>
      </rPr>
      <t>NEIMAN</t>
    </r>
  </si>
  <si>
    <t>398660 BUTTERKNIT HEATHER PIJAMA CON BOTONES</t>
  </si>
  <si>
    <t>378660 BUTTERKNIT HEATHER CORTO DE MANGA LARGA Y BOTONES</t>
  </si>
  <si>
    <t>348660 BUTTERKNIT HEATHER BATA CORTA</t>
  </si>
  <si>
    <t>398432 FLORAL POSITIVE PIJAMA CON BOTONES</t>
  </si>
  <si>
    <t>328432 FLORAL POSITIVE GOWN CON BOTONES</t>
  </si>
  <si>
    <t>348719 BLACK IS BLACK BATA CORTA 36"</t>
  </si>
  <si>
    <t>308719 BLACK IS BLACK CHEMISE 34"</t>
  </si>
  <si>
    <t>338719 BLACK IS BLACK GOWN MANGA CORTA 34"</t>
  </si>
  <si>
    <t>328719 BLACK IS BLACK GOWN MANGA LARGA 34"</t>
  </si>
  <si>
    <t>398010 ST. ANDREWS PJ</t>
  </si>
  <si>
    <t>328010 ST ANDREWS NITESHIRT</t>
  </si>
  <si>
    <r>
      <t xml:space="preserve">AH1506 TINAS PJ NITESHIRT CORTO </t>
    </r>
    <r>
      <rPr>
        <sz val="10"/>
        <color rgb="FFFF0000"/>
        <rFont val="Arial Narrow"/>
        <family val="2"/>
      </rPr>
      <t>NEIMAN</t>
    </r>
  </si>
  <si>
    <r>
      <t xml:space="preserve">338432 FLORAL POSITIVE GOWN </t>
    </r>
    <r>
      <rPr>
        <sz val="10"/>
        <color rgb="FFFF0000"/>
        <rFont val="Arial Narrow"/>
        <family val="2"/>
      </rPr>
      <t>NEIMAN</t>
    </r>
  </si>
  <si>
    <t>394112 WINDSOR PJ</t>
  </si>
  <si>
    <t>394113 CHIARA PAJAMA</t>
  </si>
  <si>
    <t>FALTA APROBACION DEL CLIENTE</t>
  </si>
  <si>
    <t>DESPACHADO 16/4/18</t>
  </si>
  <si>
    <t>OP18-079-FV</t>
  </si>
  <si>
    <t>OP18-080-FV</t>
  </si>
  <si>
    <t>OP18-081-FV</t>
  </si>
  <si>
    <t>OP18-082-FV</t>
  </si>
  <si>
    <t>56T</t>
  </si>
  <si>
    <t>57T</t>
  </si>
  <si>
    <t>58T</t>
  </si>
  <si>
    <t>59T</t>
  </si>
  <si>
    <t>OP18-083-DE</t>
  </si>
  <si>
    <t>OP18-084-DE</t>
  </si>
  <si>
    <t>OP18-085-DE</t>
  </si>
  <si>
    <t>OP18-086-DE</t>
  </si>
  <si>
    <t>OP18-087-DE</t>
  </si>
  <si>
    <t>OP18-088-DE</t>
  </si>
  <si>
    <t>OP18-089-DE</t>
  </si>
  <si>
    <t>OP18-090-DE</t>
  </si>
  <si>
    <t>OP18-091-DE</t>
  </si>
  <si>
    <t>OP18-092-DE</t>
  </si>
  <si>
    <t>OP18-093-DE</t>
  </si>
  <si>
    <t>OP18-094-DE</t>
  </si>
  <si>
    <t>OP18-095-DE</t>
  </si>
  <si>
    <t>OP18-096-FV</t>
  </si>
  <si>
    <t>OP18-097-FV</t>
  </si>
  <si>
    <t>OP18-098-FV</t>
  </si>
  <si>
    <t>10019 VESTIDO ANGELA</t>
  </si>
  <si>
    <t>JUMPER</t>
  </si>
  <si>
    <t>VESTIDO ROSUTAS ORGANICAS</t>
  </si>
  <si>
    <t>VESTIDO ROSAS B</t>
  </si>
  <si>
    <t>VESTIDO GIRASOLES</t>
  </si>
  <si>
    <t>VESTIDO GRACE</t>
  </si>
  <si>
    <t>ENTERIZO LARGO SMOCK</t>
  </si>
  <si>
    <t>ENTERIZO CORTO SMOCK</t>
  </si>
  <si>
    <t>SET GORRO, BABERO Y MANTA</t>
  </si>
  <si>
    <t>CAMISON M/C Y PIJAMA PRIMER GRIS + ENTERIZO</t>
  </si>
  <si>
    <t>CAMISON Y PIJAMA GUIRNALDA MULTICOLOR</t>
  </si>
  <si>
    <t>397660 PIJAMA CLASICO BLANCO</t>
  </si>
  <si>
    <t>PIJAMA BOTON DE ROSA</t>
  </si>
  <si>
    <t>60T</t>
  </si>
  <si>
    <t>398251 END ON END PIJAMA M/L NEIMAN</t>
  </si>
  <si>
    <t>348251 END ON END BATA CORTA 37" NEIMAN</t>
  </si>
  <si>
    <t>328251 END ON END NITESHIRT 36" NEIMAN</t>
  </si>
  <si>
    <t>FECHA REAL DE TIZADO</t>
  </si>
  <si>
    <t>NO HAY TELA</t>
  </si>
  <si>
    <t>BOUTIQUES CAMISON LARGO DE M/C 48 PULG</t>
  </si>
  <si>
    <t>X TIZAR</t>
  </si>
  <si>
    <t xml:space="preserve">END ON END </t>
  </si>
  <si>
    <t>PIJAMA</t>
  </si>
  <si>
    <t>CAMISON</t>
  </si>
  <si>
    <t>BATA</t>
  </si>
  <si>
    <t>ROSADO LISTADO</t>
  </si>
  <si>
    <t>CELESTE LISTADO</t>
  </si>
  <si>
    <t>BLANCO (VIVO ROSADO Y CELESTE)</t>
  </si>
  <si>
    <t>TIRA BORDADA COLOR BLANCO</t>
  </si>
  <si>
    <t>SHORT SET</t>
  </si>
  <si>
    <t>CHEMISE</t>
  </si>
  <si>
    <t>NANSU ESTAMPADO ROSADO</t>
  </si>
  <si>
    <t>NANSU ESTAMPADO CELESTE</t>
  </si>
  <si>
    <t>PIJAMA BORDADO</t>
  </si>
  <si>
    <t>KNITS JERSEY 40/1 (BLANCO, ROSADO Y CELESTE)</t>
  </si>
  <si>
    <t>CAMISON M/CORTA</t>
  </si>
  <si>
    <t>KNITS GAMUZA 60/1 (BLANCO, ROSADO Y CELESTE)</t>
  </si>
  <si>
    <t>SUN PIMA</t>
  </si>
  <si>
    <t>MODELO 1 (BLANCO, CHARCOAL Y MARINO)</t>
  </si>
  <si>
    <t>MODELO 2 (GRIS Y AZUL)</t>
  </si>
  <si>
    <t>MODELO 3 (BLANCO, CHARCIAL Y MARINO)</t>
  </si>
  <si>
    <t>MODELO 4 (GRIS Y VERDE)</t>
  </si>
  <si>
    <t>VIVO</t>
  </si>
  <si>
    <t>CONFECCION/ACABADOS</t>
  </si>
  <si>
    <t>ST ANDREWS</t>
  </si>
  <si>
    <t>DESPACHADO EL 10/7/18</t>
  </si>
  <si>
    <t>DESPACHADO EL 10/7/18 CON VIVO CELESTE</t>
  </si>
  <si>
    <t>DESPACHADO EL 10/7/18, ROSADO Y CELESTE</t>
  </si>
  <si>
    <t>CAMISON M/CERO</t>
  </si>
  <si>
    <t>DESPACHADO EL 10/7/18 CELESTE Y BLANCO</t>
  </si>
  <si>
    <t>DESPACHADO EL 10/7/18 ROSADO</t>
  </si>
  <si>
    <t>DESPACHADO EL 10/7/18 GRIS Y VERDE</t>
  </si>
  <si>
    <t>X CORTAR</t>
  </si>
  <si>
    <t>PLANCHA</t>
  </si>
  <si>
    <t>DESPACHADO EL 13/7/18</t>
  </si>
  <si>
    <t>DESPACHADO EL 13/7/18 CHARCOAL Y BLANCO</t>
  </si>
  <si>
    <t>DESPACHADO EL 10/7/18 CON VIVO ROSADO Y OTRO 19/07/2018</t>
  </si>
  <si>
    <t>DESPACHADO 19/07/2018 VIVO CELESTE</t>
  </si>
  <si>
    <t>DESPACHADO EL 19/07/2018</t>
  </si>
  <si>
    <t>DESPACHADO EL 10/7/18 CELESTE, ROSADO Y BLANCO</t>
  </si>
  <si>
    <t>71T</t>
  </si>
  <si>
    <t xml:space="preserve">ESTADO   </t>
  </si>
  <si>
    <t>JUANA</t>
  </si>
  <si>
    <t>BEDJACKET MANGA LARGA</t>
  </si>
  <si>
    <t>LUCY QUIROZ</t>
  </si>
  <si>
    <t>KGQ04255N-K192</t>
  </si>
  <si>
    <t>KGR04258I-K192</t>
  </si>
  <si>
    <t>ENTERIZO LARGO BLANCO NIÑA</t>
  </si>
  <si>
    <t>KGU04260I-K192</t>
  </si>
  <si>
    <t>VESTIDO MANGA ALITAS BLANCO NIÑA</t>
  </si>
  <si>
    <t>KGW04256N-K192</t>
  </si>
  <si>
    <t>HUMITA BLANCO NIÑA</t>
  </si>
  <si>
    <t>KGQ04255N-K650</t>
  </si>
  <si>
    <t>ENTERIZO LARGO ROSADO NIÑA</t>
  </si>
  <si>
    <t>KGR04257I-K650</t>
  </si>
  <si>
    <t>ENTERIZO CORTO ROSADO NIÑA</t>
  </si>
  <si>
    <t>KGU04259I-K650</t>
  </si>
  <si>
    <t>VESTIDO ROSADO NIÑA</t>
  </si>
  <si>
    <t>KGW04256N-K650</t>
  </si>
  <si>
    <t>HUMITA ROSADA NIÑA</t>
  </si>
  <si>
    <t>KG304262O</t>
  </si>
  <si>
    <t>BABERO SMOCK NIÑA</t>
  </si>
  <si>
    <t>KG504263N</t>
  </si>
  <si>
    <t>GORRO SMOCK NIÑA</t>
  </si>
  <si>
    <t>KG704261O</t>
  </si>
  <si>
    <t>MANTA SMOCK NIÑA</t>
  </si>
  <si>
    <t>KBQ03700N-K480</t>
  </si>
  <si>
    <t>ENTERIZO LARGO CON CUELLO CELESTE NIÑO</t>
  </si>
  <si>
    <t>KBQ03701N-K191</t>
  </si>
  <si>
    <t>KBR03703I-K191</t>
  </si>
  <si>
    <t>ENTERIZO CORTO CON CUELLO BLANCO NIÑO</t>
  </si>
  <si>
    <t>KBR03703I-K480</t>
  </si>
  <si>
    <t>ENTERIZO CORTO CON CUELLO CELESTE NIÑO</t>
  </si>
  <si>
    <t>KBR03704I-K480</t>
  </si>
  <si>
    <t>ENTERIZO CORTO CELESTE NIÑO</t>
  </si>
  <si>
    <t>KBW03702N</t>
  </si>
  <si>
    <t>HUMITA SMOCK NIÑO</t>
  </si>
  <si>
    <t>KB303706O</t>
  </si>
  <si>
    <t>KB503707N</t>
  </si>
  <si>
    <t>GORRO SMOCK NIÑO</t>
  </si>
  <si>
    <t>KB703705O</t>
  </si>
  <si>
    <t>MANTA SMOCK NIÑO</t>
  </si>
  <si>
    <t>KG504264N</t>
  </si>
  <si>
    <t>CAPOTA SMOCK NIÑA</t>
  </si>
  <si>
    <t>BABERO SMOCK NIÑO</t>
  </si>
  <si>
    <t>OP19-110-FV</t>
  </si>
  <si>
    <t>OP19-111-FV</t>
  </si>
  <si>
    <t>ENTERIZO LARGO BLANCO NIÑO</t>
  </si>
  <si>
    <t>OP19-120-FV</t>
  </si>
  <si>
    <t>399006 SURCOS PJ</t>
  </si>
  <si>
    <t>OP19-121-FV</t>
  </si>
  <si>
    <t>309006 SURCO CHEMISE 36"</t>
  </si>
  <si>
    <t>OP19-122-FV</t>
  </si>
  <si>
    <t>349006 SURCO ROBE 48"</t>
  </si>
  <si>
    <t>OP19-123-FV</t>
  </si>
  <si>
    <t>329006 SURCO NS 36"</t>
  </si>
  <si>
    <t>OP19-124-FV</t>
  </si>
  <si>
    <t>399012 GREEN &amp; WHITE STRIPES PJ</t>
  </si>
  <si>
    <t>OP19-125-FV</t>
  </si>
  <si>
    <t>309012 GREEN &amp; STRIPES CHEMISE 36"</t>
  </si>
  <si>
    <t>OP19-126-FV</t>
  </si>
  <si>
    <t>349012 GREEN &amp; WHITE STRIPES ROBE 38"</t>
  </si>
  <si>
    <t>OP19-127-FV</t>
  </si>
  <si>
    <t>329012 GREEN &amp; WHITE STRIPES NS 36"</t>
  </si>
  <si>
    <t>OP19-128-FV</t>
  </si>
  <si>
    <t>377660 BUTTERKNIT CORTO DE MANGA LARGA Y BOTONES</t>
  </si>
  <si>
    <t>OP19-130-FV</t>
  </si>
  <si>
    <t>319660 BUTTERKNIT PIJAMA CON BOLSILLO SHORT</t>
  </si>
  <si>
    <t>OP19-131-FV</t>
  </si>
  <si>
    <t>325660 BUTTERKNIT CORTO DE MANGA CORTA</t>
  </si>
  <si>
    <t>OP19-132-FV</t>
  </si>
  <si>
    <t>379660 BUTTERKNIT LARGO DE MANGA CORTA</t>
  </si>
  <si>
    <t>OP19-133-FV</t>
  </si>
  <si>
    <t>359660 BUTTERKNIT BATA LARGA 50"</t>
  </si>
  <si>
    <t>OP19-134-FV</t>
  </si>
  <si>
    <t>ALLEGRA CAMISON CORTO DE 38" SIN MANGAS</t>
  </si>
  <si>
    <t>OP19-135-FV</t>
  </si>
  <si>
    <t>ALLEGRA CAMISON LARGO DE 48" SIN MANGAS</t>
  </si>
  <si>
    <t>PATRICIA</t>
  </si>
  <si>
    <t>57T-R1</t>
  </si>
  <si>
    <t>60T-R1</t>
  </si>
  <si>
    <t>61T-R1</t>
  </si>
  <si>
    <t>66T-R1</t>
  </si>
  <si>
    <t xml:space="preserve">399660 BUTTERKNIT PIJAMA CON BOLSILLO </t>
  </si>
  <si>
    <t>67T-R1</t>
  </si>
  <si>
    <t>69T-R1</t>
  </si>
  <si>
    <t>70T-R1</t>
  </si>
  <si>
    <t>OP19-137-FV</t>
  </si>
  <si>
    <t>72T-R1</t>
  </si>
  <si>
    <t>ENTERIZO CORTO BLANCO NIÑA</t>
  </si>
  <si>
    <t>OP19-146-KS</t>
  </si>
  <si>
    <t>OP19-147-KS</t>
  </si>
  <si>
    <t>OP19-148-KS</t>
  </si>
  <si>
    <t>OP19-149-KS</t>
  </si>
  <si>
    <t>OP19-150-KS</t>
  </si>
  <si>
    <t>OP19-151-KS</t>
  </si>
  <si>
    <t>OP19-152-KS</t>
  </si>
  <si>
    <t>OP19-153-KS</t>
  </si>
  <si>
    <t>OP19-154-KS</t>
  </si>
  <si>
    <t>OP19-155-KS</t>
  </si>
  <si>
    <t>OP19-156-KS</t>
  </si>
  <si>
    <t>OP19-157-KS</t>
  </si>
  <si>
    <t>OP19-158-KS</t>
  </si>
  <si>
    <t>OP19-159-KS</t>
  </si>
  <si>
    <t>OP19-160-KS</t>
  </si>
  <si>
    <t>OP19-161-KS</t>
  </si>
  <si>
    <t>OP19-162-KS</t>
  </si>
  <si>
    <t>OP19-163-KS</t>
  </si>
  <si>
    <t>OP19-164-KS</t>
  </si>
  <si>
    <t>OP19-165-KS</t>
  </si>
  <si>
    <t>OP19-166-KS</t>
  </si>
  <si>
    <t>|</t>
  </si>
  <si>
    <t>OP20-001-MR</t>
  </si>
  <si>
    <t>S/S GOWN</t>
  </si>
  <si>
    <t>OP20-002-MR</t>
  </si>
  <si>
    <t>OP20-003-MR</t>
  </si>
  <si>
    <t>OP20-004-MR</t>
  </si>
  <si>
    <t>OP20-005-MR</t>
  </si>
  <si>
    <t>PJ</t>
  </si>
  <si>
    <t>3/4 PJ</t>
  </si>
  <si>
    <t>MANGA CERO</t>
  </si>
  <si>
    <t>SHORT SLEEVE</t>
  </si>
  <si>
    <t>S/S GOWN, Referencia Elizabth</t>
  </si>
  <si>
    <t>PJ, Referencia Elizabth</t>
  </si>
  <si>
    <t>3/4 PJ, Referencia Victoria</t>
  </si>
  <si>
    <t>MANGA CERO, Referencia Victoria</t>
  </si>
  <si>
    <t>OP20-006-FV</t>
  </si>
  <si>
    <t>OP20-007-KS</t>
  </si>
  <si>
    <t>OP20-008-KS</t>
  </si>
  <si>
    <t>OP20-009-KS</t>
  </si>
  <si>
    <t>OP20-010-KS</t>
  </si>
  <si>
    <t>OP20-011-KS</t>
  </si>
  <si>
    <t>OP20-012-KS</t>
  </si>
  <si>
    <t>OP20-013-KS</t>
  </si>
  <si>
    <t>OP20-014-KS</t>
  </si>
  <si>
    <t>OP20-015-KS</t>
  </si>
  <si>
    <t>OP20-016-KS</t>
  </si>
  <si>
    <t>OP20-017-KS</t>
  </si>
  <si>
    <t>OP20-018-KS</t>
  </si>
  <si>
    <t>OP20-019-KS</t>
  </si>
  <si>
    <t>OP20-020-KS</t>
  </si>
  <si>
    <t>OP20-021-KS</t>
  </si>
  <si>
    <t>OP20-023-LM</t>
  </si>
  <si>
    <t>OP20-025-CDL</t>
  </si>
  <si>
    <t>OP20-026-MR</t>
  </si>
  <si>
    <t>OP20-027-MR</t>
  </si>
  <si>
    <t>OP20-028-MR</t>
  </si>
  <si>
    <t>OP20-029-MR</t>
  </si>
  <si>
    <t>OP20-030-MR</t>
  </si>
  <si>
    <t>OP20-031-MR</t>
  </si>
  <si>
    <t>BABERO NIÑA</t>
  </si>
  <si>
    <t>KG305372O-K650</t>
  </si>
  <si>
    <t>GORRO NIÑA</t>
  </si>
  <si>
    <t>KG505373N-K650</t>
  </si>
  <si>
    <t>KG705371O-K650</t>
  </si>
  <si>
    <t>MANTA NIÑA</t>
  </si>
  <si>
    <t>ENTERIZO LARGO   CON PECHERA  BORDADA</t>
  </si>
  <si>
    <t>KGQ05367N-K650</t>
  </si>
  <si>
    <t>ENTERIZO LARGO   CON TIRA  BORDADA</t>
  </si>
  <si>
    <t>SET VESTIDO CON PECHERA  BORDADA</t>
  </si>
  <si>
    <t>KGU05370I-K650</t>
  </si>
  <si>
    <t>HUMITA NIÑA CON PECHERA BORDADA</t>
  </si>
  <si>
    <t>KGW05369N-K650</t>
  </si>
  <si>
    <t>BABERO NIÑO</t>
  </si>
  <si>
    <t>GORRO NIÑO</t>
  </si>
  <si>
    <t>MANTA NIÑO</t>
  </si>
  <si>
    <t>KB305365O-K650</t>
  </si>
  <si>
    <t>KB505366N-K650</t>
  </si>
  <si>
    <t>KB705364O-K650</t>
  </si>
  <si>
    <t>PLAYSUIT CON CUELLO</t>
  </si>
  <si>
    <t>KB805363I-K650</t>
  </si>
  <si>
    <t>ENTERIZO</t>
  </si>
  <si>
    <t>KBQ05360N-K650</t>
  </si>
  <si>
    <t>KBQ05361N-K650</t>
  </si>
  <si>
    <t>KBQ05362N-K650</t>
  </si>
  <si>
    <t>HUMITA NIÑO</t>
  </si>
  <si>
    <t>ENTERIZO CON PECHERA BORDADA</t>
  </si>
  <si>
    <t>ENTERIZO CON CUELLO BLANCO NIÑO</t>
  </si>
  <si>
    <t>SET HAT &amp; BAG</t>
  </si>
  <si>
    <t>ENTERIZO PIQUE</t>
  </si>
  <si>
    <t>CHAQUETA + PANTALON</t>
  </si>
  <si>
    <t>CONJUNTO</t>
  </si>
  <si>
    <t>SHORT PLAY MODELO ADRIAN</t>
  </si>
  <si>
    <t>SHORT PLAY MODELO ADRIANA</t>
  </si>
  <si>
    <t>SHORT PLAY</t>
  </si>
  <si>
    <t>MANTA</t>
  </si>
  <si>
    <t>BABERO</t>
  </si>
  <si>
    <t>OP20-032-MR</t>
  </si>
  <si>
    <t>OP20-033-MR</t>
  </si>
  <si>
    <t>OP20-034-MR</t>
  </si>
  <si>
    <t>OP20-035-MR</t>
  </si>
  <si>
    <t>GORRO</t>
  </si>
  <si>
    <t>OP20-036-MR</t>
  </si>
  <si>
    <t>OP20-037-MR</t>
  </si>
  <si>
    <t>JOHN</t>
  </si>
  <si>
    <t>SACO</t>
  </si>
  <si>
    <t>MANTA MODELO ANDRES</t>
  </si>
  <si>
    <t>MANTA MODELO ANDREA</t>
  </si>
  <si>
    <t>BABERO MODELO ANDRES</t>
  </si>
  <si>
    <t>BABERO MODELO ANDREA</t>
  </si>
  <si>
    <t>GORRO MODELO ANDRES</t>
  </si>
  <si>
    <t>GORRO MODELO ANDREA</t>
  </si>
  <si>
    <t>ENTERIZO MODELO ANDREA</t>
  </si>
  <si>
    <t>ENTERIZO MODELO ANDRES</t>
  </si>
  <si>
    <t>SACO MODELO ANDREA</t>
  </si>
  <si>
    <t>SACO MODELO ANDRES</t>
  </si>
  <si>
    <t>OP20-038-FV</t>
  </si>
  <si>
    <t>OP20-039-FV</t>
  </si>
  <si>
    <t>OP20-040-FV</t>
  </si>
  <si>
    <t>OP20-041-FV</t>
  </si>
  <si>
    <t>OP20-042-FV</t>
  </si>
  <si>
    <t>OP20-043-FV</t>
  </si>
  <si>
    <t>OP20-044-FV</t>
  </si>
  <si>
    <t>OP20-045-FV</t>
  </si>
  <si>
    <t>OP20-046-FV</t>
  </si>
  <si>
    <t>OP20-047-FV</t>
  </si>
  <si>
    <t>OP20-048-FV</t>
  </si>
  <si>
    <t>OP20-049-FV</t>
  </si>
  <si>
    <t>OP20-050-FV</t>
  </si>
  <si>
    <t>OP20-051-MR</t>
  </si>
  <si>
    <t>OP20-052-MR</t>
  </si>
  <si>
    <t>OP20-053-MR</t>
  </si>
  <si>
    <t>BATA KIMONA EN PIQUE ITALIANO</t>
  </si>
  <si>
    <t>MODELO JENNA</t>
  </si>
  <si>
    <t>MODELO ASHEY</t>
  </si>
  <si>
    <t>BATA KIMONA</t>
  </si>
  <si>
    <t>DESPACHADO</t>
  </si>
  <si>
    <t>ELLE 220  SHORT SLEEVE</t>
  </si>
  <si>
    <t>BUTTERKNIT BORDADO LACY JERSEY SOLIDO</t>
  </si>
  <si>
    <t>BUTTERKNIT BORDADO CONSUELO 3 JERSEY SOLIDO</t>
  </si>
  <si>
    <t>CAMISON SMOCK MODELO JENNE BORDADOS</t>
  </si>
  <si>
    <t>CAMISON SMOCK MODELO ASHEY BORDADOS</t>
  </si>
  <si>
    <t>JESRSEY LEOPARDO LEOPARDO JERSEY</t>
  </si>
  <si>
    <t>DESPACHADO CDL</t>
  </si>
  <si>
    <t>Consuelo 3 (13T)</t>
  </si>
  <si>
    <t>OP20-054-FV</t>
  </si>
  <si>
    <t>OP20-055-FV</t>
  </si>
  <si>
    <t>OP20-056-FV</t>
  </si>
  <si>
    <t>BUTTERKNIT PIJAMA CON BOTONES</t>
  </si>
  <si>
    <t xml:space="preserve">AH1006 (15T) </t>
  </si>
  <si>
    <t xml:space="preserve">397660 (14T) </t>
  </si>
  <si>
    <t>356661 (2T)</t>
  </si>
  <si>
    <t>396661 (1T)</t>
  </si>
  <si>
    <t>386661 (3T)</t>
  </si>
  <si>
    <t xml:space="preserve">BUTTERKNIT EN LEOPARDO CAMISON </t>
  </si>
  <si>
    <t>BUTTERKNIT EN LEOPARDO PIJAMA</t>
  </si>
  <si>
    <t>BUTTERKNIT EN LEOPARDO ROBE</t>
  </si>
  <si>
    <t>SL 02 (8T)</t>
  </si>
  <si>
    <t>SPRING LEOP/0 (9T)</t>
  </si>
  <si>
    <t>SPRING LEOP/SS(10T)</t>
  </si>
  <si>
    <t>PATRICIA (11T)</t>
  </si>
  <si>
    <t>CAMISON CORTO MANGA CORTA 38" (bordado)</t>
  </si>
  <si>
    <t>CAMISON CORTO SIN MANGAS 38" (bordado)</t>
  </si>
  <si>
    <t>CAMISON CORTO SIN MANGAS 36" (bordado)</t>
  </si>
  <si>
    <t>370801 (12T)</t>
  </si>
  <si>
    <t>390405 (4T)</t>
  </si>
  <si>
    <t>393418 (6T)</t>
  </si>
  <si>
    <t>PIJAMA PRINTED JERSEY LEOPARDO</t>
  </si>
  <si>
    <t>380405 (5T)</t>
  </si>
  <si>
    <t>CAMISON LARGO 48" PRINTED JERSEY LEOPARDO</t>
  </si>
  <si>
    <t>323418 (7T)</t>
  </si>
  <si>
    <t>CAMISON PRINTED JERSEY LEOPARDO</t>
  </si>
  <si>
    <t>397660 (77T)</t>
  </si>
  <si>
    <t>OP20-057-KS</t>
  </si>
  <si>
    <t>OP20-058-KS</t>
  </si>
  <si>
    <t>OP20-059-KS</t>
  </si>
  <si>
    <t>OP20-060-KS</t>
  </si>
  <si>
    <t>OP20-061-KS</t>
  </si>
  <si>
    <t>OP20-062-KS</t>
  </si>
  <si>
    <t>KBW06241N</t>
  </si>
  <si>
    <t>KBR06242I</t>
  </si>
  <si>
    <t>KBR06243I</t>
  </si>
  <si>
    <t>KB706244O</t>
  </si>
  <si>
    <t>KB306245O</t>
  </si>
  <si>
    <t>KB506246N</t>
  </si>
  <si>
    <t>KGQ06247N</t>
  </si>
  <si>
    <t>KGW06248N</t>
  </si>
  <si>
    <t>KGD06249N</t>
  </si>
  <si>
    <t>KGR06250I</t>
  </si>
  <si>
    <t>KG706251O</t>
  </si>
  <si>
    <t>KG306252O</t>
  </si>
  <si>
    <t>KG506253N</t>
  </si>
  <si>
    <t>KG506254N</t>
  </si>
  <si>
    <t>OP20-063-KS</t>
  </si>
  <si>
    <t>OP20-064-KS</t>
  </si>
  <si>
    <t>OP20-065-KS</t>
  </si>
  <si>
    <t>OP20-066-KS</t>
  </si>
  <si>
    <t>OP20-067-KS</t>
  </si>
  <si>
    <t>OP20-068-KS</t>
  </si>
  <si>
    <t>OP20-069-KS</t>
  </si>
  <si>
    <t>OP20-070-KS</t>
  </si>
  <si>
    <t>OP20-071-KS</t>
  </si>
  <si>
    <t>HUMITA SACK W/HAND SMK</t>
  </si>
  <si>
    <t>SHORT PLAY W/HAND SMK</t>
  </si>
  <si>
    <t>SHORT PLAY W/HAND SMK C</t>
  </si>
  <si>
    <t>MANTA BLANKET W/HAND SMK</t>
  </si>
  <si>
    <t>BABERO BIB W/HAND SMK</t>
  </si>
  <si>
    <t>GORRO HAT W/HAND SMK</t>
  </si>
  <si>
    <t>ENTERIZO FOOTIE W/HAND SMK NIÑA</t>
  </si>
  <si>
    <t>ENTERIZO LARGO FOOTIE W/HAND SMK NIÑO</t>
  </si>
  <si>
    <t>BUBBLE W/HAND SMK</t>
  </si>
  <si>
    <t>CAPOTA NIÑA</t>
  </si>
  <si>
    <t>65T  Neiman</t>
  </si>
  <si>
    <t>OP19-169-FV</t>
  </si>
  <si>
    <t>OP19-170-FV</t>
  </si>
  <si>
    <t>OP19-171-FV</t>
  </si>
  <si>
    <t>OP19-172-FV</t>
  </si>
  <si>
    <t>CARLA 3</t>
  </si>
  <si>
    <t>CARLOTA 2/L</t>
  </si>
  <si>
    <t>350500/Z</t>
  </si>
  <si>
    <t>NEW BUTTERKNITS BATA CON CIERRE GAMUZA 50/1</t>
  </si>
  <si>
    <t>CAMISON JERSEY 80/1 WHITE</t>
  </si>
  <si>
    <t>HERLING JERSEY LONG GOWN  JERSYE 80/1 WHITE</t>
  </si>
  <si>
    <t>PIJAMA CON BOTONES 100% PIMA COTTON 60/1</t>
  </si>
  <si>
    <t>John</t>
  </si>
  <si>
    <t>Texmaya</t>
  </si>
  <si>
    <t>Luz</t>
  </si>
  <si>
    <t>KBQ06240N</t>
  </si>
  <si>
    <t>68T Neiman</t>
  </si>
  <si>
    <t>66T-R1 Neiman</t>
  </si>
  <si>
    <t>azure</t>
  </si>
  <si>
    <t>azure, pinki pink</t>
  </si>
  <si>
    <t>AH1506 (17T)</t>
  </si>
  <si>
    <t>TINAS PJ NITESHIRT CORTO (CAMISON)</t>
  </si>
  <si>
    <t>TINAS PJ MANGA LARGA (PIJAMA)</t>
  </si>
  <si>
    <t>OP20-072-TM</t>
  </si>
  <si>
    <t>Mascarilla</t>
  </si>
  <si>
    <t>Mascarilla Modelo 01</t>
  </si>
  <si>
    <t>OP20-073-MFC</t>
  </si>
  <si>
    <t>OP20-074-MFC</t>
  </si>
  <si>
    <t>OP20-075-MFC</t>
  </si>
  <si>
    <t>OP20-076-MFC</t>
  </si>
  <si>
    <t>OP20-077-FV</t>
  </si>
  <si>
    <t>OP20-078-FV</t>
  </si>
  <si>
    <t>OP20-079-FV</t>
  </si>
  <si>
    <t>397660 (19T)</t>
  </si>
  <si>
    <t>377660 (18T)</t>
  </si>
  <si>
    <t>387660 (17T)</t>
  </si>
  <si>
    <t>BUTTERKNITS PIJAMA CON BOTONES</t>
  </si>
  <si>
    <t>BUTTERKNITS CORTO DE MANGA LARGA Y BOTONES</t>
  </si>
  <si>
    <t>BUTTERKNITS LARGO C/MANGA LARGA Y BOTONES</t>
  </si>
  <si>
    <t>Pijama Diseño 1</t>
  </si>
  <si>
    <t>Pijama Diseñio 1 Niñas, Niños</t>
  </si>
  <si>
    <t>Pijama Diseñio 2 Niñas, Niños</t>
  </si>
  <si>
    <t>Pijama Diseñio 1 Damas</t>
  </si>
  <si>
    <t>Pijama Diseñio 2 Damas</t>
  </si>
  <si>
    <t>Madeley</t>
  </si>
  <si>
    <t>Lucy</t>
  </si>
  <si>
    <t>STAND BYE</t>
  </si>
  <si>
    <t>COZY</t>
  </si>
  <si>
    <t>PIJAMA COZY</t>
  </si>
  <si>
    <t>EDGAR</t>
  </si>
  <si>
    <t>OP20-082-TM</t>
  </si>
  <si>
    <t xml:space="preserve">Mascarilla </t>
  </si>
  <si>
    <t>Mascarilla Anatomica Subliminada</t>
  </si>
  <si>
    <t>Mascarilla Anatomica Interlock</t>
  </si>
  <si>
    <t>OP20-081-MR</t>
  </si>
  <si>
    <t>OP20-087-FV</t>
  </si>
  <si>
    <t>OP20-086-FV</t>
  </si>
  <si>
    <t>OP20-085-FV</t>
  </si>
  <si>
    <t>OP20-084-FV</t>
  </si>
  <si>
    <t>OP20-083-FV</t>
  </si>
  <si>
    <t>OP20-088-FV</t>
  </si>
  <si>
    <t>OP20-089-FV</t>
  </si>
  <si>
    <t>OP20-090-FV</t>
  </si>
  <si>
    <t>OP20-091-FV</t>
  </si>
  <si>
    <t>OP20-092-FV</t>
  </si>
  <si>
    <t>OP20-093-FV</t>
  </si>
  <si>
    <t>OP20-094-FV</t>
  </si>
  <si>
    <t>OP20-095-FV</t>
  </si>
  <si>
    <t>315/0 (20T)</t>
  </si>
  <si>
    <t>390664 (21T)</t>
  </si>
  <si>
    <t>350664 (22T)</t>
  </si>
  <si>
    <t>360664 (23T)</t>
  </si>
  <si>
    <t>358700 (24T)</t>
  </si>
  <si>
    <t>358700/Z (25T)</t>
  </si>
  <si>
    <t>396661 (26T)</t>
  </si>
  <si>
    <t>390666 (27T)</t>
  </si>
  <si>
    <t>350666 (28T)</t>
  </si>
  <si>
    <t>380666 (29T)</t>
  </si>
  <si>
    <t>393407 (30T)</t>
  </si>
  <si>
    <t>320407 (31T)</t>
  </si>
  <si>
    <t>PIPPA (32T)</t>
  </si>
  <si>
    <t>UPPER EAST SIDE PIJAMA</t>
  </si>
  <si>
    <t>TANK SIN MANGAS BASICO</t>
  </si>
  <si>
    <t>UPPER EAST SIDE LONG ROBE</t>
  </si>
  <si>
    <t>UPPER EAST SIDE LONG TANK</t>
  </si>
  <si>
    <t>BASKETWEAVE LONG ROBE</t>
  </si>
  <si>
    <t>BASKETWEAVE LONG ROBE CON ZIPPER</t>
  </si>
  <si>
    <t>BUTERKNIT EN LEOPARDO PIJAMA</t>
  </si>
  <si>
    <t>FLOWERED BUTERKNIT PIJAMA</t>
  </si>
  <si>
    <t>FLOWERED BUTERKNIT LONG ROBE</t>
  </si>
  <si>
    <t>FLOWERED BUTERKNIT long gown /ls</t>
  </si>
  <si>
    <t>WHITE FLOWERED JERSEY</t>
  </si>
  <si>
    <t>CAMISON LARGO MANGAS DE FLUTTER</t>
  </si>
  <si>
    <t>WHITE FLOWERED SHORT GOIWN 36"</t>
  </si>
  <si>
    <t>OP20-096-FV</t>
  </si>
  <si>
    <t>OP20-097-FV</t>
  </si>
  <si>
    <t>OP20-101-MR</t>
  </si>
  <si>
    <t>OP20-103-MR</t>
  </si>
  <si>
    <t>OP20-098-MR</t>
  </si>
  <si>
    <t>OP20-099-MR</t>
  </si>
  <si>
    <t>OP20-100-MR</t>
  </si>
  <si>
    <t>Averie PJ ML</t>
  </si>
  <si>
    <t>Averie Camison</t>
  </si>
  <si>
    <r>
      <t xml:space="preserve">     OP
</t>
    </r>
    <r>
      <rPr>
        <b/>
        <i/>
        <sz val="11"/>
        <color rgb="FF0070C0"/>
        <rFont val="Arial"/>
        <family val="2"/>
      </rPr>
      <t>Click para ver</t>
    </r>
  </si>
  <si>
    <t>OP20-104-KS</t>
  </si>
  <si>
    <t>OP20-105-KS</t>
  </si>
  <si>
    <t>OP20-106-KS</t>
  </si>
  <si>
    <t>OP20-107-KS</t>
  </si>
  <si>
    <t>OP20-108-KS</t>
  </si>
  <si>
    <t>OP20-109-KS</t>
  </si>
  <si>
    <t>OP20-110-KS</t>
  </si>
  <si>
    <t>OP20-111-KS</t>
  </si>
  <si>
    <t>OP20-112-KS</t>
  </si>
  <si>
    <t>OP20-113-KS</t>
  </si>
  <si>
    <t>OP20-114-KS</t>
  </si>
  <si>
    <t>OP20-115-KS</t>
  </si>
  <si>
    <t>Bib w/ Hand SMK</t>
  </si>
  <si>
    <t>Hat w/ Hand SMK</t>
  </si>
  <si>
    <t>Bonnet w/ Hand SMK</t>
  </si>
  <si>
    <t>Blanket w/ Hand SMK</t>
  </si>
  <si>
    <t>KGQ04255N</t>
  </si>
  <si>
    <t>Footie w/ Hand SMK</t>
  </si>
  <si>
    <t>KGR04257I</t>
  </si>
  <si>
    <t>Short Play w/ Hand SMK</t>
  </si>
  <si>
    <t>KGR04258I</t>
  </si>
  <si>
    <t>KGU04259I</t>
  </si>
  <si>
    <t>Dress Set w/ Hand SMK</t>
  </si>
  <si>
    <t>KGU04260I</t>
  </si>
  <si>
    <t>KGW04256N</t>
  </si>
  <si>
    <t>Sack w/ Hand SMK</t>
  </si>
  <si>
    <t>AH1506 (34T)</t>
  </si>
  <si>
    <t xml:space="preserve">AH1006 (33T) </t>
  </si>
  <si>
    <t>OP20-116-MR</t>
  </si>
  <si>
    <t>OP20-118-MR</t>
  </si>
  <si>
    <t>CARLOTA 1/S</t>
  </si>
  <si>
    <t>HEIRLOOMS JERSEY GOWN SL</t>
  </si>
  <si>
    <t>OP20-120-BA</t>
  </si>
  <si>
    <t>OP20-121-BA</t>
  </si>
  <si>
    <t>OP20-122-BA</t>
  </si>
  <si>
    <t>OP20-123-BA</t>
  </si>
  <si>
    <t>OP20-124-BA</t>
  </si>
  <si>
    <t>Short Play</t>
  </si>
  <si>
    <t>Bata Grace manga larga 38"</t>
  </si>
  <si>
    <t>Bata Grace 38"</t>
  </si>
  <si>
    <t>Bata Grace manga larga 50"</t>
  </si>
  <si>
    <t>Bata Grace 50"</t>
  </si>
  <si>
    <t>PJ Molalisa ML</t>
  </si>
  <si>
    <t>Pijama Monalisa Manga Larga</t>
  </si>
  <si>
    <t>Paulette ML</t>
  </si>
  <si>
    <t>Pijama Paulette Manga Larga</t>
  </si>
  <si>
    <t>Pijama Avery Manga Larga</t>
  </si>
  <si>
    <t>Camison Averie Manga Larga</t>
  </si>
  <si>
    <t>Pijama Victoria 3/4</t>
  </si>
  <si>
    <t>Chemise Elle Manga Corta</t>
  </si>
  <si>
    <t>Elle S/S</t>
  </si>
  <si>
    <t>OP20-125-KS</t>
  </si>
  <si>
    <t>OP20-126-KS</t>
  </si>
  <si>
    <t>OP20-127-KS</t>
  </si>
  <si>
    <t>OP20-128-KS</t>
  </si>
  <si>
    <t>OP20-129-KS</t>
  </si>
  <si>
    <t>OP20-130-KS</t>
  </si>
  <si>
    <t>OP20-131-KS</t>
  </si>
  <si>
    <t>OP20-132-KS</t>
  </si>
  <si>
    <t>OP20-133-KS</t>
  </si>
  <si>
    <t>Footie w/ Hand SMK C</t>
  </si>
  <si>
    <t>Short Play w/ Hand SMK C</t>
  </si>
  <si>
    <t>KBQ03700N</t>
  </si>
  <si>
    <t>KBQ03701N</t>
  </si>
  <si>
    <t>KBR03703I</t>
  </si>
  <si>
    <t>KBR03704I</t>
  </si>
  <si>
    <t>OP20-134-BB</t>
  </si>
  <si>
    <t>Enterizo con Rayas</t>
  </si>
  <si>
    <t>OP20-135-BB</t>
  </si>
  <si>
    <t>OP20-136-BB</t>
  </si>
  <si>
    <t>OP20-137-BB</t>
  </si>
  <si>
    <t>OP20-138-BB</t>
  </si>
  <si>
    <t>OP20-139-BB</t>
  </si>
  <si>
    <t>OP20-140-BB</t>
  </si>
  <si>
    <t>OP20-141-BB</t>
  </si>
  <si>
    <t>OP20-142-BB</t>
  </si>
  <si>
    <t>Enterizo blanco</t>
  </si>
  <si>
    <t>Bodies Cuello redondo con vivo</t>
  </si>
  <si>
    <t>Tops Cuello Peter Pan con vivo</t>
  </si>
  <si>
    <t>Bodies Niña cuello ruffle</t>
  </si>
  <si>
    <t>Tops Niña cuello ruffle</t>
  </si>
  <si>
    <t>Manta</t>
  </si>
  <si>
    <t>Manta Acolchada sin Hoodie</t>
  </si>
  <si>
    <t>Toalla</t>
  </si>
  <si>
    <t>Toalla con Hoodie</t>
  </si>
  <si>
    <t>Vestido</t>
  </si>
  <si>
    <t>OP20-143-FV</t>
  </si>
  <si>
    <t>Camison manga corta 36" Crystal</t>
  </si>
  <si>
    <t>Camison manga corta 48" Crystal</t>
  </si>
  <si>
    <t>Camison manga corta 48"</t>
  </si>
  <si>
    <t xml:space="preserve">Camison manga corta 36" </t>
  </si>
  <si>
    <t>Pijama Manga corta / P largo</t>
  </si>
  <si>
    <t>Bata corta antes de rodilla</t>
  </si>
  <si>
    <t>AH1506</t>
  </si>
  <si>
    <t>Produccion Local</t>
  </si>
  <si>
    <t>Luz, confecciono 60 chaq</t>
  </si>
  <si>
    <t>LUZ, MADELEY</t>
  </si>
  <si>
    <t>Luz, Enterizo, Madeley Gorro</t>
  </si>
  <si>
    <t>MADELEY,Texmaya</t>
  </si>
  <si>
    <t>OP20-144-MR</t>
  </si>
  <si>
    <t>OP20-145-MR</t>
  </si>
  <si>
    <t>OP20-146-MR</t>
  </si>
  <si>
    <t>OP20-147-MR</t>
  </si>
  <si>
    <t>OP20-148-MR</t>
  </si>
  <si>
    <t>OP20-149-MR</t>
  </si>
  <si>
    <t>OP20-150-MR</t>
  </si>
  <si>
    <t>OP20-151-KS</t>
  </si>
  <si>
    <t>OP20-152-KS</t>
  </si>
  <si>
    <t>OP20-153-KS</t>
  </si>
  <si>
    <t>OP20-154-KS</t>
  </si>
  <si>
    <t>OP20-155-KS</t>
  </si>
  <si>
    <t>OP20-156-KS</t>
  </si>
  <si>
    <t>OP20-157-KS</t>
  </si>
  <si>
    <t>OP20-158-KS</t>
  </si>
  <si>
    <t>OP20-159-KS</t>
  </si>
  <si>
    <t>OP20-160-KS</t>
  </si>
  <si>
    <t>OP20-161-KS</t>
  </si>
  <si>
    <t>OP20-163-KS</t>
  </si>
  <si>
    <t>OP20-162-KS</t>
  </si>
  <si>
    <t>Bubble w/ Hand Smk</t>
  </si>
  <si>
    <t>OP20-165-KS</t>
  </si>
  <si>
    <t>OP20-164-KS</t>
  </si>
  <si>
    <t>OP20-166-FV</t>
  </si>
  <si>
    <t>OP20-167-FV</t>
  </si>
  <si>
    <t>OP20-168-FV</t>
  </si>
  <si>
    <t>OP20-169-FV</t>
  </si>
  <si>
    <t>OP20-170-FV</t>
  </si>
  <si>
    <t>OP20-171-FV</t>
  </si>
  <si>
    <t>OP20-172-FV</t>
  </si>
  <si>
    <t>OP20-173-FV</t>
  </si>
  <si>
    <t>OP20-174-FV</t>
  </si>
  <si>
    <t>391259 (36T)</t>
  </si>
  <si>
    <t>Consuelo 2 (44T)</t>
  </si>
  <si>
    <t>396661 (43T)</t>
  </si>
  <si>
    <t>397660 (37T)</t>
  </si>
  <si>
    <t>358700 (38T)</t>
  </si>
  <si>
    <t>391258 (39T)</t>
  </si>
  <si>
    <t>341258 (40T)</t>
  </si>
  <si>
    <t>301258 (41T)</t>
  </si>
  <si>
    <t>AH1006 (42T)</t>
  </si>
  <si>
    <t>VICTOR</t>
  </si>
  <si>
    <t>VICTOR/LILA/T</t>
  </si>
  <si>
    <t>IBETH/VICTOR</t>
  </si>
  <si>
    <t>Enterizo Niño</t>
  </si>
  <si>
    <t>Enterizo Niña</t>
  </si>
  <si>
    <t>Enterizo Ositos, rombos</t>
  </si>
  <si>
    <t>Enterizo Lazos, Panal</t>
  </si>
  <si>
    <t>Enterizo cuello p</t>
  </si>
  <si>
    <t>Gorro</t>
  </si>
  <si>
    <t>LILA</t>
  </si>
  <si>
    <t>DESPACHADO MV</t>
  </si>
  <si>
    <t>Enterizo Cuello Payasito</t>
  </si>
  <si>
    <t>Short Play con tira bordada</t>
  </si>
  <si>
    <r>
      <t xml:space="preserve">PIQUE CLASSIC PAJAMA     </t>
    </r>
    <r>
      <rPr>
        <b/>
        <sz val="11"/>
        <color theme="1"/>
        <rFont val="Arial"/>
        <family val="2"/>
      </rPr>
      <t>NM</t>
    </r>
  </si>
  <si>
    <r>
      <t xml:space="preserve">BUTTERKNIT PIJAMA CON BOTONES  </t>
    </r>
    <r>
      <rPr>
        <b/>
        <sz val="11"/>
        <color theme="1"/>
        <rFont val="Arial"/>
        <family val="2"/>
      </rPr>
      <t>NM</t>
    </r>
  </si>
  <si>
    <r>
      <t xml:space="preserve">BASKETWEAVE LONG ROBE </t>
    </r>
    <r>
      <rPr>
        <b/>
        <sz val="11"/>
        <color theme="1"/>
        <rFont val="Arial"/>
        <family val="2"/>
      </rPr>
      <t>NM</t>
    </r>
  </si>
  <si>
    <r>
      <t xml:space="preserve">LYFORD KEY CAPRI PAJAMA  </t>
    </r>
    <r>
      <rPr>
        <b/>
        <sz val="11"/>
        <color theme="1"/>
        <rFont val="Arial"/>
        <family val="2"/>
      </rPr>
      <t>NM</t>
    </r>
  </si>
  <si>
    <r>
      <t xml:space="preserve">LYFORD KEY SHORT ROBE  </t>
    </r>
    <r>
      <rPr>
        <b/>
        <sz val="11"/>
        <color theme="1"/>
        <rFont val="Arial"/>
        <family val="2"/>
      </rPr>
      <t>NM</t>
    </r>
  </si>
  <si>
    <r>
      <t xml:space="preserve">LYFORD KEY SHORT CHEMISE </t>
    </r>
    <r>
      <rPr>
        <b/>
        <sz val="11"/>
        <color theme="1"/>
        <rFont val="Arial"/>
        <family val="2"/>
      </rPr>
      <t>NM</t>
    </r>
  </si>
  <si>
    <r>
      <t xml:space="preserve">TINAS PJ MANGA LARGA (PIJAMA)  </t>
    </r>
    <r>
      <rPr>
        <b/>
        <sz val="11"/>
        <color theme="1"/>
        <rFont val="Arial"/>
        <family val="2"/>
      </rPr>
      <t>NM</t>
    </r>
  </si>
  <si>
    <r>
      <t xml:space="preserve">BUTTERKNIT EN LEOPARDO PIJAMA </t>
    </r>
    <r>
      <rPr>
        <b/>
        <sz val="11"/>
        <color theme="1"/>
        <rFont val="Arial"/>
        <family val="2"/>
      </rPr>
      <t>NM</t>
    </r>
  </si>
  <si>
    <t>OP20-175-FV</t>
  </si>
  <si>
    <t>OP20-080-MR</t>
  </si>
  <si>
    <t>FEDEX</t>
  </si>
  <si>
    <t>Camison Suzanne</t>
  </si>
  <si>
    <t>Camison Desiree</t>
  </si>
  <si>
    <t>Pijama ML Cozy</t>
  </si>
  <si>
    <t>Manga Larga Pijama Cozy</t>
  </si>
  <si>
    <t>Camison Maria</t>
  </si>
  <si>
    <t>Pijama Maria</t>
  </si>
  <si>
    <t>Bata Maria</t>
  </si>
  <si>
    <t>OP20-176-FV</t>
  </si>
  <si>
    <t>OP20-177-FV</t>
  </si>
  <si>
    <t>OP20-178-FV</t>
  </si>
  <si>
    <t>OP20-179-FV</t>
  </si>
  <si>
    <t>OP20-180-FV</t>
  </si>
  <si>
    <t>OP20-181-FV</t>
  </si>
  <si>
    <t>OP20-182-FV</t>
  </si>
  <si>
    <t>OP20-183-FV</t>
  </si>
  <si>
    <t>OP20-184-FV</t>
  </si>
  <si>
    <t>OP20-185-FV</t>
  </si>
  <si>
    <t>AH1006 (45T)</t>
  </si>
  <si>
    <t>TINAS PJ MANGA LARGA</t>
  </si>
  <si>
    <t>AH1906 (46T)</t>
  </si>
  <si>
    <t>TINAS BATA CORTA</t>
  </si>
  <si>
    <t>MARISOL 1 (47T)</t>
  </si>
  <si>
    <t>CAMISON LARGO MANGA CORTO 48"</t>
  </si>
  <si>
    <t>MARISOL 2 (48T)</t>
  </si>
  <si>
    <t>CAMISON LARGO SIN MANGAS 48"</t>
  </si>
  <si>
    <t>MARISOL 3 (49T)</t>
  </si>
  <si>
    <t>CAMISON LARGO DE MGA LGA 40"</t>
  </si>
  <si>
    <t>MARISOL BEDJ (50T)</t>
  </si>
  <si>
    <t>303413 (51T)</t>
  </si>
  <si>
    <t>CAMISON CORTO SIN MANGAS</t>
  </si>
  <si>
    <t>333413 (52T)</t>
  </si>
  <si>
    <t>CAMISON CORTO DE MANGA CORTA</t>
  </si>
  <si>
    <t>384413 (53T)</t>
  </si>
  <si>
    <t>CAMISON LARGO DE MANGA LARGA 48"</t>
  </si>
  <si>
    <t>350500/Z (54T)</t>
  </si>
  <si>
    <t>NEW BUTTERKNITS ROBES ZIPPER</t>
  </si>
  <si>
    <t>380801 (55T)</t>
  </si>
  <si>
    <t>LACY JERSEY</t>
  </si>
  <si>
    <t>OP20-186-FV</t>
  </si>
  <si>
    <t>386661 (56T)</t>
  </si>
  <si>
    <t>BUTTERKNIT EN LEOPARDO CAMISON</t>
  </si>
  <si>
    <r>
      <t xml:space="preserve">CAMISON LARGO DE MGA CTA FLUTTER </t>
    </r>
    <r>
      <rPr>
        <b/>
        <sz val="11"/>
        <color theme="1"/>
        <rFont val="Arial"/>
        <family val="2"/>
      </rPr>
      <t>NM</t>
    </r>
  </si>
  <si>
    <t>OP20-187-CA</t>
  </si>
  <si>
    <t>OP20-188-CA</t>
  </si>
  <si>
    <t>OP20-189-CA</t>
  </si>
  <si>
    <t>OP20-190-CA</t>
  </si>
  <si>
    <t>OP20-191-CA</t>
  </si>
  <si>
    <t>OP20-192-CA</t>
  </si>
  <si>
    <t>BODY MOD 1</t>
  </si>
  <si>
    <t>BODY MOD 2</t>
  </si>
  <si>
    <t>BODY MOD 3</t>
  </si>
  <si>
    <t>TOP MOD 1</t>
  </si>
  <si>
    <t>TOP MOD 2</t>
  </si>
  <si>
    <t>TOP MOD 3</t>
  </si>
  <si>
    <t>OP20-193-LV</t>
  </si>
  <si>
    <t>OP20-194-LV</t>
  </si>
  <si>
    <t>Mini Robe</t>
  </si>
  <si>
    <t xml:space="preserve">Bata </t>
  </si>
  <si>
    <t>Mrs Robe</t>
  </si>
  <si>
    <t>393418 (57T)</t>
  </si>
  <si>
    <t>JERSEY LEOPARDO PIJAMA</t>
  </si>
  <si>
    <t>390405 (58T)</t>
  </si>
  <si>
    <t>PRINTED JERSEY PIJAMA</t>
  </si>
  <si>
    <t>323418 (59T)</t>
  </si>
  <si>
    <t>JERSEY LEOPARDO CAMISON</t>
  </si>
  <si>
    <t>SL 03 (60T)</t>
  </si>
  <si>
    <t>SWEET LEOP CAP GOWN</t>
  </si>
  <si>
    <t>OP20-195-FV</t>
  </si>
  <si>
    <t>OP20-196-FV</t>
  </si>
  <si>
    <t>OP20-197-FV</t>
  </si>
  <si>
    <t>OP20-198-FV</t>
  </si>
  <si>
    <t>OP20-199-KS</t>
  </si>
  <si>
    <t>OP20-200-KS</t>
  </si>
  <si>
    <t>OP20-201-KS</t>
  </si>
  <si>
    <t>OP20-202-KS</t>
  </si>
  <si>
    <t>OP20-203-KS</t>
  </si>
  <si>
    <t>OP20-204-KS</t>
  </si>
  <si>
    <t>OP20-205-KS</t>
  </si>
  <si>
    <t>OP20-206-KS</t>
  </si>
  <si>
    <t>OP20-207-KS</t>
  </si>
  <si>
    <t>OP20-208-KS</t>
  </si>
  <si>
    <t>OP20-209-KS</t>
  </si>
  <si>
    <t>OP20-210-KS</t>
  </si>
  <si>
    <t>OP20-211-KS</t>
  </si>
  <si>
    <t>OP20-212-KS</t>
  </si>
  <si>
    <t>OP20-213-KS</t>
  </si>
  <si>
    <t>KGQ06864N</t>
  </si>
  <si>
    <t>KGQ06865N</t>
  </si>
  <si>
    <t>KGW06866N</t>
  </si>
  <si>
    <t>KGU06867I</t>
  </si>
  <si>
    <t>KG806868I</t>
  </si>
  <si>
    <t>KG306869O</t>
  </si>
  <si>
    <t>KG506870N</t>
  </si>
  <si>
    <t>KBQ06871N</t>
  </si>
  <si>
    <t>KGQ06872N</t>
  </si>
  <si>
    <t>KGQ06873N</t>
  </si>
  <si>
    <t>KGW06874N</t>
  </si>
  <si>
    <t>KGZ06875I</t>
  </si>
  <si>
    <t>KB806876I</t>
  </si>
  <si>
    <t>KGU06877I</t>
  </si>
  <si>
    <t>KN306878O</t>
  </si>
  <si>
    <t>Footie w/ Hand Smk</t>
  </si>
  <si>
    <t>Sack w/ Hand Smk</t>
  </si>
  <si>
    <t>Dress Set w/ Hand Smk</t>
  </si>
  <si>
    <t>Playsuit w/ Hand Smk</t>
  </si>
  <si>
    <t>Bib w/ Hand Smk</t>
  </si>
  <si>
    <t>Hat w/ Hand Smk</t>
  </si>
  <si>
    <t>Pant Set w/ Hand Smk</t>
  </si>
  <si>
    <t>OBER</t>
  </si>
  <si>
    <t>OP20-102-MR</t>
  </si>
  <si>
    <t>OP20-214-MR</t>
  </si>
  <si>
    <t>OP20-215-MR</t>
  </si>
  <si>
    <t>OP20-216-MR</t>
  </si>
  <si>
    <t>OP20-217-MR</t>
  </si>
  <si>
    <t>OP20-218-MR</t>
  </si>
  <si>
    <t>OP20-219-MR</t>
  </si>
  <si>
    <t>Pijama Audrey</t>
  </si>
  <si>
    <t>Camison Audrey</t>
  </si>
  <si>
    <t xml:space="preserve">Camison Largo </t>
  </si>
  <si>
    <t>Camison Largo sin mangas Maria</t>
  </si>
  <si>
    <t>Cuello V mga 3/4</t>
  </si>
  <si>
    <t>Cuello V manga 3/4 Cozy</t>
  </si>
  <si>
    <t>OP20-220-FV</t>
  </si>
  <si>
    <t>OP20-221-FV</t>
  </si>
  <si>
    <t>308700 (61T)</t>
  </si>
  <si>
    <t>BASKETWEAVE BANANITA</t>
  </si>
  <si>
    <t>387660 (62T)</t>
  </si>
  <si>
    <t>BUTTERKNIT LARGO CON MANGA LARGA Y BOTONES</t>
  </si>
  <si>
    <t>OP20-222-FV</t>
  </si>
  <si>
    <t>OP20-223-FV</t>
  </si>
  <si>
    <t>377660 (63T)</t>
  </si>
  <si>
    <t>BUTTERKNIT CORTO CON MANGA LARGA Y BOTONES</t>
  </si>
  <si>
    <t>397660 (64T)</t>
  </si>
  <si>
    <t xml:space="preserve">BUTTERKNIT PIJAMA C/BOTONES </t>
  </si>
  <si>
    <t>OP20-224-FV</t>
  </si>
  <si>
    <t>OP20-225-FV</t>
  </si>
  <si>
    <t>336660X (65T)</t>
  </si>
  <si>
    <t>BUTTERKNIT CAP SL SHORT GOWN</t>
  </si>
  <si>
    <t>336425 (66T)</t>
  </si>
  <si>
    <t>JERSEY PIQUE CAMISON CORTO MANGA</t>
  </si>
  <si>
    <t>OP20-226-MFC</t>
  </si>
  <si>
    <t>OP20-227-MFC</t>
  </si>
  <si>
    <t>OP20-228-MFC</t>
  </si>
  <si>
    <t>OP20-229-FV</t>
  </si>
  <si>
    <t>OP20-230-FV</t>
  </si>
  <si>
    <t>OP20-231-MFC</t>
  </si>
  <si>
    <t>OP20-232-MFC</t>
  </si>
  <si>
    <t>OP20-233-MFC</t>
  </si>
  <si>
    <t>Pijama niño</t>
  </si>
  <si>
    <t>Pijama niña</t>
  </si>
  <si>
    <t>Pijama Verano Niña</t>
  </si>
  <si>
    <t>Pijama mama</t>
  </si>
  <si>
    <t>Pijama Verano Mama</t>
  </si>
  <si>
    <t>396661 (67T)</t>
  </si>
  <si>
    <t>356661 (68T)</t>
  </si>
  <si>
    <t>Pijama Niños</t>
  </si>
  <si>
    <t>Pijama Niñas</t>
  </si>
  <si>
    <t>Pijama Mama</t>
  </si>
  <si>
    <t>PIJAMA VERANO NIÑO</t>
  </si>
  <si>
    <t>PIJAMA VERANO NIÑA</t>
  </si>
  <si>
    <t>LULU</t>
  </si>
  <si>
    <t>PIJAMA VERANO MAMA</t>
  </si>
  <si>
    <t>Pijama Verano NiñO</t>
  </si>
  <si>
    <t>Bonifacio</t>
  </si>
  <si>
    <t>Ibeth</t>
  </si>
  <si>
    <t>Bordado Liz</t>
  </si>
  <si>
    <t>VICTOR/EDGAR/IBETH</t>
  </si>
  <si>
    <t>Bordado Mercedes</t>
  </si>
  <si>
    <t>Bordado Cesar</t>
  </si>
  <si>
    <t>BORDADO LIZ</t>
  </si>
  <si>
    <t>26/2, 26/3</t>
  </si>
  <si>
    <t>DESP 82, 134 PDAS</t>
  </si>
  <si>
    <t>OP21-001-MR</t>
  </si>
  <si>
    <t>OP21-002-MR</t>
  </si>
  <si>
    <t>OP21-003-MR</t>
  </si>
  <si>
    <t>Camison Elle mga 3/4</t>
  </si>
  <si>
    <t>Bata Elle</t>
  </si>
  <si>
    <t>Pijama Victoria Mga Cero</t>
  </si>
  <si>
    <t>OP21-013-MR</t>
  </si>
  <si>
    <t>Victoria 3/4 pajamas</t>
  </si>
  <si>
    <t>Pijama ML Cozy (Kathy)</t>
  </si>
  <si>
    <t>Pijama Manga Larga Cozy</t>
  </si>
  <si>
    <t>OP21-004-AV</t>
  </si>
  <si>
    <t>OP21-005-AV</t>
  </si>
  <si>
    <t>OP21-006-AV</t>
  </si>
  <si>
    <t>OP21-007-AV</t>
  </si>
  <si>
    <t>OP21-008-MR</t>
  </si>
  <si>
    <t>CAMISA KENDALL</t>
  </si>
  <si>
    <t>CAMISA KIM</t>
  </si>
  <si>
    <t>PANTALON KENDAL</t>
  </si>
  <si>
    <t>SHORT KIM</t>
  </si>
  <si>
    <t>OP21-010-MR</t>
  </si>
  <si>
    <t>OP21-011-MR</t>
  </si>
  <si>
    <t>OP21-012-MR</t>
  </si>
  <si>
    <t>Bata Grace ML, largo 50"</t>
  </si>
  <si>
    <t>Bata Grace ML, largo 38"</t>
  </si>
  <si>
    <t>MARIA M0 PIJAMA</t>
  </si>
  <si>
    <t>Pijama Maria M0</t>
  </si>
  <si>
    <t>Bata Grace Manga Larga 50"</t>
  </si>
  <si>
    <t>Bata Grace Manga Larga 38"</t>
  </si>
  <si>
    <t>Cozy L/S PJ  long sleeve</t>
  </si>
  <si>
    <t>Cozy pijama ml</t>
  </si>
  <si>
    <t>OP21-014-FV</t>
  </si>
  <si>
    <t>JERSEY LEOPARDO CAMISON reposic</t>
  </si>
  <si>
    <t>OP21-015-KS</t>
  </si>
  <si>
    <t>OP21-016-KS</t>
  </si>
  <si>
    <t>OP21-017-KS</t>
  </si>
  <si>
    <t>OP21-018-KS</t>
  </si>
  <si>
    <t>OP21-019-KS</t>
  </si>
  <si>
    <t>OP21-020-KS</t>
  </si>
  <si>
    <t>OP21-021-KS</t>
  </si>
  <si>
    <t>OP21-022-KS</t>
  </si>
  <si>
    <t>OP21-023-KS</t>
  </si>
  <si>
    <t>OP21-024-KS</t>
  </si>
  <si>
    <t>OP21-025-KS</t>
  </si>
  <si>
    <t>OP21-026-KS</t>
  </si>
  <si>
    <t>OP21-027-KS</t>
  </si>
  <si>
    <t>OP21-028-KS</t>
  </si>
  <si>
    <t>OP21-029-KS</t>
  </si>
  <si>
    <t>OP21-030-KS</t>
  </si>
  <si>
    <t>OP21-031-KS</t>
  </si>
  <si>
    <t>OP21-040-FV</t>
  </si>
  <si>
    <t>OP21-039-FV</t>
  </si>
  <si>
    <t>358700 ( 1T)</t>
  </si>
  <si>
    <t>BASKEATWAVE LONG ROBE</t>
  </si>
  <si>
    <t>391258 ( 2T)</t>
  </si>
  <si>
    <t>LYFORD KEY CAPRI PIJAMA</t>
  </si>
  <si>
    <t>311259 ( 3T)</t>
  </si>
  <si>
    <t>LYFORD KEY CAPRI SHORT SET</t>
  </si>
  <si>
    <t>OP21-041-FV</t>
  </si>
  <si>
    <t>OP21-042-FV</t>
  </si>
  <si>
    <t>CITY FLANNEL PAJAMA</t>
  </si>
  <si>
    <t>397333 ( 4T)</t>
  </si>
  <si>
    <t>OP21-043-FV</t>
  </si>
  <si>
    <t>OP21-044-FV</t>
  </si>
  <si>
    <t>OP21-045-FV</t>
  </si>
  <si>
    <t>OP21-046-FV</t>
  </si>
  <si>
    <t>OP21-047-FV</t>
  </si>
  <si>
    <t>OP21-048-FV</t>
  </si>
  <si>
    <t>OP21-049-MR</t>
  </si>
  <si>
    <t>OP21-050-MR</t>
  </si>
  <si>
    <t>357333 ( 5T)</t>
  </si>
  <si>
    <t>BUTTERKNITS BATA CORTA 40"</t>
  </si>
  <si>
    <t>341667 (70T)</t>
  </si>
  <si>
    <t>321667 (71T)</t>
  </si>
  <si>
    <t>BUTTERKNITS CORTO DE MANGA CORTA 48"</t>
  </si>
  <si>
    <t>301667 (72T)</t>
  </si>
  <si>
    <t>BUTTERKNITS CORTO SIN MANGAS 38"</t>
  </si>
  <si>
    <t>EMMA CAMISON 38" MGA CTA</t>
  </si>
  <si>
    <t>Camison Emma</t>
  </si>
  <si>
    <t>Pijama Emma</t>
  </si>
  <si>
    <t>EMMA PIJAMA MC PANTALON AL TOBILLO</t>
  </si>
  <si>
    <t>ENTERIZO LARGO ROJO CON  CUELLO BLANCO</t>
  </si>
  <si>
    <t>ENTERIZO ROJO CON RUFLES Y TIRA BORDADA BLANCO</t>
  </si>
  <si>
    <t>ENTERIZO LARGO BLANCO BISHOP</t>
  </si>
  <si>
    <t>HUMITA BLANCO CUELLO BISHOP</t>
  </si>
  <si>
    <t>PANT SET CON BISHOP</t>
  </si>
  <si>
    <t>ENTERIZO ROJO CUELLO BLANCO SIN PIECITOS CON TIRA BORDADA</t>
  </si>
  <si>
    <t>SET VESTIDO ROJO CUELLO BB CON TIRA BORDADA</t>
  </si>
  <si>
    <t>BABERO ROJO ARBOLITO</t>
  </si>
  <si>
    <t>BABERO BLANCO ARBOLITO</t>
  </si>
  <si>
    <t>ENTERIZO ROJO LARGO TIRA BORDADA LAZOS</t>
  </si>
  <si>
    <t>ENTERIZO LARGO PECHERA BORDADA LAZOS</t>
  </si>
  <si>
    <t>HUMITA NIÑA CON PECHERA BORDADA LAZOS</t>
  </si>
  <si>
    <t>SET VESTIDO ROJO CON PECHERA BORDADA LAZOS</t>
  </si>
  <si>
    <t>PLAYSUIT ROJO CON BLANCO TIRA BORDADA LAZOS</t>
  </si>
  <si>
    <t>BABERO BLANCO BORDADO LAZOS</t>
  </si>
  <si>
    <t>GORRO BLANCO BORDADO LAZOS</t>
  </si>
  <si>
    <t>GORRO ROJO BORDADO LAZOS</t>
  </si>
  <si>
    <t>Lulu</t>
  </si>
  <si>
    <t>OBER, LUZ</t>
  </si>
  <si>
    <t>397333 ( 7T)</t>
  </si>
  <si>
    <t>OP21-032-FV</t>
  </si>
  <si>
    <t>OP21-036-FV</t>
  </si>
  <si>
    <t>OP21-037-FV</t>
  </si>
  <si>
    <t>397660 (11T)</t>
  </si>
  <si>
    <t>387660 (12T)</t>
  </si>
  <si>
    <t>BUTTERKNITS LARGO ML Y BOTONES</t>
  </si>
  <si>
    <t>377660 (13T)</t>
  </si>
  <si>
    <t>OP21-051-FV</t>
  </si>
  <si>
    <t>OP21-052-FV</t>
  </si>
  <si>
    <t>OP21-053-FV</t>
  </si>
  <si>
    <t>380801 (14T)</t>
  </si>
  <si>
    <t xml:space="preserve">LACY JERSEY LONG WGN 3/4 </t>
  </si>
  <si>
    <t>370801 (15T)</t>
  </si>
  <si>
    <t>LACY JERSEY LONG WGN SHORT SL</t>
  </si>
  <si>
    <t>ALLEGRA (16T)</t>
  </si>
  <si>
    <t>CAMISON LARGO DE 48" SIN MANGAS</t>
  </si>
  <si>
    <t>OP21-054-KS</t>
  </si>
  <si>
    <t>OP21-055-KS</t>
  </si>
  <si>
    <t>OP21-056-KS</t>
  </si>
  <si>
    <t>OP21-057-KS</t>
  </si>
  <si>
    <t>OP21-058-KS</t>
  </si>
  <si>
    <t>OP21-059-KS</t>
  </si>
  <si>
    <t>OP21-060-KS</t>
  </si>
  <si>
    <t>ENTERIZO LARGO CELESTE CON TIRA BORDADA</t>
  </si>
  <si>
    <t>KBQ06266N</t>
  </si>
  <si>
    <t>OP21-061-KS</t>
  </si>
  <si>
    <t>KBW06268N</t>
  </si>
  <si>
    <t>KB706272O</t>
  </si>
  <si>
    <t>KB306274O</t>
  </si>
  <si>
    <t>KB506276N</t>
  </si>
  <si>
    <t>KB506277N</t>
  </si>
  <si>
    <t>KBQ06267N</t>
  </si>
  <si>
    <t>KBR06271N</t>
  </si>
  <si>
    <t>KBR06270N</t>
  </si>
  <si>
    <t>OP21-062-KS</t>
  </si>
  <si>
    <t>ENTERIZO LARGO BLANCO CON DELANTEROS BORDADA</t>
  </si>
  <si>
    <t>HUMITA CELESTE CON TIRA BORDADA</t>
  </si>
  <si>
    <t>MANTA CELESTE CON TIRA BORDADA</t>
  </si>
  <si>
    <t>ENTERIZO CORTO CON CUELLO CELESTE CON PIEZA DEL.BORDADA</t>
  </si>
  <si>
    <t>ENTERIZO CORTO CON CUELLO BLANCO CON TIRA BORDADA</t>
  </si>
  <si>
    <t>BABERO CELESTE CON TIRA BORDADA</t>
  </si>
  <si>
    <t>GORRO BLANCO CON BORDADO</t>
  </si>
  <si>
    <t>COLOR GRIS</t>
  </si>
  <si>
    <t>COLOR NAVY</t>
  </si>
  <si>
    <t>AÑO</t>
  </si>
  <si>
    <t>BORD CESAR</t>
  </si>
  <si>
    <t>OP21-063-BB</t>
  </si>
  <si>
    <t>OP21-064-BB</t>
  </si>
  <si>
    <t>OP21-065-BB</t>
  </si>
  <si>
    <t>OP21-066-BB</t>
  </si>
  <si>
    <t>MODELO MAMA 01,02,03,04,05</t>
  </si>
  <si>
    <t>MANGA LARGA CON CUELLO Y PUÑOS MAMA</t>
  </si>
  <si>
    <t>MODELO NIÑOS 01,02,03,04,05</t>
  </si>
  <si>
    <t>MANGA LARGA CON CUELLO Y PUÑOS NIÑO</t>
  </si>
  <si>
    <t>MODELO 01 PAPA</t>
  </si>
  <si>
    <t>MODELO 02 HIJO</t>
  </si>
  <si>
    <t>MANGA LARGA CON CUELLO Y PUÑOS PAPA</t>
  </si>
  <si>
    <t>MANGA LARGA CON CUELLO Y PUÑOS HIJO</t>
  </si>
  <si>
    <t>bordado</t>
  </si>
  <si>
    <t>PARC</t>
  </si>
  <si>
    <t>ok</t>
  </si>
  <si>
    <t>Texm</t>
  </si>
  <si>
    <t>Edgar</t>
  </si>
  <si>
    <t>Jesus</t>
  </si>
  <si>
    <t>JuanS</t>
  </si>
  <si>
    <t>Lirio</t>
  </si>
  <si>
    <t>Bord Cesar,Liz</t>
  </si>
  <si>
    <t>Bord Liz</t>
  </si>
  <si>
    <t>---</t>
  </si>
  <si>
    <t>OS CORTE</t>
  </si>
  <si>
    <t>OS BORDADO</t>
  </si>
  <si>
    <t>OS CONFECCION</t>
  </si>
  <si>
    <t>FICHA TECNICA</t>
  </si>
  <si>
    <t>MODELO (ORDEN)</t>
  </si>
  <si>
    <t xml:space="preserve">    DESCRPPCION DEL MODELO</t>
  </si>
  <si>
    <t>ASHLEY</t>
  </si>
  <si>
    <t>OP20-067-MR</t>
  </si>
  <si>
    <t>ASHLEY CAMISON SMOCK MANGA CERO</t>
  </si>
  <si>
    <t>CLIENTE</t>
  </si>
  <si>
    <t>FASHION VIEWS</t>
  </si>
  <si>
    <t>KISSY KISSY</t>
  </si>
  <si>
    <t>BABY BOX</t>
  </si>
  <si>
    <t>MARELLE</t>
  </si>
  <si>
    <t>OP21-038-FV</t>
  </si>
  <si>
    <t>AVECMUA</t>
  </si>
  <si>
    <t>MFC</t>
  </si>
  <si>
    <t>OP20-119-FV</t>
  </si>
  <si>
    <t>BAMBOLA</t>
  </si>
  <si>
    <t>381665 (17T)</t>
  </si>
  <si>
    <t>371665 (18T)</t>
  </si>
  <si>
    <t>351665 (19T)</t>
  </si>
  <si>
    <t>391665 (20T)</t>
  </si>
  <si>
    <t>AMANDA (21T)</t>
  </si>
  <si>
    <r>
      <t xml:space="preserve">CAMISON LARGO 50" CON MANGA LARGA </t>
    </r>
    <r>
      <rPr>
        <b/>
        <sz val="11"/>
        <rFont val="Calibri"/>
        <family val="2"/>
      </rPr>
      <t>NM</t>
    </r>
  </si>
  <si>
    <t>OP21-073-FV</t>
  </si>
  <si>
    <t>MATILDE (22T)</t>
  </si>
  <si>
    <r>
      <t xml:space="preserve">CAMISON LARGO 48" CON MANGA CORTA </t>
    </r>
    <r>
      <rPr>
        <b/>
        <sz val="11"/>
        <rFont val="Calibri"/>
        <family val="2"/>
      </rPr>
      <t>NM</t>
    </r>
  </si>
  <si>
    <t>OP21-074-FV</t>
  </si>
  <si>
    <t>350500/Z (23T)</t>
  </si>
  <si>
    <t>OP21-075-FV</t>
  </si>
  <si>
    <t>350500/B (24T)</t>
  </si>
  <si>
    <t>NEW BUTTERKNITS ROBES BOTONES</t>
  </si>
  <si>
    <t>391667 (69T R1)</t>
  </si>
  <si>
    <t>OP21-076-FV</t>
  </si>
  <si>
    <t>371667 (73T)</t>
  </si>
  <si>
    <r>
      <t xml:space="preserve">BUTTERKNITS TULIPS 48" MANGA CORTA </t>
    </r>
    <r>
      <rPr>
        <b/>
        <sz val="11"/>
        <rFont val="Calibri"/>
        <family val="2"/>
      </rPr>
      <t>NM</t>
    </r>
  </si>
  <si>
    <t>OP21-077-FV</t>
  </si>
  <si>
    <t>CARLOTA 1/S (26T)</t>
  </si>
  <si>
    <t>HEIRLOOMS JERSEY SHORT GOWN SL</t>
  </si>
  <si>
    <t>OP21-078-FV</t>
  </si>
  <si>
    <t>CARLOTA 1/L (27T)</t>
  </si>
  <si>
    <t>HEIRLOOMS JERSEY LONG GOWN SL</t>
  </si>
  <si>
    <t>OP21-079-FV</t>
  </si>
  <si>
    <t>CARLOTA 2/S (28T)</t>
  </si>
  <si>
    <t>HEIRLOOMS JERSEY SHORT GOWN SS</t>
  </si>
  <si>
    <t>OP21-080-FV</t>
  </si>
  <si>
    <t>HEIRLOOMS CORTO MANGA CORTA</t>
  </si>
  <si>
    <t>OP21-081-FV</t>
  </si>
  <si>
    <t>386661 (25T)</t>
  </si>
  <si>
    <t>OP21-083-MR</t>
  </si>
  <si>
    <t>OP21-082-MR</t>
  </si>
  <si>
    <t>OP21-084-MR</t>
  </si>
  <si>
    <t>OP21-085-MR</t>
  </si>
  <si>
    <t>OP21-086-MR</t>
  </si>
  <si>
    <t>OP21-087-MR</t>
  </si>
  <si>
    <t>OP21-088-MR</t>
  </si>
  <si>
    <t>OP21-089-MR</t>
  </si>
  <si>
    <t>OP21-090-MR</t>
  </si>
  <si>
    <t>BATA LARGA KELLY</t>
  </si>
  <si>
    <t>BATA CORTA KELLY</t>
  </si>
  <si>
    <t>Bata Larga Kelly</t>
  </si>
  <si>
    <t>Bata Corta Kelly</t>
  </si>
  <si>
    <t>BATA LARGA GRACE</t>
  </si>
  <si>
    <t>BATA CORTA GACE</t>
  </si>
  <si>
    <t>Bata Larga Grace</t>
  </si>
  <si>
    <t>Bata Corta Grace</t>
  </si>
  <si>
    <t>CHEMISE ELIZABETH</t>
  </si>
  <si>
    <t>LONG SLEEVE CHEMISE ELIZABETH</t>
  </si>
  <si>
    <t>Chemise Elizabeth</t>
  </si>
  <si>
    <t>Chemise ML Elizabeth</t>
  </si>
  <si>
    <t>BATA KIMONO</t>
  </si>
  <si>
    <t>CAMISON MANGA LARGA EMMA</t>
  </si>
  <si>
    <t>Camison ML Emma</t>
  </si>
  <si>
    <t>PIJAMA MANGA LARGA EMMA</t>
  </si>
  <si>
    <t>Pijama ML Emma</t>
  </si>
  <si>
    <t>OP21-093-FV</t>
  </si>
  <si>
    <t>OP21-094-FV</t>
  </si>
  <si>
    <t>OP21-095-FV</t>
  </si>
  <si>
    <t>OP21-096-FV</t>
  </si>
  <si>
    <t>390405 (30T)</t>
  </si>
  <si>
    <t>393418 (31T)</t>
  </si>
  <si>
    <t>JERYSE LEOPARDO PIJAMA</t>
  </si>
  <si>
    <t>323418 (32T)</t>
  </si>
  <si>
    <t>SL 02 (33T)</t>
  </si>
  <si>
    <t>SWEET LEOP SHORT CHEMISE</t>
  </si>
  <si>
    <t>OP21-097-MR</t>
  </si>
  <si>
    <t>OP21-098-MR</t>
  </si>
  <si>
    <t>OP21-099-MR</t>
  </si>
  <si>
    <t>OP21-100-MR</t>
  </si>
  <si>
    <t>OP21-101-MR</t>
  </si>
  <si>
    <t>OP21-102-MR</t>
  </si>
  <si>
    <t>OP21-103-MR</t>
  </si>
  <si>
    <t>OP21-104-MR</t>
  </si>
  <si>
    <t>OP21-105-MR</t>
  </si>
  <si>
    <t>OP21-106-MR</t>
  </si>
  <si>
    <t>OP21-107-MR</t>
  </si>
  <si>
    <t>BATA CORTA GRACE</t>
  </si>
  <si>
    <t>Bata Larga Pique</t>
  </si>
  <si>
    <t>BATA LARGA PIQUE</t>
  </si>
  <si>
    <t>Footie Andrea</t>
  </si>
  <si>
    <t>Manta Andrea</t>
  </si>
  <si>
    <t>Babero Andrea</t>
  </si>
  <si>
    <t>Gorro Andrea</t>
  </si>
  <si>
    <t>Manta Andres</t>
  </si>
  <si>
    <t>Babero Andres</t>
  </si>
  <si>
    <t>Gorro Andres</t>
  </si>
  <si>
    <t>Camison Elle MC</t>
  </si>
  <si>
    <t>CAMISON ELLE MANGA CORTA</t>
  </si>
  <si>
    <t>ENTERIZO ANDREA</t>
  </si>
  <si>
    <t>MANTA ANDREA</t>
  </si>
  <si>
    <t>BABERO ANDREA</t>
  </si>
  <si>
    <t>GORRO ANDREA</t>
  </si>
  <si>
    <t>MANTA ANDRES</t>
  </si>
  <si>
    <t>BABERO ANDRES</t>
  </si>
  <si>
    <t>GORRO ANDRES</t>
  </si>
  <si>
    <t>OP21-108-MFC</t>
  </si>
  <si>
    <t>OP21-109-MFC</t>
  </si>
  <si>
    <t>OP21-111-MFC</t>
  </si>
  <si>
    <t>OP21-113-MFC</t>
  </si>
  <si>
    <t xml:space="preserve">PIJAMA  MAMA </t>
  </si>
  <si>
    <t>PIJAMA  NIÑA</t>
  </si>
  <si>
    <t xml:space="preserve"> FLAMINGO PANTALON 3/4 + CAMISERO CORTA</t>
  </si>
  <si>
    <t>FLAMINGO SHORT + POLO CON RUFLES</t>
  </si>
  <si>
    <t>FLAMINGO SHORT + CAMISERO  CORTA</t>
  </si>
  <si>
    <t>OP21-114-MR</t>
  </si>
  <si>
    <t>OP21-115-MR</t>
  </si>
  <si>
    <t>OP21-116-MR</t>
  </si>
  <si>
    <t>OP21-117-MR</t>
  </si>
  <si>
    <t>OP21-118-MR</t>
  </si>
  <si>
    <t>OP21-119-MR</t>
  </si>
  <si>
    <t>CAMISON BORDADO 42 LARGO</t>
  </si>
  <si>
    <t>CAMISON BORDADO 36 LARGO</t>
  </si>
  <si>
    <t>BATA MANGA LARGA</t>
  </si>
  <si>
    <t>MANGA 3/4 PIJAMA</t>
  </si>
  <si>
    <t>PIJAMA MANGA CORTA</t>
  </si>
  <si>
    <t>CAMISON MANGA CORTA</t>
  </si>
  <si>
    <t>CAMISON SUE</t>
  </si>
  <si>
    <t>CAMISON SUZANNE</t>
  </si>
  <si>
    <t>BATA MARIA</t>
  </si>
  <si>
    <t>PIJAMA VICTORIA</t>
  </si>
  <si>
    <t>PIJAMA ELIZABETH</t>
  </si>
  <si>
    <t>CAMISON ELIZABETH</t>
  </si>
  <si>
    <t>TALLER VICTOR</t>
  </si>
  <si>
    <t>TALLER LUZ</t>
  </si>
  <si>
    <t>OP21-068-FV</t>
  </si>
  <si>
    <t>OP21-070-FV</t>
  </si>
  <si>
    <t>134 se despaho 06-08</t>
  </si>
  <si>
    <t>OP21-072-FV</t>
  </si>
  <si>
    <t>reposicion de delanteros</t>
  </si>
  <si>
    <t>solo se despacho el Pink Mocha</t>
  </si>
  <si>
    <t>97 prendas despachdas NM</t>
  </si>
  <si>
    <t>OP21-120-FV</t>
  </si>
  <si>
    <t>CAMISON LARGO SIN MANGAS</t>
  </si>
  <si>
    <t>OP21-121-FV</t>
  </si>
  <si>
    <t>OP21-122-FV</t>
  </si>
  <si>
    <t>OP21-123-FV</t>
  </si>
  <si>
    <t>OP21-124-FV</t>
  </si>
  <si>
    <t>OP21-125-FV</t>
  </si>
  <si>
    <t>OP21-126-FV</t>
  </si>
  <si>
    <t>BETSY (45 T)</t>
  </si>
  <si>
    <t>394112 (44T)</t>
  </si>
  <si>
    <t>WINDSOR PJ</t>
  </si>
  <si>
    <t>399011(43T)</t>
  </si>
  <si>
    <t>SAN ISIDRO PJ</t>
  </si>
  <si>
    <t>AH1706 (42T)</t>
  </si>
  <si>
    <t>TINAS CHEMISE CORTO</t>
  </si>
  <si>
    <t>AH1506(41T)</t>
  </si>
  <si>
    <t>TINAS PJ NITESHIRT CORTO</t>
  </si>
  <si>
    <t>AH1106(40T)</t>
  </si>
  <si>
    <t>TINAS PJ MANGA CORTA</t>
  </si>
  <si>
    <t>AH1006(39T)</t>
  </si>
  <si>
    <t>lirio</t>
  </si>
  <si>
    <t>OP21-128-FV</t>
  </si>
  <si>
    <t>397660(35T)</t>
  </si>
  <si>
    <t>BUTTERKNIT PIJAMA C/ BOTONES</t>
  </si>
  <si>
    <t>OP21-129-FV</t>
  </si>
  <si>
    <t>387660(36T)</t>
  </si>
  <si>
    <t>OP21-130-FV</t>
  </si>
  <si>
    <t>EMPIRE LARGO MANGA CORTA</t>
  </si>
  <si>
    <t>OP21-131-FV</t>
  </si>
  <si>
    <t>EMPIRE LARGO MANGA 3/4</t>
  </si>
  <si>
    <t>OP21-127-FV</t>
  </si>
  <si>
    <t>396661(34T)</t>
  </si>
  <si>
    <t>…</t>
  </si>
  <si>
    <t>..</t>
  </si>
  <si>
    <t>Carolina</t>
  </si>
  <si>
    <t>Emma</t>
  </si>
  <si>
    <t>Maya</t>
  </si>
  <si>
    <t>camison manga 3/4 corregir manga</t>
  </si>
  <si>
    <t>pj manga 3/4 corregir pantalones</t>
  </si>
  <si>
    <t>OP21-132-MR</t>
  </si>
  <si>
    <t>OP21-133-MR</t>
  </si>
  <si>
    <t>OP21-134-MR</t>
  </si>
  <si>
    <t>OP21-135-MR</t>
  </si>
  <si>
    <t>OP21-136-MR</t>
  </si>
  <si>
    <t>OP21-137-MR</t>
  </si>
  <si>
    <t>OP21-138-MR</t>
  </si>
  <si>
    <t>OP21-139-MR</t>
  </si>
  <si>
    <t>OP21-140-MR</t>
  </si>
  <si>
    <t>OP21-141-MR</t>
  </si>
  <si>
    <t>OP21-142-MR</t>
  </si>
  <si>
    <t>OP21-143-KS</t>
  </si>
  <si>
    <t>OP21-144-KS</t>
  </si>
  <si>
    <t>OP21-145-KS</t>
  </si>
  <si>
    <t>OP21-146-KS</t>
  </si>
  <si>
    <t>OP21-147-KS</t>
  </si>
  <si>
    <t>OP21-148-KS</t>
  </si>
  <si>
    <t>OP21-149-KS</t>
  </si>
  <si>
    <t>OP21-150-KS</t>
  </si>
  <si>
    <t>OP21-151-KS</t>
  </si>
  <si>
    <t>GORRO CELESTE CON TIRA  BORDADA</t>
  </si>
  <si>
    <t>falta tela Dusty y Pink</t>
  </si>
  <si>
    <t xml:space="preserve">falta tela Dusty y Pink  NM </t>
  </si>
  <si>
    <t xml:space="preserve">falta tela Dusty  NM </t>
  </si>
  <si>
    <t>sin despacho</t>
  </si>
  <si>
    <t>se despacho 118 prendas NM</t>
  </si>
  <si>
    <t xml:space="preserve">CAMISON LARGO DE 48" LS V NECK </t>
  </si>
  <si>
    <r>
      <t xml:space="preserve">BATA LARGA DE 50" MANGA CORTA </t>
    </r>
    <r>
      <rPr>
        <b/>
        <sz val="11"/>
        <rFont val="Arial Narrow"/>
        <family val="2"/>
      </rPr>
      <t>NM</t>
    </r>
  </si>
  <si>
    <r>
      <t xml:space="preserve">PAJAMA CON TOP BASICO V NECK </t>
    </r>
    <r>
      <rPr>
        <b/>
        <sz val="11"/>
        <rFont val="Calibri"/>
        <family val="2"/>
      </rPr>
      <t>NM</t>
    </r>
  </si>
  <si>
    <r>
      <t xml:space="preserve">CAMISON LARGO DE 48" LS V NECK </t>
    </r>
    <r>
      <rPr>
        <b/>
        <sz val="11"/>
        <rFont val="Arial Narrow"/>
        <family val="2"/>
      </rPr>
      <t>NM</t>
    </r>
  </si>
  <si>
    <t>CORTE LIRIO</t>
  </si>
  <si>
    <t>BONIOFACIO</t>
  </si>
  <si>
    <t>377650-S/S (37T)</t>
  </si>
  <si>
    <t>377650-3/4S (38T)</t>
  </si>
  <si>
    <t>LIVLY</t>
  </si>
  <si>
    <t>CORTADO PINK, BLUE</t>
  </si>
  <si>
    <t>Falta Navy</t>
  </si>
  <si>
    <t>OP21-152-MR</t>
  </si>
  <si>
    <t>OP21-153-MR</t>
  </si>
  <si>
    <t>356661  (46T)</t>
  </si>
  <si>
    <t>397660 (47T)</t>
  </si>
  <si>
    <t>387660  (48T)</t>
  </si>
  <si>
    <t>377660  (49T)</t>
  </si>
  <si>
    <t>BUTTERKNIT CORTO DE MANGA LARGA Y BOTONES</t>
  </si>
  <si>
    <t>Tipo Producto</t>
  </si>
  <si>
    <t>OP21-157-FV</t>
  </si>
  <si>
    <t>OP21-156-FV</t>
  </si>
  <si>
    <t>OP21-155-FV</t>
  </si>
  <si>
    <t>OP21-154-FV</t>
  </si>
  <si>
    <t>LAURA MILLER</t>
  </si>
  <si>
    <t>CDL</t>
  </si>
  <si>
    <t>CAPRILINA</t>
  </si>
  <si>
    <t>BEBES</t>
  </si>
  <si>
    <t>MASCARILLAS</t>
  </si>
  <si>
    <t>NIÑOS</t>
  </si>
  <si>
    <t>R VERANO</t>
  </si>
  <si>
    <t>OP21-158-LV</t>
  </si>
  <si>
    <t>OP21-159-LV</t>
  </si>
  <si>
    <t>OP21-160-LV</t>
  </si>
  <si>
    <t>OP21-161-LV</t>
  </si>
  <si>
    <t>OP21-162-LV</t>
  </si>
  <si>
    <t>OP21-163-LV</t>
  </si>
  <si>
    <t>OP21-164-LV</t>
  </si>
  <si>
    <t>OP21-165-LV</t>
  </si>
  <si>
    <t>OP21-166-LV</t>
  </si>
  <si>
    <t>OP21-167-LV</t>
  </si>
  <si>
    <t>OP21-168-LV</t>
  </si>
  <si>
    <t>10097A00100</t>
  </si>
  <si>
    <t>10097A00404</t>
  </si>
  <si>
    <t>10480A00100</t>
  </si>
  <si>
    <t>10480A00404</t>
  </si>
  <si>
    <t>11696A00100</t>
  </si>
  <si>
    <t>11695A00100</t>
  </si>
  <si>
    <t>11735A00100</t>
  </si>
  <si>
    <t>11735A00404</t>
  </si>
  <si>
    <t>11697A20800</t>
  </si>
  <si>
    <t>11697A20807</t>
  </si>
  <si>
    <t>11736A00703</t>
  </si>
  <si>
    <t>Mini Livly Robe</t>
  </si>
  <si>
    <t>Mrs. Livly Robe</t>
  </si>
  <si>
    <t>Mini Livly 2 piece set (Mini PJ)</t>
  </si>
  <si>
    <t>Mrs Livly 2 piece set (MRS PJ)</t>
  </si>
  <si>
    <t xml:space="preserve">Mrs Night Shirt </t>
  </si>
  <si>
    <t>Stripe PJ</t>
  </si>
  <si>
    <t>Long Sleeve PJ Set</t>
  </si>
  <si>
    <t>ROPA DORMIR</t>
  </si>
  <si>
    <t>CAMISON ELLE MANGA 3/4</t>
  </si>
  <si>
    <t>Camison Elle M 3/4</t>
  </si>
  <si>
    <t>CAMISON ELLE MANGA CERO</t>
  </si>
  <si>
    <t>BATA ELLE MANGA LARGA</t>
  </si>
  <si>
    <t>Camison Elle SM</t>
  </si>
  <si>
    <t>Pijama manga largas</t>
  </si>
  <si>
    <t>Pijama Lisa</t>
  </si>
  <si>
    <t>CAMISON EMMA MANGA CORTA</t>
  </si>
  <si>
    <t>CAMISON EMMA MANGA LARGA</t>
  </si>
  <si>
    <t>BATA LARGA CAROLINA manga largas</t>
  </si>
  <si>
    <t xml:space="preserve">Texm </t>
  </si>
  <si>
    <t>OP21-069-FV</t>
  </si>
  <si>
    <t>OP21-071-FV</t>
  </si>
  <si>
    <r>
      <t xml:space="preserve">CITY FLANNEL PAJAMA     </t>
    </r>
    <r>
      <rPr>
        <sz val="11"/>
        <rFont val="Calibri"/>
        <family val="2"/>
      </rPr>
      <t>NM</t>
    </r>
  </si>
  <si>
    <r>
      <t xml:space="preserve">CITY FLANNEL LONG ROBE 50" </t>
    </r>
    <r>
      <rPr>
        <sz val="11"/>
        <rFont val="Calibri"/>
        <family val="2"/>
      </rPr>
      <t>NM</t>
    </r>
  </si>
  <si>
    <r>
      <t xml:space="preserve">CITY FLANNEL NIGHTSHIRT 48" bols </t>
    </r>
    <r>
      <rPr>
        <sz val="11"/>
        <rFont val="Calibri"/>
        <family val="2"/>
      </rPr>
      <t>NM</t>
    </r>
  </si>
  <si>
    <r>
      <t xml:space="preserve">BUTTERKNITS PIJAMA SIN BOTONES </t>
    </r>
    <r>
      <rPr>
        <sz val="11"/>
        <rFont val="Calibri"/>
        <family val="2"/>
      </rPr>
      <t xml:space="preserve"> NM</t>
    </r>
  </si>
  <si>
    <t>Tshirt Estampado</t>
  </si>
  <si>
    <t>OP21-169-LV</t>
  </si>
  <si>
    <t>OP21-170-FV</t>
  </si>
  <si>
    <t>OP21-172-FV</t>
  </si>
  <si>
    <t>OP21-171-FV</t>
  </si>
  <si>
    <t>358700  (50T)</t>
  </si>
  <si>
    <t>358700/Z  (51T)</t>
  </si>
  <si>
    <t>OP21-173-FV</t>
  </si>
  <si>
    <t>350500/Z  (52T)</t>
  </si>
  <si>
    <t>327662  (53T)</t>
  </si>
  <si>
    <t>COOL NIGHT SHORT GOWN CAP SLEEVED</t>
  </si>
  <si>
    <t>Zenaida (Caize)</t>
  </si>
  <si>
    <t>EYR(FELICITA)</t>
  </si>
  <si>
    <t>LURGIA</t>
  </si>
  <si>
    <t>OP21-174-FV</t>
  </si>
  <si>
    <t>350500/B  (54T)</t>
  </si>
  <si>
    <t>OP21-176-AR</t>
  </si>
  <si>
    <t>OP21-175-AR</t>
  </si>
  <si>
    <t>ARMSTRONG</t>
  </si>
  <si>
    <t>NIÑAS</t>
  </si>
  <si>
    <t>Girls Pleated Dress</t>
  </si>
  <si>
    <t>Girls Smocked Dress</t>
  </si>
  <si>
    <t>FELICITA</t>
  </si>
  <si>
    <t>387333 ( 6T)</t>
  </si>
  <si>
    <t>CARLA 4 S/G (29T)</t>
  </si>
  <si>
    <t>IBETH O LUZ?</t>
  </si>
  <si>
    <t>Vestido Niña</t>
  </si>
  <si>
    <t>Vestido Niña c/smock</t>
  </si>
  <si>
    <t>ABAST TELA</t>
  </si>
  <si>
    <t>ABAST.TELA</t>
  </si>
  <si>
    <t>POR CINTA ENV CLIENTE</t>
  </si>
  <si>
    <r>
      <t xml:space="preserve">CAMISON LARGO DE 48" MANGA CORTA </t>
    </r>
    <r>
      <rPr>
        <b/>
        <sz val="11"/>
        <rFont val="Arial Narrow"/>
        <family val="2"/>
      </rPr>
      <t>NM</t>
    </r>
  </si>
  <si>
    <t>Conf</t>
  </si>
  <si>
    <t>Bord/Est</t>
  </si>
  <si>
    <t>Acab</t>
  </si>
  <si>
    <t>Cte</t>
  </si>
  <si>
    <t>It</t>
  </si>
  <si>
    <t>MES</t>
  </si>
  <si>
    <t>LUZ-BCO</t>
  </si>
  <si>
    <t>IBETH-CELESTE</t>
  </si>
  <si>
    <t>Cesar</t>
  </si>
  <si>
    <t>cesar</t>
  </si>
  <si>
    <t>Liz</t>
  </si>
  <si>
    <t>Bonif</t>
  </si>
  <si>
    <t>Ober</t>
  </si>
  <si>
    <t xml:space="preserve">Ibeth </t>
  </si>
  <si>
    <t>oBER</t>
  </si>
  <si>
    <t>Lu z</t>
  </si>
  <si>
    <t>Lujz</t>
  </si>
  <si>
    <t>Patricia</t>
  </si>
  <si>
    <t>Felicita</t>
  </si>
  <si>
    <t>POR GRECA</t>
  </si>
  <si>
    <t>POR CONFECCIONAR</t>
  </si>
  <si>
    <t>Teofilo</t>
  </si>
  <si>
    <t>si</t>
  </si>
  <si>
    <t>Liz Caballos</t>
  </si>
  <si>
    <t>Blanca</t>
  </si>
  <si>
    <t>Victor</t>
  </si>
  <si>
    <t>Lila</t>
  </si>
  <si>
    <t>Total</t>
  </si>
  <si>
    <t>Tot Min</t>
  </si>
  <si>
    <t>BORD</t>
  </si>
  <si>
    <t>Cfab</t>
  </si>
  <si>
    <t>Export</t>
  </si>
  <si>
    <t>Año</t>
  </si>
  <si>
    <t>Total general</t>
  </si>
  <si>
    <t>Mes</t>
  </si>
  <si>
    <t>Clientes</t>
  </si>
  <si>
    <t>Tipo de prenda</t>
  </si>
  <si>
    <t>Año/Mes</t>
  </si>
  <si>
    <t>Costo Total</t>
  </si>
  <si>
    <t>Total Minutos</t>
  </si>
  <si>
    <t>Suma de Export</t>
  </si>
  <si>
    <t xml:space="preserve">Total Minutos </t>
  </si>
  <si>
    <t>Minutos Costura</t>
  </si>
  <si>
    <t>Minutos Manufactura</t>
  </si>
  <si>
    <t>Tipo Prenda</t>
  </si>
  <si>
    <t>PROMEDIO</t>
  </si>
  <si>
    <t>CLIENTES</t>
  </si>
  <si>
    <t>EXPORTADOS</t>
  </si>
  <si>
    <t>%EXPORTACION</t>
  </si>
  <si>
    <t>TOTAL 2021</t>
  </si>
  <si>
    <t>AÑO 2021</t>
  </si>
  <si>
    <t>AÑO 2020</t>
  </si>
  <si>
    <t>TIPO PRENDA</t>
  </si>
  <si>
    <t>** TOTAL MINUTOS = MIN CORTE + MIN COSTURA + MIN ACABADOS ***</t>
  </si>
  <si>
    <t>pdas/mes</t>
  </si>
  <si>
    <t>Mini Set Short</t>
  </si>
  <si>
    <t>OP21-132-LV*</t>
  </si>
  <si>
    <t>%Crecimiento</t>
  </si>
  <si>
    <t>TOTAL MINUTOS ROPA DE DORMIR</t>
  </si>
  <si>
    <t>Total Minutos.</t>
  </si>
  <si>
    <t>Meta Minutos</t>
  </si>
  <si>
    <t>Cant Producida</t>
  </si>
  <si>
    <t>Cant Prendas</t>
  </si>
  <si>
    <t>DISTRIBUCION POR CLIENTE 2021</t>
  </si>
  <si>
    <t>REPORTE PRENDAS Y MINUTOS POR TIPO DE PRENDA</t>
  </si>
  <si>
    <t>REPORTE DE PRENDAS Y MINUTOS POR MES</t>
  </si>
  <si>
    <t>REPORTE DE PRENDAS Y MINUTOS - ROPA DE DORMIR</t>
  </si>
  <si>
    <t>La meta general es de 100,000 min, siendo la contribucion de la ropa de dormir el 59.136%, lo cual determina la meta en 59,136 min</t>
  </si>
  <si>
    <t>REPORTE CANTIDAD PRODUCIDA Y MINUTOS POR CLIENTE</t>
  </si>
  <si>
    <t>Cant.Producido</t>
  </si>
  <si>
    <t>Cantidad Producido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</si>
</sst>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FF0000"/>
      <name val="Arial Narrow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Arial Narrow"/>
      <family val="2"/>
    </font>
    <font>
      <b/>
      <sz val="9"/>
      <color theme="9" tint="-0.249977111117893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i/>
      <sz val="11"/>
      <color rgb="FF0070C0"/>
      <name val="Arial"/>
      <family val="2"/>
    </font>
    <font>
      <sz val="11"/>
      <color theme="10"/>
      <name val="Arial"/>
      <family val="2"/>
    </font>
    <font>
      <b/>
      <sz val="11"/>
      <color theme="1"/>
      <name val="Arial"/>
      <family val="2"/>
    </font>
    <font>
      <sz val="12"/>
      <color indexed="8"/>
      <name val="Calibri"/>
      <family val="2"/>
    </font>
    <font>
      <b/>
      <sz val="11"/>
      <name val="Calibri"/>
      <family val="2"/>
    </font>
    <font>
      <sz val="12"/>
      <name val="Calibri"/>
      <family val="2"/>
    </font>
    <font>
      <sz val="11"/>
      <name val="Calibri"/>
      <family val="2"/>
    </font>
    <font>
      <sz val="11"/>
      <color rgb="FFFF0000"/>
      <name val="Arial"/>
      <family val="2"/>
    </font>
    <font>
      <b/>
      <sz val="11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EEC8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2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3" fillId="0" borderId="1" xfId="1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3" fillId="2" borderId="1" xfId="1" applyFill="1" applyBorder="1"/>
    <xf numFmtId="0" fontId="1" fillId="0" borderId="8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14" fontId="6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11" fillId="0" borderId="1" xfId="0" applyFont="1" applyBorder="1" applyAlignment="1">
      <alignment horizontal="center" wrapText="1"/>
    </xf>
    <xf numFmtId="0" fontId="10" fillId="0" borderId="1" xfId="0" applyFont="1" applyBorder="1"/>
    <xf numFmtId="49" fontId="6" fillId="0" borderId="1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0" fillId="0" borderId="3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10" fillId="0" borderId="3" xfId="0" applyFont="1" applyBorder="1"/>
    <xf numFmtId="14" fontId="0" fillId="0" borderId="1" xfId="0" applyNumberFormat="1" applyBorder="1"/>
    <xf numFmtId="14" fontId="0" fillId="0" borderId="1" xfId="0" applyNumberFormat="1" applyBorder="1" applyAlignment="1">
      <alignment horizontal="center" vertical="center"/>
    </xf>
    <xf numFmtId="14" fontId="0" fillId="0" borderId="3" xfId="0" applyNumberFormat="1" applyBorder="1"/>
    <xf numFmtId="14" fontId="0" fillId="0" borderId="3" xfId="0" applyNumberFormat="1" applyBorder="1" applyAlignment="1">
      <alignment horizontal="center" vertical="center"/>
    </xf>
    <xf numFmtId="0" fontId="4" fillId="0" borderId="1" xfId="0" applyFont="1" applyBorder="1"/>
    <xf numFmtId="0" fontId="12" fillId="0" borderId="0" xfId="0" applyFont="1"/>
    <xf numFmtId="0" fontId="13" fillId="0" borderId="0" xfId="0" applyFont="1"/>
    <xf numFmtId="0" fontId="12" fillId="0" borderId="0" xfId="0" applyFont="1" applyAlignment="1">
      <alignment horizontal="center"/>
    </xf>
    <xf numFmtId="0" fontId="12" fillId="0" borderId="1" xfId="0" applyFont="1" applyBorder="1"/>
    <xf numFmtId="0" fontId="14" fillId="2" borderId="1" xfId="1" applyFont="1" applyFill="1" applyBorder="1"/>
    <xf numFmtId="0" fontId="12" fillId="2" borderId="1" xfId="0" applyFont="1" applyFill="1" applyBorder="1"/>
    <xf numFmtId="0" fontId="14" fillId="0" borderId="1" xfId="1" applyFont="1" applyBorder="1"/>
    <xf numFmtId="0" fontId="12" fillId="0" borderId="1" xfId="0" applyFont="1" applyBorder="1" applyAlignment="1">
      <alignment horizontal="center" vertical="center"/>
    </xf>
    <xf numFmtId="0" fontId="13" fillId="2" borderId="1" xfId="0" applyFont="1" applyFill="1" applyBorder="1"/>
    <xf numFmtId="0" fontId="13" fillId="0" borderId="1" xfId="0" applyFont="1" applyBorder="1"/>
    <xf numFmtId="0" fontId="12" fillId="0" borderId="1" xfId="0" applyFont="1" applyBorder="1" applyAlignment="1">
      <alignment horizontal="center"/>
    </xf>
    <xf numFmtId="14" fontId="12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4" fontId="12" fillId="2" borderId="1" xfId="0" applyNumberFormat="1" applyFont="1" applyFill="1" applyBorder="1"/>
    <xf numFmtId="14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left" wrapText="1"/>
    </xf>
    <xf numFmtId="0" fontId="0" fillId="0" borderId="0" xfId="0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/>
    <xf numFmtId="14" fontId="4" fillId="0" borderId="1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left" wrapText="1"/>
    </xf>
    <xf numFmtId="0" fontId="18" fillId="0" borderId="0" xfId="0" applyFont="1"/>
    <xf numFmtId="0" fontId="18" fillId="0" borderId="0" xfId="0" applyFont="1" applyAlignment="1">
      <alignment horizontal="left"/>
    </xf>
    <xf numFmtId="0" fontId="19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14" fontId="20" fillId="0" borderId="1" xfId="0" applyNumberFormat="1" applyFont="1" applyBorder="1" applyAlignment="1">
      <alignment horizontal="center"/>
    </xf>
    <xf numFmtId="14" fontId="21" fillId="0" borderId="1" xfId="0" applyNumberFormat="1" applyFont="1" applyBorder="1" applyAlignment="1">
      <alignment horizontal="center"/>
    </xf>
    <xf numFmtId="14" fontId="1" fillId="0" borderId="1" xfId="0" applyNumberFormat="1" applyFont="1" applyBorder="1"/>
    <xf numFmtId="0" fontId="16" fillId="0" borderId="1" xfId="0" applyFont="1" applyBorder="1"/>
    <xf numFmtId="0" fontId="10" fillId="2" borderId="1" xfId="0" applyFont="1" applyFill="1" applyBorder="1"/>
    <xf numFmtId="0" fontId="22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/>
    <xf numFmtId="0" fontId="2" fillId="0" borderId="1" xfId="0" applyFont="1" applyBorder="1" applyAlignment="1">
      <alignment horizontal="left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15" fillId="0" borderId="1" xfId="0" applyNumberFormat="1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0" fillId="0" borderId="15" xfId="0" applyFont="1" applyBorder="1"/>
    <xf numFmtId="14" fontId="21" fillId="0" borderId="1" xfId="0" applyNumberFormat="1" applyFont="1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  <xf numFmtId="0" fontId="3" fillId="0" borderId="9" xfId="1" applyBorder="1"/>
    <xf numFmtId="0" fontId="0" fillId="0" borderId="10" xfId="0" applyBorder="1"/>
    <xf numFmtId="0" fontId="10" fillId="0" borderId="10" xfId="0" applyFont="1" applyBorder="1"/>
    <xf numFmtId="14" fontId="12" fillId="0" borderId="10" xfId="0" applyNumberFormat="1" applyFont="1" applyBorder="1"/>
    <xf numFmtId="1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12" xfId="1" applyBorder="1"/>
    <xf numFmtId="0" fontId="0" fillId="0" borderId="13" xfId="0" applyBorder="1" applyAlignment="1">
      <alignment horizontal="center" vertical="center"/>
    </xf>
    <xf numFmtId="0" fontId="3" fillId="0" borderId="14" xfId="1" applyBorder="1"/>
    <xf numFmtId="0" fontId="0" fillId="0" borderId="15" xfId="0" applyBorder="1"/>
    <xf numFmtId="0" fontId="12" fillId="0" borderId="15" xfId="0" applyFont="1" applyBorder="1" applyAlignment="1">
      <alignment horizontal="center"/>
    </xf>
    <xf numFmtId="14" fontId="12" fillId="0" borderId="15" xfId="0" applyNumberFormat="1" applyFont="1" applyBorder="1"/>
    <xf numFmtId="14" fontId="0" fillId="0" borderId="15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21" fillId="0" borderId="1" xfId="0" applyNumberFormat="1" applyFont="1" applyBorder="1"/>
    <xf numFmtId="14" fontId="27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4" fontId="0" fillId="0" borderId="7" xfId="0" applyNumberFormat="1" applyBorder="1"/>
    <xf numFmtId="0" fontId="0" fillId="0" borderId="6" xfId="0" applyBorder="1"/>
    <xf numFmtId="0" fontId="3" fillId="3" borderId="1" xfId="1" applyFill="1" applyBorder="1"/>
    <xf numFmtId="0" fontId="0" fillId="3" borderId="1" xfId="0" applyFill="1" applyBorder="1" applyAlignment="1">
      <alignment horizontal="center"/>
    </xf>
    <xf numFmtId="0" fontId="10" fillId="3" borderId="1" xfId="0" applyFont="1" applyFill="1" applyBorder="1"/>
    <xf numFmtId="0" fontId="12" fillId="3" borderId="1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/>
    </xf>
    <xf numFmtId="14" fontId="12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3" fillId="3" borderId="1" xfId="0" applyFont="1" applyFill="1" applyBorder="1"/>
    <xf numFmtId="1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3" fillId="3" borderId="3" xfId="1" applyFill="1" applyBorder="1"/>
    <xf numFmtId="0" fontId="23" fillId="3" borderId="3" xfId="0" applyFont="1" applyFill="1" applyBorder="1"/>
    <xf numFmtId="0" fontId="0" fillId="3" borderId="3" xfId="0" applyFill="1" applyBorder="1" applyAlignment="1">
      <alignment horizontal="center"/>
    </xf>
    <xf numFmtId="14" fontId="0" fillId="3" borderId="3" xfId="0" applyNumberFormat="1" applyFill="1" applyBorder="1" applyAlignment="1">
      <alignment horizontal="center"/>
    </xf>
    <xf numFmtId="14" fontId="0" fillId="3" borderId="3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0" borderId="1" xfId="0" applyFont="1" applyBorder="1"/>
    <xf numFmtId="0" fontId="18" fillId="0" borderId="1" xfId="0" applyFont="1" applyBorder="1" applyAlignment="1">
      <alignment horizontal="center" vertical="center"/>
    </xf>
    <xf numFmtId="0" fontId="10" fillId="4" borderId="1" xfId="0" applyFont="1" applyFill="1" applyBorder="1"/>
    <xf numFmtId="0" fontId="0" fillId="0" borderId="1" xfId="0" applyBorder="1" applyAlignment="1">
      <alignment horizontal="left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14" fontId="28" fillId="0" borderId="5" xfId="0" applyNumberFormat="1" applyFont="1" applyBorder="1" applyAlignment="1">
      <alignment horizontal="center"/>
    </xf>
    <xf numFmtId="14" fontId="20" fillId="0" borderId="5" xfId="0" applyNumberFormat="1" applyFont="1" applyBorder="1" applyAlignment="1">
      <alignment horizontal="center"/>
    </xf>
    <xf numFmtId="0" fontId="3" fillId="5" borderId="1" xfId="1" applyFill="1" applyBorder="1"/>
    <xf numFmtId="0" fontId="0" fillId="5" borderId="1" xfId="0" applyFill="1" applyBorder="1" applyAlignment="1">
      <alignment horizontal="center"/>
    </xf>
    <xf numFmtId="0" fontId="10" fillId="5" borderId="1" xfId="0" applyFont="1" applyFill="1" applyBorder="1"/>
    <xf numFmtId="0" fontId="12" fillId="5" borderId="1" xfId="0" applyFont="1" applyFill="1" applyBorder="1" applyAlignment="1">
      <alignment horizont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0" fontId="12" fillId="0" borderId="16" xfId="0" applyFont="1" applyBorder="1" applyAlignment="1">
      <alignment horizontal="center"/>
    </xf>
    <xf numFmtId="14" fontId="1" fillId="0" borderId="5" xfId="0" applyNumberFormat="1" applyFon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  <xf numFmtId="0" fontId="0" fillId="0" borderId="2" xfId="0" applyBorder="1"/>
    <xf numFmtId="14" fontId="18" fillId="3" borderId="1" xfId="0" applyNumberFormat="1" applyFont="1" applyFill="1" applyBorder="1" applyAlignment="1">
      <alignment horizontal="center"/>
    </xf>
    <xf numFmtId="0" fontId="18" fillId="3" borderId="1" xfId="0" applyFont="1" applyFill="1" applyBorder="1"/>
    <xf numFmtId="0" fontId="1" fillId="0" borderId="5" xfId="0" applyFont="1" applyBorder="1" applyAlignment="1">
      <alignment horizontal="center" vertical="center" wrapText="1"/>
    </xf>
    <xf numFmtId="0" fontId="12" fillId="0" borderId="5" xfId="0" applyFont="1" applyBorder="1"/>
    <xf numFmtId="14" fontId="24" fillId="0" borderId="1" xfId="0" applyNumberFormat="1" applyFont="1" applyBorder="1" applyAlignment="1">
      <alignment horizontal="center"/>
    </xf>
    <xf numFmtId="14" fontId="21" fillId="0" borderId="5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21" fillId="0" borderId="3" xfId="0" applyNumberFormat="1" applyFont="1" applyBorder="1" applyAlignment="1">
      <alignment horizontal="center"/>
    </xf>
    <xf numFmtId="14" fontId="20" fillId="0" borderId="1" xfId="0" applyNumberFormat="1" applyFont="1" applyBorder="1"/>
    <xf numFmtId="0" fontId="0" fillId="6" borderId="1" xfId="0" applyFill="1" applyBorder="1" applyAlignment="1">
      <alignment horizontal="center"/>
    </xf>
    <xf numFmtId="0" fontId="10" fillId="6" borderId="1" xfId="0" applyFont="1" applyFill="1" applyBorder="1"/>
    <xf numFmtId="0" fontId="12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0" fillId="7" borderId="1" xfId="0" applyFont="1" applyFill="1" applyBorder="1"/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/>
    <xf numFmtId="0" fontId="10" fillId="8" borderId="1" xfId="0" applyFont="1" applyFill="1" applyBorder="1"/>
    <xf numFmtId="0" fontId="12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6" borderId="1" xfId="0" applyFill="1" applyBorder="1"/>
    <xf numFmtId="0" fontId="12" fillId="0" borderId="0" xfId="0" applyFont="1" applyBorder="1"/>
    <xf numFmtId="14" fontId="0" fillId="0" borderId="1" xfId="0" applyNumberForma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2" fillId="0" borderId="0" xfId="0" applyFont="1" applyFill="1" applyBorder="1"/>
    <xf numFmtId="14" fontId="0" fillId="0" borderId="1" xfId="0" applyNumberFormat="1" applyFont="1" applyFill="1" applyBorder="1" applyAlignment="1">
      <alignment horizontal="center"/>
    </xf>
    <xf numFmtId="0" fontId="29" fillId="9" borderId="1" xfId="0" applyFont="1" applyFill="1" applyBorder="1" applyAlignment="1">
      <alignment horizontal="center"/>
    </xf>
    <xf numFmtId="14" fontId="29" fillId="9" borderId="1" xfId="0" applyNumberFormat="1" applyFont="1" applyFill="1" applyBorder="1" applyAlignment="1">
      <alignment horizontal="center"/>
    </xf>
    <xf numFmtId="0" fontId="29" fillId="9" borderId="1" xfId="0" applyFont="1" applyFill="1" applyBorder="1"/>
    <xf numFmtId="16" fontId="29" fillId="9" borderId="1" xfId="0" applyNumberFormat="1" applyFont="1" applyFill="1" applyBorder="1" applyAlignment="1">
      <alignment horizontal="center" vertical="center"/>
    </xf>
    <xf numFmtId="0" fontId="29" fillId="10" borderId="1" xfId="0" applyFont="1" applyFill="1" applyBorder="1" applyAlignment="1">
      <alignment horizontal="center"/>
    </xf>
    <xf numFmtId="0" fontId="23" fillId="0" borderId="1" xfId="0" applyFont="1" applyFill="1" applyBorder="1"/>
    <xf numFmtId="0" fontId="34" fillId="0" borderId="1" xfId="0" applyFont="1" applyFill="1" applyBorder="1" applyAlignment="1">
      <alignment horizontal="center"/>
    </xf>
    <xf numFmtId="0" fontId="34" fillId="0" borderId="4" xfId="0" applyFont="1" applyFill="1" applyBorder="1" applyAlignment="1">
      <alignment horizontal="center"/>
    </xf>
    <xf numFmtId="0" fontId="32" fillId="9" borderId="1" xfId="0" applyFont="1" applyFill="1" applyBorder="1" applyAlignment="1">
      <alignment horizontal="center"/>
    </xf>
    <xf numFmtId="0" fontId="36" fillId="0" borderId="1" xfId="1" applyFont="1" applyFill="1" applyBorder="1"/>
    <xf numFmtId="0" fontId="36" fillId="0" borderId="4" xfId="1" applyFont="1" applyFill="1" applyBorder="1"/>
    <xf numFmtId="0" fontId="36" fillId="11" borderId="1" xfId="1" applyFont="1" applyFill="1" applyBorder="1"/>
    <xf numFmtId="0" fontId="34" fillId="11" borderId="1" xfId="0" applyFont="1" applyFill="1" applyBorder="1" applyAlignment="1">
      <alignment horizontal="center"/>
    </xf>
    <xf numFmtId="0" fontId="23" fillId="11" borderId="1" xfId="0" applyFont="1" applyFill="1" applyBorder="1"/>
    <xf numFmtId="14" fontId="0" fillId="11" borderId="1" xfId="0" applyNumberFormat="1" applyFont="1" applyFill="1" applyBorder="1" applyAlignment="1">
      <alignment horizontal="center"/>
    </xf>
    <xf numFmtId="14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12" fillId="11" borderId="1" xfId="0" applyFont="1" applyFill="1" applyBorder="1"/>
    <xf numFmtId="0" fontId="1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32" fillId="11" borderId="1" xfId="1" applyFont="1" applyFill="1" applyBorder="1"/>
    <xf numFmtId="0" fontId="32" fillId="11" borderId="1" xfId="0" applyFont="1" applyFill="1" applyBorder="1" applyAlignment="1">
      <alignment horizontal="center"/>
    </xf>
    <xf numFmtId="0" fontId="31" fillId="11" borderId="1" xfId="0" applyFont="1" applyFill="1" applyBorder="1"/>
    <xf numFmtId="14" fontId="29" fillId="11" borderId="1" xfId="0" applyNumberFormat="1" applyFont="1" applyFill="1" applyBorder="1" applyAlignment="1">
      <alignment horizontal="center"/>
    </xf>
    <xf numFmtId="14" fontId="29" fillId="11" borderId="1" xfId="0" applyNumberFormat="1" applyFont="1" applyFill="1" applyBorder="1" applyAlignment="1">
      <alignment horizontal="center" vertical="center"/>
    </xf>
    <xf numFmtId="0" fontId="29" fillId="11" borderId="1" xfId="0" applyFont="1" applyFill="1" applyBorder="1" applyAlignment="1">
      <alignment horizontal="center"/>
    </xf>
    <xf numFmtId="0" fontId="29" fillId="11" borderId="1" xfId="0" applyFont="1" applyFill="1" applyBorder="1"/>
    <xf numFmtId="0" fontId="32" fillId="11" borderId="1" xfId="0" applyFont="1" applyFill="1" applyBorder="1" applyAlignment="1">
      <alignment horizontal="left"/>
    </xf>
    <xf numFmtId="0" fontId="0" fillId="11" borderId="1" xfId="0" applyFont="1" applyFill="1" applyBorder="1"/>
    <xf numFmtId="0" fontId="29" fillId="11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12" fillId="10" borderId="1" xfId="0" applyFont="1" applyFill="1" applyBorder="1"/>
    <xf numFmtId="0" fontId="0" fillId="11" borderId="1" xfId="0" applyFont="1" applyFill="1" applyBorder="1" applyAlignment="1">
      <alignment horizontal="right"/>
    </xf>
    <xf numFmtId="0" fontId="31" fillId="11" borderId="5" xfId="0" applyFont="1" applyFill="1" applyBorder="1"/>
    <xf numFmtId="0" fontId="32" fillId="11" borderId="2" xfId="0" applyFont="1" applyFill="1" applyBorder="1" applyAlignment="1">
      <alignment horizontal="center"/>
    </xf>
    <xf numFmtId="0" fontId="29" fillId="10" borderId="1" xfId="0" applyFont="1" applyFill="1" applyBorder="1"/>
    <xf numFmtId="0" fontId="29" fillId="11" borderId="1" xfId="0" applyFont="1" applyFill="1" applyBorder="1" applyAlignment="1">
      <alignment horizontal="right"/>
    </xf>
    <xf numFmtId="0" fontId="30" fillId="11" borderId="1" xfId="0" applyFont="1" applyFill="1" applyBorder="1" applyAlignment="1">
      <alignment horizontal="left" vertical="top"/>
    </xf>
    <xf numFmtId="0" fontId="34" fillId="0" borderId="1" xfId="0" applyFont="1" applyBorder="1" applyAlignment="1">
      <alignment horizontal="left"/>
    </xf>
    <xf numFmtId="14" fontId="32" fillId="9" borderId="1" xfId="0" applyNumberFormat="1" applyFont="1" applyFill="1" applyBorder="1" applyAlignment="1">
      <alignment horizontal="center"/>
    </xf>
    <xf numFmtId="0" fontId="0" fillId="10" borderId="1" xfId="0" applyFill="1" applyBorder="1"/>
    <xf numFmtId="0" fontId="2" fillId="0" borderId="1" xfId="0" applyFont="1" applyBorder="1"/>
    <xf numFmtId="0" fontId="38" fillId="0" borderId="1" xfId="0" applyFont="1" applyBorder="1" applyAlignment="1">
      <alignment horizontal="left" vertical="top"/>
    </xf>
    <xf numFmtId="0" fontId="29" fillId="0" borderId="23" xfId="1" applyFont="1" applyFill="1" applyBorder="1"/>
    <xf numFmtId="49" fontId="29" fillId="0" borderId="1" xfId="0" applyNumberFormat="1" applyFont="1" applyBorder="1" applyAlignment="1">
      <alignment horizontal="center" vertical="center"/>
    </xf>
    <xf numFmtId="0" fontId="2" fillId="9" borderId="1" xfId="0" applyFont="1" applyFill="1" applyBorder="1"/>
    <xf numFmtId="49" fontId="29" fillId="9" borderId="1" xfId="0" applyNumberFormat="1" applyFont="1" applyFill="1" applyBorder="1" applyAlignment="1">
      <alignment horizontal="center" vertical="center"/>
    </xf>
    <xf numFmtId="0" fontId="38" fillId="9" borderId="1" xfId="0" applyFont="1" applyFill="1" applyBorder="1" applyAlignment="1">
      <alignment horizontal="left" vertical="top"/>
    </xf>
    <xf numFmtId="0" fontId="29" fillId="9" borderId="23" xfId="1" applyFont="1" applyFill="1" applyBorder="1"/>
    <xf numFmtId="0" fontId="12" fillId="0" borderId="1" xfId="0" applyFont="1" applyFill="1" applyBorder="1"/>
    <xf numFmtId="0" fontId="0" fillId="0" borderId="1" xfId="0" applyFont="1" applyFill="1" applyBorder="1"/>
    <xf numFmtId="0" fontId="29" fillId="0" borderId="1" xfId="0" applyFont="1" applyFill="1" applyBorder="1" applyAlignment="1">
      <alignment horizontal="center"/>
    </xf>
    <xf numFmtId="0" fontId="29" fillId="0" borderId="1" xfId="0" applyFont="1" applyFill="1" applyBorder="1"/>
    <xf numFmtId="14" fontId="29" fillId="0" borderId="1" xfId="0" applyNumberFormat="1" applyFont="1" applyFill="1" applyBorder="1" applyAlignment="1">
      <alignment horizontal="center"/>
    </xf>
    <xf numFmtId="14" fontId="32" fillId="0" borderId="1" xfId="0" applyNumberFormat="1" applyFont="1" applyFill="1" applyBorder="1" applyAlignment="1">
      <alignment horizontal="center"/>
    </xf>
    <xf numFmtId="0" fontId="32" fillId="0" borderId="1" xfId="1" applyFont="1" applyFill="1" applyBorder="1"/>
    <xf numFmtId="0" fontId="32" fillId="0" borderId="1" xfId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33" fillId="12" borderId="2" xfId="0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37" fillId="12" borderId="1" xfId="0" applyFont="1" applyFill="1" applyBorder="1" applyAlignment="1">
      <alignment horizontal="center" vertical="center" wrapText="1"/>
    </xf>
    <xf numFmtId="0" fontId="11" fillId="12" borderId="1" xfId="0" applyFont="1" applyFill="1" applyBorder="1" applyAlignment="1">
      <alignment horizontal="center" vertical="center" wrapText="1"/>
    </xf>
    <xf numFmtId="0" fontId="25" fillId="12" borderId="1" xfId="0" applyFont="1" applyFill="1" applyBorder="1" applyAlignment="1">
      <alignment horizontal="center" vertical="center" wrapText="1"/>
    </xf>
    <xf numFmtId="0" fontId="25" fillId="12" borderId="8" xfId="0" applyFont="1" applyFill="1" applyBorder="1" applyAlignment="1">
      <alignment horizontal="center" vertical="center" wrapText="1"/>
    </xf>
    <xf numFmtId="0" fontId="1" fillId="12" borderId="8" xfId="0" applyFont="1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34" fillId="0" borderId="1" xfId="0" quotePrefix="1" applyFont="1" applyFill="1" applyBorder="1" applyAlignment="1">
      <alignment horizontal="center"/>
    </xf>
    <xf numFmtId="0" fontId="30" fillId="0" borderId="1" xfId="0" applyFont="1" applyFill="1" applyBorder="1" applyAlignment="1">
      <alignment horizontal="left" vertical="top"/>
    </xf>
    <xf numFmtId="0" fontId="31" fillId="0" borderId="1" xfId="0" applyFont="1" applyFill="1" applyBorder="1"/>
    <xf numFmtId="14" fontId="29" fillId="0" borderId="1" xfId="0" applyNumberFormat="1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3" xfId="1" applyFont="1" applyFill="1" applyBorder="1"/>
    <xf numFmtId="0" fontId="30" fillId="0" borderId="3" xfId="0" applyFont="1" applyFill="1" applyBorder="1" applyAlignment="1">
      <alignment horizontal="left" vertical="top"/>
    </xf>
    <xf numFmtId="0" fontId="32" fillId="0" borderId="3" xfId="0" applyFont="1" applyFill="1" applyBorder="1"/>
    <xf numFmtId="0" fontId="34" fillId="0" borderId="1" xfId="0" applyFont="1" applyFill="1" applyBorder="1" applyAlignment="1">
      <alignment horizontal="left"/>
    </xf>
    <xf numFmtId="1" fontId="34" fillId="0" borderId="1" xfId="0" applyNumberFormat="1" applyFont="1" applyFill="1" applyBorder="1" applyAlignment="1">
      <alignment horizontal="left"/>
    </xf>
    <xf numFmtId="0" fontId="34" fillId="0" borderId="4" xfId="0" applyFont="1" applyFill="1" applyBorder="1" applyAlignment="1">
      <alignment horizontal="left"/>
    </xf>
    <xf numFmtId="1" fontId="34" fillId="0" borderId="4" xfId="0" applyNumberFormat="1" applyFont="1" applyFill="1" applyBorder="1" applyAlignment="1">
      <alignment horizontal="left"/>
    </xf>
    <xf numFmtId="1" fontId="29" fillId="0" borderId="1" xfId="0" applyNumberFormat="1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right"/>
    </xf>
    <xf numFmtId="0" fontId="32" fillId="0" borderId="1" xfId="0" applyFont="1" applyBorder="1" applyAlignment="1">
      <alignment horizontal="center"/>
    </xf>
    <xf numFmtId="0" fontId="32" fillId="0" borderId="1" xfId="0" applyFont="1" applyBorder="1" applyAlignment="1">
      <alignment horizontal="left"/>
    </xf>
    <xf numFmtId="0" fontId="31" fillId="0" borderId="1" xfId="0" applyFont="1" applyBorder="1"/>
    <xf numFmtId="14" fontId="29" fillId="0" borderId="1" xfId="0" applyNumberFormat="1" applyFont="1" applyBorder="1" applyAlignment="1">
      <alignment horizontal="center"/>
    </xf>
    <xf numFmtId="14" fontId="29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1" xfId="0" applyFont="1" applyBorder="1"/>
    <xf numFmtId="0" fontId="32" fillId="0" borderId="1" xfId="0" applyFont="1" applyBorder="1" applyAlignment="1">
      <alignment horizontal="right"/>
    </xf>
    <xf numFmtId="0" fontId="32" fillId="0" borderId="4" xfId="1" applyFont="1" applyFill="1" applyBorder="1"/>
    <xf numFmtId="0" fontId="32" fillId="0" borderId="4" xfId="0" applyFont="1" applyBorder="1" applyAlignment="1">
      <alignment horizontal="center"/>
    </xf>
    <xf numFmtId="16" fontId="40" fillId="0" borderId="4" xfId="0" applyNumberFormat="1" applyFont="1" applyBorder="1" applyAlignment="1">
      <alignment horizontal="left" vertical="top"/>
    </xf>
    <xf numFmtId="0" fontId="41" fillId="0" borderId="4" xfId="0" applyFont="1" applyBorder="1" applyAlignment="1">
      <alignment horizontal="left" vertical="top"/>
    </xf>
    <xf numFmtId="0" fontId="29" fillId="0" borderId="12" xfId="1" applyFont="1" applyFill="1" applyBorder="1"/>
    <xf numFmtId="16" fontId="40" fillId="0" borderId="1" xfId="0" applyNumberFormat="1" applyFont="1" applyBorder="1" applyAlignment="1">
      <alignment horizontal="left" vertical="top"/>
    </xf>
    <xf numFmtId="0" fontId="41" fillId="0" borderId="1" xfId="0" applyFont="1" applyBorder="1" applyAlignment="1">
      <alignment horizontal="left" vertical="top"/>
    </xf>
    <xf numFmtId="16" fontId="29" fillId="0" borderId="1" xfId="0" applyNumberFormat="1" applyFont="1" applyFill="1" applyBorder="1" applyAlignment="1">
      <alignment horizontal="center"/>
    </xf>
    <xf numFmtId="16" fontId="40" fillId="0" borderId="5" xfId="0" applyNumberFormat="1" applyFont="1" applyBorder="1" applyAlignment="1">
      <alignment horizontal="left" vertical="top"/>
    </xf>
    <xf numFmtId="14" fontId="29" fillId="0" borderId="2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29" fillId="4" borderId="1" xfId="0" applyFont="1" applyFill="1" applyBorder="1"/>
    <xf numFmtId="0" fontId="12" fillId="4" borderId="1" xfId="0" applyFont="1" applyFill="1" applyBorder="1"/>
    <xf numFmtId="0" fontId="0" fillId="4" borderId="1" xfId="0" applyFont="1" applyFill="1" applyBorder="1"/>
    <xf numFmtId="0" fontId="12" fillId="4" borderId="0" xfId="0" applyFont="1" applyFill="1" applyBorder="1"/>
    <xf numFmtId="0" fontId="34" fillId="2" borderId="1" xfId="0" applyFont="1" applyFill="1" applyBorder="1" applyAlignment="1">
      <alignment horizontal="left"/>
    </xf>
    <xf numFmtId="0" fontId="32" fillId="2" borderId="1" xfId="1" applyFont="1" applyFill="1" applyBorder="1"/>
    <xf numFmtId="0" fontId="34" fillId="2" borderId="1" xfId="0" applyFont="1" applyFill="1" applyBorder="1" applyAlignment="1">
      <alignment horizontal="center"/>
    </xf>
    <xf numFmtId="0" fontId="34" fillId="2" borderId="4" xfId="0" applyFont="1" applyFill="1" applyBorder="1" applyAlignment="1">
      <alignment horizontal="left"/>
    </xf>
    <xf numFmtId="0" fontId="32" fillId="2" borderId="1" xfId="1" applyFont="1" applyFill="1" applyBorder="1" applyAlignment="1">
      <alignment horizontal="center"/>
    </xf>
    <xf numFmtId="1" fontId="34" fillId="2" borderId="4" xfId="0" applyNumberFormat="1" applyFont="1" applyFill="1" applyBorder="1" applyAlignment="1">
      <alignment horizontal="left"/>
    </xf>
    <xf numFmtId="0" fontId="32" fillId="2" borderId="1" xfId="0" applyFont="1" applyFill="1" applyBorder="1" applyAlignment="1">
      <alignment horizontal="right"/>
    </xf>
    <xf numFmtId="14" fontId="32" fillId="2" borderId="1" xfId="0" applyNumberFormat="1" applyFont="1" applyFill="1" applyBorder="1" applyAlignment="1">
      <alignment horizontal="center"/>
    </xf>
    <xf numFmtId="14" fontId="29" fillId="2" borderId="1" xfId="0" applyNumberFormat="1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/>
    </xf>
    <xf numFmtId="0" fontId="29" fillId="2" borderId="1" xfId="0" applyFont="1" applyFill="1" applyBorder="1"/>
    <xf numFmtId="0" fontId="0" fillId="2" borderId="1" xfId="0" applyFont="1" applyFill="1" applyBorder="1"/>
    <xf numFmtId="0" fontId="42" fillId="0" borderId="4" xfId="0" applyFont="1" applyBorder="1" applyAlignment="1">
      <alignment horizontal="center"/>
    </xf>
    <xf numFmtId="0" fontId="4" fillId="0" borderId="0" xfId="0" applyFont="1" applyBorder="1"/>
    <xf numFmtId="0" fontId="4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4" xfId="0" applyFont="1" applyBorder="1" applyAlignment="1">
      <alignment horizontal="left"/>
    </xf>
    <xf numFmtId="0" fontId="31" fillId="0" borderId="4" xfId="0" applyFont="1" applyBorder="1"/>
    <xf numFmtId="0" fontId="29" fillId="0" borderId="1" xfId="0" applyFont="1" applyFill="1" applyBorder="1" applyAlignment="1">
      <alignment horizontal="left"/>
    </xf>
    <xf numFmtId="0" fontId="36" fillId="2" borderId="1" xfId="1" applyFont="1" applyFill="1" applyBorder="1"/>
    <xf numFmtId="0" fontId="32" fillId="0" borderId="3" xfId="1" applyFont="1" applyFill="1" applyBorder="1" applyAlignment="1">
      <alignment horizontal="center"/>
    </xf>
    <xf numFmtId="0" fontId="32" fillId="0" borderId="4" xfId="1" applyFont="1" applyFill="1" applyBorder="1" applyAlignment="1">
      <alignment horizontal="center"/>
    </xf>
    <xf numFmtId="0" fontId="32" fillId="2" borderId="4" xfId="1" applyFont="1" applyFill="1" applyBorder="1" applyAlignment="1">
      <alignment horizontal="center"/>
    </xf>
    <xf numFmtId="0" fontId="32" fillId="0" borderId="5" xfId="1" applyFont="1" applyFill="1" applyBorder="1" applyAlignment="1">
      <alignment horizontal="center"/>
    </xf>
    <xf numFmtId="0" fontId="32" fillId="0" borderId="4" xfId="0" applyFont="1" applyFill="1" applyBorder="1" applyAlignment="1">
      <alignment horizontal="left"/>
    </xf>
    <xf numFmtId="1" fontId="32" fillId="0" borderId="4" xfId="0" applyNumberFormat="1" applyFont="1" applyFill="1" applyBorder="1" applyAlignment="1">
      <alignment horizontal="left"/>
    </xf>
    <xf numFmtId="0" fontId="29" fillId="0" borderId="1" xfId="0" applyFont="1" applyBorder="1" applyAlignment="1">
      <alignment horizontal="left"/>
    </xf>
    <xf numFmtId="0" fontId="31" fillId="0" borderId="4" xfId="0" applyFont="1" applyFill="1" applyBorder="1"/>
    <xf numFmtId="16" fontId="40" fillId="0" borderId="1" xfId="0" applyNumberFormat="1" applyFont="1" applyFill="1" applyBorder="1" applyAlignment="1">
      <alignment horizontal="left" vertical="top"/>
    </xf>
    <xf numFmtId="0" fontId="41" fillId="0" borderId="4" xfId="0" applyFont="1" applyFill="1" applyBorder="1" applyAlignment="1">
      <alignment horizontal="left" vertical="top"/>
    </xf>
    <xf numFmtId="0" fontId="29" fillId="0" borderId="1" xfId="1" applyFont="1" applyFill="1" applyBorder="1"/>
    <xf numFmtId="0" fontId="32" fillId="0" borderId="12" xfId="1" applyFont="1" applyFill="1" applyBorder="1"/>
    <xf numFmtId="0" fontId="34" fillId="0" borderId="23" xfId="0" applyFont="1" applyFill="1" applyBorder="1" applyAlignment="1">
      <alignment horizontal="left"/>
    </xf>
    <xf numFmtId="0" fontId="32" fillId="0" borderId="23" xfId="1" applyFont="1" applyFill="1" applyBorder="1"/>
    <xf numFmtId="0" fontId="34" fillId="0" borderId="24" xfId="0" applyFont="1" applyFill="1" applyBorder="1" applyAlignment="1">
      <alignment horizontal="left"/>
    </xf>
    <xf numFmtId="0" fontId="34" fillId="0" borderId="12" xfId="0" applyFont="1" applyFill="1" applyBorder="1" applyAlignment="1">
      <alignment horizontal="left"/>
    </xf>
    <xf numFmtId="0" fontId="32" fillId="0" borderId="23" xfId="0" applyFont="1" applyFill="1" applyBorder="1" applyAlignment="1">
      <alignment horizontal="left"/>
    </xf>
    <xf numFmtId="0" fontId="32" fillId="0" borderId="24" xfId="1" applyFont="1" applyFill="1" applyBorder="1"/>
    <xf numFmtId="0" fontId="36" fillId="2" borderId="4" xfId="1" applyFont="1" applyFill="1" applyBorder="1"/>
    <xf numFmtId="0" fontId="36" fillId="11" borderId="4" xfId="1" applyFont="1" applyFill="1" applyBorder="1"/>
    <xf numFmtId="0" fontId="34" fillId="2" borderId="4" xfId="0" applyFont="1" applyFill="1" applyBorder="1" applyAlignment="1">
      <alignment horizontal="center"/>
    </xf>
    <xf numFmtId="0" fontId="34" fillId="0" borderId="3" xfId="0" applyFont="1" applyFill="1" applyBorder="1" applyAlignment="1">
      <alignment horizontal="center"/>
    </xf>
    <xf numFmtId="0" fontId="34" fillId="0" borderId="4" xfId="0" quotePrefix="1" applyFont="1" applyFill="1" applyBorder="1" applyAlignment="1">
      <alignment horizontal="center"/>
    </xf>
    <xf numFmtId="0" fontId="30" fillId="0" borderId="4" xfId="0" applyFont="1" applyFill="1" applyBorder="1" applyAlignment="1">
      <alignment horizontal="left" vertical="top"/>
    </xf>
    <xf numFmtId="0" fontId="38" fillId="0" borderId="1" xfId="0" applyFont="1" applyFill="1" applyBorder="1" applyAlignment="1">
      <alignment horizontal="left" vertical="top"/>
    </xf>
    <xf numFmtId="0" fontId="32" fillId="0" borderId="4" xfId="0" applyFont="1" applyFill="1" applyBorder="1"/>
    <xf numFmtId="0" fontId="33" fillId="0" borderId="1" xfId="0" applyFont="1" applyFill="1" applyBorder="1" applyAlignment="1">
      <alignment horizontal="right"/>
    </xf>
    <xf numFmtId="0" fontId="32" fillId="0" borderId="4" xfId="0" applyFont="1" applyFill="1" applyBorder="1" applyAlignment="1">
      <alignment horizontal="right"/>
    </xf>
    <xf numFmtId="0" fontId="29" fillId="0" borderId="18" xfId="0" applyFont="1" applyFill="1" applyBorder="1" applyAlignment="1">
      <alignment horizontal="center"/>
    </xf>
    <xf numFmtId="0" fontId="29" fillId="0" borderId="3" xfId="0" applyFont="1" applyFill="1" applyBorder="1" applyAlignment="1">
      <alignment horizontal="center"/>
    </xf>
    <xf numFmtId="0" fontId="29" fillId="11" borderId="3" xfId="0" applyFont="1" applyFill="1" applyBorder="1" applyAlignment="1">
      <alignment horizontal="center"/>
    </xf>
    <xf numFmtId="0" fontId="29" fillId="0" borderId="0" xfId="0" applyFont="1" applyFill="1" applyBorder="1"/>
    <xf numFmtId="0" fontId="0" fillId="0" borderId="0" xfId="0" applyFont="1" applyFill="1" applyBorder="1"/>
    <xf numFmtId="0" fontId="32" fillId="10" borderId="1" xfId="1" applyFont="1" applyFill="1" applyBorder="1"/>
    <xf numFmtId="0" fontId="32" fillId="0" borderId="1" xfId="0" applyFont="1" applyFill="1" applyBorder="1" applyAlignment="1">
      <alignment horizontal="left"/>
    </xf>
    <xf numFmtId="16" fontId="40" fillId="0" borderId="5" xfId="0" quotePrefix="1" applyNumberFormat="1" applyFont="1" applyFill="1" applyBorder="1" applyAlignment="1">
      <alignment horizontal="left" vertical="top"/>
    </xf>
    <xf numFmtId="1" fontId="34" fillId="0" borderId="5" xfId="0" applyNumberFormat="1" applyFont="1" applyFill="1" applyBorder="1" applyAlignment="1">
      <alignment horizontal="left"/>
    </xf>
    <xf numFmtId="16" fontId="40" fillId="0" borderId="4" xfId="0" quotePrefix="1" applyNumberFormat="1" applyFont="1" applyBorder="1" applyAlignment="1">
      <alignment horizontal="left" vertical="top"/>
    </xf>
    <xf numFmtId="14" fontId="29" fillId="0" borderId="2" xfId="0" applyNumberFormat="1" applyFont="1" applyFill="1" applyBorder="1" applyAlignment="1">
      <alignment horizontal="center"/>
    </xf>
    <xf numFmtId="14" fontId="32" fillId="0" borderId="2" xfId="0" applyNumberFormat="1" applyFont="1" applyFill="1" applyBorder="1" applyAlignment="1">
      <alignment horizontal="center"/>
    </xf>
    <xf numFmtId="0" fontId="32" fillId="4" borderId="4" xfId="1" applyFont="1" applyFill="1" applyBorder="1" applyAlignment="1">
      <alignment horizontal="center"/>
    </xf>
    <xf numFmtId="0" fontId="32" fillId="4" borderId="1" xfId="1" applyFont="1" applyFill="1" applyBorder="1"/>
    <xf numFmtId="0" fontId="32" fillId="13" borderId="1" xfId="1" applyFont="1" applyFill="1" applyBorder="1"/>
    <xf numFmtId="0" fontId="32" fillId="4" borderId="1" xfId="1" applyFont="1" applyFill="1" applyBorder="1" applyAlignment="1">
      <alignment horizontal="center"/>
    </xf>
    <xf numFmtId="0" fontId="34" fillId="4" borderId="1" xfId="0" applyFont="1" applyFill="1" applyBorder="1" applyAlignment="1">
      <alignment horizontal="left"/>
    </xf>
    <xf numFmtId="0" fontId="32" fillId="13" borderId="4" xfId="1" applyFont="1" applyFill="1" applyBorder="1" applyAlignment="1">
      <alignment horizontal="center"/>
    </xf>
    <xf numFmtId="0" fontId="0" fillId="0" borderId="0" xfId="0" applyFont="1" applyBorder="1"/>
    <xf numFmtId="0" fontId="0" fillId="14" borderId="1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 indent="1"/>
    </xf>
    <xf numFmtId="3" fontId="0" fillId="0" borderId="0" xfId="0" applyNumberFormat="1"/>
    <xf numFmtId="14" fontId="0" fillId="11" borderId="1" xfId="0" applyNumberFormat="1" applyFill="1" applyBorder="1" applyAlignment="1">
      <alignment horizontal="center"/>
    </xf>
    <xf numFmtId="0" fontId="34" fillId="0" borderId="1" xfId="0" quotePrefix="1" applyFont="1" applyBorder="1" applyAlignment="1">
      <alignment horizontal="center"/>
    </xf>
    <xf numFmtId="0" fontId="30" fillId="0" borderId="1" xfId="0" applyFont="1" applyBorder="1" applyAlignment="1">
      <alignment horizontal="left" vertical="top"/>
    </xf>
    <xf numFmtId="0" fontId="34" fillId="0" borderId="1" xfId="0" applyFont="1" applyBorder="1" applyAlignment="1">
      <alignment horizontal="center"/>
    </xf>
    <xf numFmtId="0" fontId="23" fillId="0" borderId="1" xfId="0" applyFont="1" applyBorder="1"/>
    <xf numFmtId="0" fontId="32" fillId="0" borderId="1" xfId="0" applyFont="1" applyBorder="1"/>
    <xf numFmtId="1" fontId="34" fillId="0" borderId="1" xfId="0" applyNumberFormat="1" applyFont="1" applyBorder="1" applyAlignment="1">
      <alignment horizontal="left"/>
    </xf>
    <xf numFmtId="14" fontId="32" fillId="0" borderId="1" xfId="0" applyNumberFormat="1" applyFont="1" applyBorder="1" applyAlignment="1">
      <alignment horizontal="center"/>
    </xf>
    <xf numFmtId="0" fontId="33" fillId="0" borderId="1" xfId="0" applyFont="1" applyBorder="1" applyAlignment="1">
      <alignment horizontal="right"/>
    </xf>
    <xf numFmtId="0" fontId="34" fillId="0" borderId="3" xfId="0" applyFont="1" applyBorder="1" applyAlignment="1">
      <alignment horizontal="center"/>
    </xf>
    <xf numFmtId="0" fontId="30" fillId="0" borderId="3" xfId="0" applyFont="1" applyBorder="1" applyAlignment="1">
      <alignment horizontal="left" vertical="top"/>
    </xf>
    <xf numFmtId="0" fontId="32" fillId="0" borderId="3" xfId="0" applyFont="1" applyBorder="1"/>
    <xf numFmtId="0" fontId="30" fillId="0" borderId="4" xfId="0" applyFont="1" applyBorder="1" applyAlignment="1">
      <alignment horizontal="left" vertical="top"/>
    </xf>
    <xf numFmtId="0" fontId="32" fillId="0" borderId="4" xfId="0" applyFont="1" applyBorder="1"/>
    <xf numFmtId="0" fontId="34" fillId="0" borderId="4" xfId="0" applyFont="1" applyBorder="1" applyAlignment="1">
      <alignment horizontal="center"/>
    </xf>
    <xf numFmtId="0" fontId="34" fillId="0" borderId="4" xfId="0" quotePrefix="1" applyFont="1" applyBorder="1" applyAlignment="1">
      <alignment horizontal="center"/>
    </xf>
    <xf numFmtId="0" fontId="34" fillId="0" borderId="4" xfId="0" applyFont="1" applyBorder="1" applyAlignment="1">
      <alignment horizontal="left"/>
    </xf>
    <xf numFmtId="1" fontId="34" fillId="0" borderId="4" xfId="0" applyNumberFormat="1" applyFont="1" applyBorder="1" applyAlignment="1">
      <alignment horizontal="left"/>
    </xf>
    <xf numFmtId="0" fontId="32" fillId="0" borderId="4" xfId="0" applyFont="1" applyBorder="1" applyAlignment="1">
      <alignment horizontal="right"/>
    </xf>
    <xf numFmtId="0" fontId="34" fillId="0" borderId="24" xfId="0" applyFont="1" applyBorder="1" applyAlignment="1">
      <alignment horizontal="left"/>
    </xf>
    <xf numFmtId="16" fontId="29" fillId="0" borderId="1" xfId="0" applyNumberFormat="1" applyFont="1" applyBorder="1" applyAlignment="1">
      <alignment horizontal="center"/>
    </xf>
    <xf numFmtId="16" fontId="40" fillId="0" borderId="5" xfId="0" quotePrefix="1" applyNumberFormat="1" applyFont="1" applyBorder="1" applyAlignment="1">
      <alignment horizontal="left" vertical="top"/>
    </xf>
    <xf numFmtId="0" fontId="34" fillId="0" borderId="12" xfId="0" applyFont="1" applyBorder="1" applyAlignment="1">
      <alignment horizontal="left"/>
    </xf>
    <xf numFmtId="1" fontId="34" fillId="0" borderId="5" xfId="0" applyNumberFormat="1" applyFont="1" applyBorder="1" applyAlignment="1">
      <alignment horizontal="left"/>
    </xf>
    <xf numFmtId="14" fontId="32" fillId="0" borderId="2" xfId="0" applyNumberFormat="1" applyFont="1" applyBorder="1" applyAlignment="1">
      <alignment horizontal="center"/>
    </xf>
    <xf numFmtId="0" fontId="34" fillId="0" borderId="23" xfId="0" applyFont="1" applyBorder="1" applyAlignment="1">
      <alignment horizontal="left"/>
    </xf>
    <xf numFmtId="0" fontId="32" fillId="0" borderId="23" xfId="0" applyFont="1" applyBorder="1" applyAlignment="1">
      <alignment horizontal="left"/>
    </xf>
    <xf numFmtId="1" fontId="32" fillId="0" borderId="4" xfId="0" applyNumberFormat="1" applyFont="1" applyBorder="1" applyAlignment="1">
      <alignment horizontal="left"/>
    </xf>
    <xf numFmtId="0" fontId="29" fillId="0" borderId="0" xfId="0" applyFont="1"/>
    <xf numFmtId="3" fontId="0" fillId="0" borderId="1" xfId="0" applyNumberFormat="1" applyBorder="1"/>
    <xf numFmtId="0" fontId="0" fillId="4" borderId="1" xfId="0" applyFill="1" applyBorder="1"/>
    <xf numFmtId="0" fontId="32" fillId="13" borderId="1" xfId="1" applyFont="1" applyFill="1" applyBorder="1" applyAlignment="1">
      <alignment horizontal="center"/>
    </xf>
    <xf numFmtId="0" fontId="32" fillId="4" borderId="1" xfId="0" applyFont="1" applyFill="1" applyBorder="1" applyAlignment="1">
      <alignment horizontal="center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" fontId="0" fillId="0" borderId="0" xfId="0" applyNumberFormat="1"/>
    <xf numFmtId="165" fontId="0" fillId="0" borderId="1" xfId="0" applyNumberFormat="1" applyBorder="1"/>
    <xf numFmtId="0" fontId="1" fillId="9" borderId="0" xfId="0" applyFont="1" applyFill="1" applyAlignment="1">
      <alignment horizontal="center"/>
    </xf>
    <xf numFmtId="165" fontId="1" fillId="9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165" fontId="1" fillId="10" borderId="0" xfId="0" applyNumberFormat="1" applyFont="1" applyFill="1" applyAlignment="1">
      <alignment horizontal="center"/>
    </xf>
    <xf numFmtId="3" fontId="0" fillId="0" borderId="0" xfId="0" applyNumberFormat="1" applyAlignment="1">
      <alignment horizontal="center"/>
    </xf>
    <xf numFmtId="0" fontId="0" fillId="7" borderId="0" xfId="0" applyFill="1" applyAlignment="1">
      <alignment horizontal="left"/>
    </xf>
    <xf numFmtId="3" fontId="0" fillId="7" borderId="0" xfId="0" applyNumberFormat="1" applyFill="1"/>
    <xf numFmtId="0" fontId="0" fillId="6" borderId="0" xfId="0" applyFill="1" applyAlignment="1">
      <alignment horizontal="left"/>
    </xf>
    <xf numFmtId="3" fontId="0" fillId="6" borderId="0" xfId="0" applyNumberFormat="1" applyFill="1"/>
    <xf numFmtId="0" fontId="0" fillId="0" borderId="0" xfId="0" applyFill="1" applyAlignment="1">
      <alignment horizontal="left" indent="1"/>
    </xf>
    <xf numFmtId="3" fontId="0" fillId="0" borderId="0" xfId="0" applyNumberFormat="1" applyFill="1"/>
    <xf numFmtId="165" fontId="1" fillId="0" borderId="0" xfId="0" applyNumberFormat="1" applyFont="1" applyAlignment="1">
      <alignment horizontal="center"/>
    </xf>
    <xf numFmtId="0" fontId="0" fillId="14" borderId="0" xfId="0" applyFill="1" applyAlignment="1">
      <alignment horizontal="center" vertical="center"/>
    </xf>
    <xf numFmtId="0" fontId="3" fillId="0" borderId="20" xfId="1" applyBorder="1" applyAlignment="1">
      <alignment horizontal="center" vertical="center"/>
    </xf>
    <xf numFmtId="0" fontId="3" fillId="0" borderId="21" xfId="1" applyBorder="1" applyAlignment="1">
      <alignment horizontal="center" vertical="center"/>
    </xf>
    <xf numFmtId="0" fontId="3" fillId="0" borderId="22" xfId="1" applyBorder="1" applyAlignment="1">
      <alignment horizontal="center" vertical="center"/>
    </xf>
    <xf numFmtId="0" fontId="3" fillId="0" borderId="9" xfId="1" applyBorder="1" applyAlignment="1">
      <alignment horizontal="center" vertical="center"/>
    </xf>
    <xf numFmtId="0" fontId="3" fillId="0" borderId="12" xfId="1" applyBorder="1" applyAlignment="1">
      <alignment horizontal="center" vertical="center"/>
    </xf>
    <xf numFmtId="0" fontId="3" fillId="0" borderId="14" xfId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</cellXfs>
  <cellStyles count="2">
    <cellStyle name="Hipervínculo" xfId="1" builtinId="8"/>
    <cellStyle name="Normal" xfId="0" builtinId="0"/>
  </cellStyles>
  <dxfs count="31">
    <dxf>
      <fill>
        <patternFill patternType="solid">
          <bgColor rgb="FFEEEC8C"/>
        </patternFill>
      </fill>
    </dxf>
    <dxf>
      <fill>
        <patternFill patternType="solid">
          <bgColor rgb="FFEEEC8C"/>
        </patternFill>
      </fill>
    </dxf>
    <dxf>
      <fill>
        <patternFill patternType="solid">
          <bgColor rgb="FFEEEC8C"/>
        </patternFill>
      </fill>
    </dxf>
    <dxf>
      <fill>
        <patternFill patternType="solid">
          <bgColor rgb="FFEEEC8C"/>
        </patternFill>
      </fill>
    </dxf>
    <dxf>
      <numFmt numFmtId="3" formatCode="#,##0"/>
    </dxf>
    <dxf>
      <fill>
        <patternFill patternType="solid">
          <bgColor rgb="FFEEEC8C"/>
        </patternFill>
      </fill>
    </dxf>
    <dxf>
      <fill>
        <patternFill patternType="solid">
          <bgColor rgb="FFEEEC8C"/>
        </patternFill>
      </fill>
    </dxf>
    <dxf>
      <fill>
        <patternFill patternType="solid">
          <bgColor rgb="FFEEEC8C"/>
        </patternFill>
      </fill>
    </dxf>
    <dxf>
      <fill>
        <patternFill patternType="solid">
          <bgColor rgb="FFEEEC8C"/>
        </patternFill>
      </fill>
    </dxf>
    <dxf>
      <numFmt numFmtId="3" formatCode="#,##0"/>
    </dxf>
    <dxf>
      <numFmt numFmtId="3" formatCode="#,##0"/>
    </dxf>
    <dxf>
      <fill>
        <patternFill patternType="solid">
          <bgColor rgb="FFEEEC8C"/>
        </patternFill>
      </fill>
    </dxf>
    <dxf>
      <fill>
        <patternFill patternType="solid">
          <bgColor rgb="FFEEEC8C"/>
        </patternFill>
      </fill>
    </dxf>
    <dxf>
      <fill>
        <patternFill>
          <bgColor rgb="FFEEEC8C"/>
        </patternFill>
      </fill>
    </dxf>
    <dxf>
      <fill>
        <patternFill patternType="solid">
          <bgColor rgb="FFFFFF00"/>
        </patternFill>
      </fill>
    </dxf>
    <dxf>
      <numFmt numFmtId="3" formatCode="#,##0"/>
    </dxf>
    <dxf>
      <numFmt numFmtId="3" formatCode="#,##0"/>
    </dxf>
    <dxf>
      <numFmt numFmtId="1" formatCode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 patternType="solid">
          <bgColor rgb="FFFFFFCC"/>
        </patternFill>
      </fill>
    </dxf>
    <dxf>
      <fill>
        <patternFill patternType="solid">
          <bgColor rgb="FFFFFFCC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numFmt numFmtId="3" formatCode="#,##0"/>
    </dxf>
    <dxf>
      <numFmt numFmtId="1" formatCode="0"/>
    </dxf>
  </dxfs>
  <tableStyles count="0" defaultTableStyle="TableStyleMedium2" defaultPivotStyle="PivotStyleLight16"/>
  <colors>
    <mruColors>
      <color rgb="FFEEEC8C"/>
      <color rgb="FFFFFF99"/>
      <color rgb="FFFFFFCC"/>
      <color rgb="FF66FFFF"/>
      <color rgb="FFF86C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Cliente!$H$16</c:f>
              <c:strCache>
                <c:ptCount val="1"/>
                <c:pt idx="0">
                  <c:v>%EXPORTACION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AEB-4F6F-A944-5F88ADB252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AEB-4F6F-A944-5F88ADB2525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AEB-4F6F-A944-5F88ADB2525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AEB-4F6F-A944-5F88ADB2525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AEB-4F6F-A944-5F88ADB2525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AEB-4F6F-A944-5F88ADB2525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AEB-4F6F-A944-5F88ADB2525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AEB-4F6F-A944-5F88ADB2525B}"/>
              </c:ext>
            </c:extLst>
          </c:dPt>
          <c:dLbls>
            <c:dLbl>
              <c:idx val="6"/>
              <c:layout>
                <c:manualLayout>
                  <c:x val="1.8679899387576554E-2"/>
                  <c:y val="2.017716535433070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EB-4F6F-A944-5F88ADB2525B}"/>
                </c:ext>
              </c:extLst>
            </c:dLbl>
            <c:spPr>
              <a:noFill/>
              <a:ln>
                <a:noFill/>
              </a:ln>
              <a:effectLst>
                <a:glow rad="127000">
                  <a:schemeClr val="accent2">
                    <a:lumMod val="50000"/>
                  </a:schemeClr>
                </a:glo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Cliente!$G$17:$G$24</c:f>
              <c:strCache>
                <c:ptCount val="8"/>
                <c:pt idx="0">
                  <c:v>AVECMUA</c:v>
                </c:pt>
                <c:pt idx="1">
                  <c:v>BABY BOX</c:v>
                </c:pt>
                <c:pt idx="2">
                  <c:v>BAMBOLA</c:v>
                </c:pt>
                <c:pt idx="3">
                  <c:v>FASHION VIEWS</c:v>
                </c:pt>
                <c:pt idx="4">
                  <c:v>KISSY KISSY</c:v>
                </c:pt>
                <c:pt idx="5">
                  <c:v>LIVLY</c:v>
                </c:pt>
                <c:pt idx="6">
                  <c:v>MARELLE</c:v>
                </c:pt>
                <c:pt idx="7">
                  <c:v>MFC</c:v>
                </c:pt>
              </c:strCache>
            </c:strRef>
          </c:cat>
          <c:val>
            <c:numRef>
              <c:f>Cliente!$H$17:$H$24</c:f>
              <c:numCache>
                <c:formatCode>0.0%</c:formatCode>
                <c:ptCount val="8"/>
                <c:pt idx="0">
                  <c:v>7.2023407607472428E-3</c:v>
                </c:pt>
                <c:pt idx="1">
                  <c:v>1.0533423362592843E-2</c:v>
                </c:pt>
                <c:pt idx="2">
                  <c:v>1.008327706504614E-2</c:v>
                </c:pt>
                <c:pt idx="3">
                  <c:v>0.3349088453747468</c:v>
                </c:pt>
                <c:pt idx="4">
                  <c:v>0.38356966013954535</c:v>
                </c:pt>
                <c:pt idx="5">
                  <c:v>3.5876659914472205E-2</c:v>
                </c:pt>
                <c:pt idx="6">
                  <c:v>0.21026333558406482</c:v>
                </c:pt>
                <c:pt idx="7">
                  <c:v>7.5624577987846052E-3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EB-4F6F-A944-5F88ADB25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[PROGRAMA 2021-Indicadores RV3.xlsm]Tipo de Prenda!TablaDinámica11</c:name>
    <c:fmtId val="7"/>
  </c:pivotSource>
  <c:chart>
    <c:autoTitleDeleted val="1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635323947278327"/>
          <c:y val="0.12160396617089531"/>
          <c:w val="0.39301876497774735"/>
          <c:h val="0.8035050306211724"/>
        </c:manualLayout>
      </c:layout>
      <c:pieChart>
        <c:varyColors val="1"/>
        <c:ser>
          <c:idx val="0"/>
          <c:order val="0"/>
          <c:tx>
            <c:strRef>
              <c:f>'Tipo de Prenda'!$I$27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1E-44E8-82EF-91FCF1A021B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1E-44E8-82EF-91FCF1A021B5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1E-44E8-82EF-91FCF1A021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'Tipo de Prenda'!$H$28:$H$31</c:f>
              <c:multiLvlStrCache>
                <c:ptCount val="2"/>
                <c:lvl>
                  <c:pt idx="0">
                    <c:v>BEBES</c:v>
                  </c:pt>
                  <c:pt idx="1">
                    <c:v>ROPA DORMIR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'Tipo de Prenda'!$I$28:$I$31</c:f>
              <c:numCache>
                <c:formatCode>#,##0</c:formatCode>
                <c:ptCount val="2"/>
                <c:pt idx="0">
                  <c:v>9078</c:v>
                </c:pt>
                <c:pt idx="1">
                  <c:v>13137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1E-44E8-82EF-91FCF1A02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PRENDAS</a:t>
            </a:r>
            <a:r>
              <a:rPr lang="es-PE" baseline="0"/>
              <a:t> PRODUCIDAS </a:t>
            </a:r>
            <a:r>
              <a:rPr lang="es-PE"/>
              <a:t>POR TIPO DE PRENDA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'Tipo de Prenda'!$H$6</c:f>
              <c:strCache>
                <c:ptCount val="1"/>
                <c:pt idx="0">
                  <c:v>AÑO 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'Tipo de Prenda'!$G$7:$G$8</c:f>
              <c:strCache>
                <c:ptCount val="2"/>
                <c:pt idx="0">
                  <c:v>BEBES</c:v>
                </c:pt>
                <c:pt idx="1">
                  <c:v>ROPA DORMIR</c:v>
                </c:pt>
              </c:strCache>
            </c:strRef>
          </c:cat>
          <c:val>
            <c:numRef>
              <c:f>'Tipo de Prenda'!$H$7:$H$8</c:f>
              <c:numCache>
                <c:formatCode>#,##0</c:formatCode>
                <c:ptCount val="2"/>
                <c:pt idx="0">
                  <c:v>3972</c:v>
                </c:pt>
                <c:pt idx="1">
                  <c:v>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C2-4A7A-861F-539E66539160}"/>
            </c:ext>
          </c:extLst>
        </c:ser>
        <c:ser>
          <c:idx val="1"/>
          <c:order val="1"/>
          <c:tx>
            <c:strRef>
              <c:f>'Tipo de Prenda'!$I$6</c:f>
              <c:strCache>
                <c:ptCount val="1"/>
                <c:pt idx="0">
                  <c:v>AÑO 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'Tipo de Prenda'!$G$7:$G$8</c:f>
              <c:strCache>
                <c:ptCount val="2"/>
                <c:pt idx="0">
                  <c:v>BEBES</c:v>
                </c:pt>
                <c:pt idx="1">
                  <c:v>ROPA DORMIR</c:v>
                </c:pt>
              </c:strCache>
            </c:strRef>
          </c:cat>
          <c:val>
            <c:numRef>
              <c:f>'Tipo de Prenda'!$I$7:$I$8</c:f>
              <c:numCache>
                <c:formatCode>#,##0</c:formatCode>
                <c:ptCount val="2"/>
                <c:pt idx="0">
                  <c:v>9078</c:v>
                </c:pt>
                <c:pt idx="1">
                  <c:v>13137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C2-4A7A-861F-539E66539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8224080"/>
        <c:axId val="588224640"/>
      </c:barChart>
      <c:catAx>
        <c:axId val="58822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88224640"/>
        <c:crosses val="autoZero"/>
        <c:auto val="1"/>
        <c:lblAlgn val="ctr"/>
        <c:lblOffset val="100"/>
        <c:noMultiLvlLbl val="0"/>
      </c:catAx>
      <c:valAx>
        <c:axId val="58822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8822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0" i="0" baseline="0">
                <a:effectLst/>
              </a:rPr>
              <a:t>Minutos Año 2021</a:t>
            </a:r>
            <a:endParaRPr lang="es-PE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'Min. Mes'!$I$5</c:f>
              <c:strCache>
                <c:ptCount val="1"/>
                <c:pt idx="0">
                  <c:v>Total Minutos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'Min. Mes'!$H$6:$H$17</c15:sqref>
                  </c15:fullRef>
                </c:ext>
              </c:extLst>
              <c:f>'Min. Mes'!$H$6:$H$16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'Min. Mes'!$I$6:$I$17</c15:sqref>
                  </c15:fullRef>
                </c:ext>
              </c:extLst>
              <c:f>'Min. Mes'!$I$6:$I$16</c:f>
              <c:numCache>
                <c:formatCode>#,##0</c:formatCode>
                <c:ptCount val="11"/>
                <c:pt idx="0">
                  <c:v>260194.8</c:v>
                </c:pt>
                <c:pt idx="1">
                  <c:v>172384</c:v>
                </c:pt>
                <c:pt idx="2">
                  <c:v>150570</c:v>
                </c:pt>
                <c:pt idx="3">
                  <c:v>54163.200000000004</c:v>
                </c:pt>
                <c:pt idx="4">
                  <c:v>20412</c:v>
                </c:pt>
                <c:pt idx="5">
                  <c:v>53872</c:v>
                </c:pt>
                <c:pt idx="6">
                  <c:v>239034.80000000002</c:v>
                </c:pt>
                <c:pt idx="7">
                  <c:v>51155.199999999997</c:v>
                </c:pt>
                <c:pt idx="8">
                  <c:v>88704.4</c:v>
                </c:pt>
                <c:pt idx="9">
                  <c:v>99709.599999999991</c:v>
                </c:pt>
                <c:pt idx="10">
                  <c:v>82308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5A-43C2-A513-43F6ED0F5F2F}"/>
            </c:ext>
          </c:extLst>
        </c:ser>
        <c:ser>
          <c:idx val="1"/>
          <c:order val="1"/>
          <c:tx>
            <c:strRef>
              <c:f>'Min. Mes'!$J$5</c:f>
              <c:strCache>
                <c:ptCount val="1"/>
                <c:pt idx="0">
                  <c:v>Meta Minutos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'Min. Mes'!$H$6:$H$17</c15:sqref>
                  </c15:fullRef>
                </c:ext>
              </c:extLst>
              <c:f>'Min. Mes'!$H$6:$H$16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'Min. Mes'!$J$6:$J$17</c15:sqref>
                  </c15:fullRef>
                </c:ext>
              </c:extLst>
              <c:f>'Min. Mes'!$J$6:$J$16</c:f>
              <c:numCache>
                <c:formatCode>#,##0</c:formatCode>
                <c:ptCount val="11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5A-43C2-A513-43F6ED0F5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473312"/>
        <c:axId val="302473872"/>
      </c:lineChart>
      <c:catAx>
        <c:axId val="30247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02473872"/>
        <c:crosses val="autoZero"/>
        <c:auto val="1"/>
        <c:lblAlgn val="ctr"/>
        <c:lblOffset val="100"/>
        <c:noMultiLvlLbl val="0"/>
      </c:catAx>
      <c:valAx>
        <c:axId val="30247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0247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Minutos Año 2021 - Ropa</a:t>
            </a:r>
            <a:r>
              <a:rPr lang="es-PE" baseline="0"/>
              <a:t> de Dormir</a:t>
            </a:r>
            <a:endParaRPr lang="es-P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'Min. Mes Pda. Dormir'!$I$8</c:f>
              <c:strCache>
                <c:ptCount val="1"/>
                <c:pt idx="0">
                  <c:v>Total Minutos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'Min. Mes Pda. Dormir'!$H$9:$H$19</c15:sqref>
                  </c15:fullRef>
                </c:ext>
              </c:extLst>
              <c:f>'Min. Mes Pda. Dormir'!$H$9:$H$18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'Min. Mes Pda. Dormir'!$I$9:$I$19</c15:sqref>
                  </c15:fullRef>
                </c:ext>
              </c:extLst>
              <c:f>'Min. Mes Pda. Dormir'!$I$9:$I$18</c:f>
              <c:numCache>
                <c:formatCode>#,##0</c:formatCode>
                <c:ptCount val="10"/>
                <c:pt idx="0">
                  <c:v>90676.400000000009</c:v>
                </c:pt>
                <c:pt idx="1">
                  <c:v>43886.8</c:v>
                </c:pt>
                <c:pt idx="2">
                  <c:v>150570</c:v>
                </c:pt>
                <c:pt idx="3">
                  <c:v>54163.200000000004</c:v>
                </c:pt>
                <c:pt idx="4">
                  <c:v>11960</c:v>
                </c:pt>
                <c:pt idx="5">
                  <c:v>53872</c:v>
                </c:pt>
                <c:pt idx="6">
                  <c:v>76371.199999999997</c:v>
                </c:pt>
                <c:pt idx="7">
                  <c:v>50319.199999999997</c:v>
                </c:pt>
                <c:pt idx="8">
                  <c:v>84832.4</c:v>
                </c:pt>
                <c:pt idx="9">
                  <c:v>99709.599999999991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1-4CEA-A138-D1FD1886DD61}"/>
            </c:ext>
          </c:extLst>
        </c:ser>
        <c:ser>
          <c:idx val="1"/>
          <c:order val="1"/>
          <c:tx>
            <c:strRef>
              <c:f>'Min. Mes Pda. Dormir'!$J$8</c:f>
              <c:strCache>
                <c:ptCount val="1"/>
                <c:pt idx="0">
                  <c:v>Meta Minutos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'Min. Mes Pda. Dormir'!$H$9:$H$19</c15:sqref>
                  </c15:fullRef>
                </c:ext>
              </c:extLst>
              <c:f>'Min. Mes Pda. Dormir'!$H$9:$H$18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'Min. Mes Pda. Dormir'!$J$9:$J$19</c15:sqref>
                  </c15:fullRef>
                </c:ext>
              </c:extLst>
              <c:f>'Min. Mes Pda. Dormir'!$J$9:$J$18</c:f>
              <c:numCache>
                <c:formatCode>#,##0</c:formatCode>
                <c:ptCount val="10"/>
                <c:pt idx="0">
                  <c:v>59135.719108710327</c:v>
                </c:pt>
                <c:pt idx="1">
                  <c:v>59135.719108710327</c:v>
                </c:pt>
                <c:pt idx="2">
                  <c:v>59135.719108710327</c:v>
                </c:pt>
                <c:pt idx="3">
                  <c:v>59135.719108710327</c:v>
                </c:pt>
                <c:pt idx="4">
                  <c:v>59135.719108710327</c:v>
                </c:pt>
                <c:pt idx="5">
                  <c:v>59135.719108710327</c:v>
                </c:pt>
                <c:pt idx="6">
                  <c:v>59135.719108710327</c:v>
                </c:pt>
                <c:pt idx="7">
                  <c:v>59135.719108710327</c:v>
                </c:pt>
                <c:pt idx="8">
                  <c:v>59135.719108710327</c:v>
                </c:pt>
                <c:pt idx="9">
                  <c:v>59135.719108710327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D1-4CEA-A138-D1FD1886D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300816"/>
        <c:axId val="305301376"/>
      </c:lineChart>
      <c:catAx>
        <c:axId val="30530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05301376"/>
        <c:crosses val="autoZero"/>
        <c:auto val="1"/>
        <c:lblAlgn val="ctr"/>
        <c:lblOffset val="100"/>
        <c:noMultiLvlLbl val="0"/>
      </c:catAx>
      <c:valAx>
        <c:axId val="3053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0530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141922</xdr:colOff>
      <xdr:row>6</xdr:row>
      <xdr:rowOff>106681</xdr:rowOff>
    </xdr:from>
    <xdr:to>
      <xdr:col>14</xdr:col>
      <xdr:colOff>114300</xdr:colOff>
      <xdr:row>24</xdr:row>
      <xdr:rowOff>163831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EFC7EE-FDAB-454D-9C3B-7069B1C1C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727710</xdr:colOff>
      <xdr:row>14</xdr:row>
      <xdr:rowOff>57150</xdr:rowOff>
    </xdr:from>
    <xdr:to>
      <xdr:col>4</xdr:col>
      <xdr:colOff>76200</xdr:colOff>
      <xdr:row>29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A64AE6-0C7D-489F-A510-B05029585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11</xdr:row>
      <xdr:rowOff>95250</xdr:rowOff>
    </xdr:from>
    <xdr:to>
      <xdr:col>9</xdr:col>
      <xdr:colOff>819150</xdr:colOff>
      <xdr:row>23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2C8D0AA-9DB6-4C28-88D8-ABD9B46CA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396240</xdr:colOff>
      <xdr:row>18</xdr:row>
      <xdr:rowOff>9525</xdr:rowOff>
    </xdr:from>
    <xdr:to>
      <xdr:col>10</xdr:col>
      <xdr:colOff>670560</xdr:colOff>
      <xdr:row>31</xdr:row>
      <xdr:rowOff>74295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B6BAA4D-9547-4497-937A-7ADB506EC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464820</xdr:colOff>
      <xdr:row>19</xdr:row>
      <xdr:rowOff>179070</xdr:rowOff>
    </xdr:from>
    <xdr:to>
      <xdr:col>10</xdr:col>
      <xdr:colOff>838200</xdr:colOff>
      <xdr:row>34</xdr:row>
      <xdr:rowOff>179070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91BEC31-696D-4AEC-9BAD-F139CBF8A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154641</xdr:colOff>
      <xdr:row>1</xdr:row>
      <xdr:rowOff>614829</xdr:rowOff>
    </xdr:from>
    <xdr:to>
      <xdr:col>1</xdr:col>
      <xdr:colOff>437216</xdr:colOff>
      <xdr:row>1</xdr:row>
      <xdr:rowOff>779929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flipH="1">
          <a:off x="716616" y="805329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276225</xdr:colOff>
      <xdr:row>0</xdr:row>
      <xdr:rowOff>0</xdr:rowOff>
    </xdr:from>
    <xdr:to>
      <xdr:col>38</xdr:col>
      <xdr:colOff>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38200" y="0"/>
          <a:ext cx="22812375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1" baseline="0">
              <a:solidFill>
                <a:schemeClr val="bg1">
                  <a:lumMod val="50000"/>
                </a:schemeClr>
              </a:solidFill>
            </a:rPr>
            <a:t>PLOMO = DESPACHADO   </a:t>
          </a:r>
          <a:r>
            <a:rPr lang="es-PE" sz="1200" b="1" baseline="0">
              <a:solidFill>
                <a:schemeClr val="accent3">
                  <a:lumMod val="75000"/>
                </a:schemeClr>
              </a:solidFill>
            </a:rPr>
            <a:t>VERDE =  PROGRAMA ACTUAL   </a:t>
          </a:r>
          <a:r>
            <a:rPr lang="es-PE" sz="1200" b="1" baseline="0">
              <a:solidFill>
                <a:srgbClr val="FFC000"/>
              </a:solidFill>
            </a:rPr>
            <a:t>AMARILLO = AVANCE DEL PROXIMO DESPACHO</a:t>
          </a:r>
          <a:endParaRPr lang="es-PE" sz="900" b="1" i="1">
            <a:solidFill>
              <a:srgbClr val="FFC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154641</xdr:colOff>
      <xdr:row>1</xdr:row>
      <xdr:rowOff>614829</xdr:rowOff>
    </xdr:from>
    <xdr:to>
      <xdr:col>1</xdr:col>
      <xdr:colOff>437216</xdr:colOff>
      <xdr:row>1</xdr:row>
      <xdr:rowOff>779929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flipH="1">
          <a:off x="716616" y="805329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276225</xdr:colOff>
      <xdr:row>0</xdr:row>
      <xdr:rowOff>0</xdr:rowOff>
    </xdr:from>
    <xdr:to>
      <xdr:col>38</xdr:col>
      <xdr:colOff>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838200" y="0"/>
          <a:ext cx="24850725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1" baseline="0">
              <a:solidFill>
                <a:schemeClr val="bg1">
                  <a:lumMod val="50000"/>
                </a:schemeClr>
              </a:solidFill>
            </a:rPr>
            <a:t>PLOMO = DESPACHADO   </a:t>
          </a:r>
          <a:r>
            <a:rPr lang="es-PE" sz="1200" b="1" baseline="0">
              <a:solidFill>
                <a:schemeClr val="accent3">
                  <a:lumMod val="75000"/>
                </a:schemeClr>
              </a:solidFill>
            </a:rPr>
            <a:t>VERDE =  PROGRAMA ACTUAL   </a:t>
          </a:r>
          <a:r>
            <a:rPr lang="es-PE" sz="1200" b="1" baseline="0">
              <a:solidFill>
                <a:srgbClr val="FFC000"/>
              </a:solidFill>
            </a:rPr>
            <a:t>AMARILLO = AVANCE DEL PROXIMO DESPACHO</a:t>
          </a:r>
          <a:endParaRPr lang="es-PE" sz="900" b="1" i="1">
            <a:solidFill>
              <a:srgbClr val="FFC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154641</xdr:colOff>
      <xdr:row>1</xdr:row>
      <xdr:rowOff>614829</xdr:rowOff>
    </xdr:from>
    <xdr:to>
      <xdr:col>1</xdr:col>
      <xdr:colOff>437216</xdr:colOff>
      <xdr:row>1</xdr:row>
      <xdr:rowOff>779929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H="1">
          <a:off x="716616" y="805329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276225</xdr:colOff>
      <xdr:row>0</xdr:row>
      <xdr:rowOff>0</xdr:rowOff>
    </xdr:from>
    <xdr:to>
      <xdr:col>37</xdr:col>
      <xdr:colOff>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38200" y="0"/>
          <a:ext cx="23726775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1" baseline="0">
              <a:solidFill>
                <a:schemeClr val="bg1">
                  <a:lumMod val="50000"/>
                </a:schemeClr>
              </a:solidFill>
            </a:rPr>
            <a:t>PLOMO = DESPACHADO   </a:t>
          </a:r>
          <a:r>
            <a:rPr lang="es-PE" sz="1200" b="1" baseline="0">
              <a:solidFill>
                <a:schemeClr val="accent3">
                  <a:lumMod val="75000"/>
                </a:schemeClr>
              </a:solidFill>
            </a:rPr>
            <a:t>VERDE =  PROGRAMA ACTUAL   </a:t>
          </a:r>
          <a:r>
            <a:rPr lang="es-PE" sz="1200" b="1" baseline="0">
              <a:solidFill>
                <a:srgbClr val="FFC000"/>
              </a:solidFill>
            </a:rPr>
            <a:t>AMARILLO = AVANCE DEL PROXIMO DESPACHO</a:t>
          </a:r>
          <a:endParaRPr lang="es-PE" sz="900" b="1" i="1">
            <a:solidFill>
              <a:srgbClr val="FFC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135203</xdr:colOff>
      <xdr:row>1</xdr:row>
      <xdr:rowOff>731462</xdr:rowOff>
    </xdr:from>
    <xdr:to>
      <xdr:col>0</xdr:col>
      <xdr:colOff>417778</xdr:colOff>
      <xdr:row>2</xdr:row>
      <xdr:rowOff>70414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flipH="1">
          <a:off x="135203" y="92585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276225</xdr:colOff>
      <xdr:row>0</xdr:row>
      <xdr:rowOff>0</xdr:rowOff>
    </xdr:from>
    <xdr:to>
      <xdr:col>19</xdr:col>
      <xdr:colOff>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76225" y="0"/>
          <a:ext cx="1402080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1" baseline="0">
              <a:solidFill>
                <a:schemeClr val="bg1">
                  <a:lumMod val="50000"/>
                </a:schemeClr>
              </a:solidFill>
            </a:rPr>
            <a:t>PLOMO = DESPACHADO   </a:t>
          </a:r>
          <a:r>
            <a:rPr lang="es-PE" sz="1200" b="1" baseline="0">
              <a:solidFill>
                <a:schemeClr val="accent3">
                  <a:lumMod val="75000"/>
                </a:schemeClr>
              </a:solidFill>
            </a:rPr>
            <a:t>VERDE =  PROGRAMA ACTUAL   </a:t>
          </a:r>
          <a:r>
            <a:rPr lang="es-PE" sz="1200" b="1" baseline="0">
              <a:solidFill>
                <a:srgbClr val="FFC000"/>
              </a:solidFill>
            </a:rPr>
            <a:t>AMARILLO = AVANCE DEL PROXIMO DESPACHO</a:t>
          </a:r>
          <a:endParaRPr lang="es-PE" sz="900" b="1" i="1">
            <a:solidFill>
              <a:srgbClr val="FFC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276225" y="0"/>
          <a:ext cx="148018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1" baseline="0">
              <a:solidFill>
                <a:schemeClr val="bg1">
                  <a:lumMod val="50000"/>
                </a:schemeClr>
              </a:solidFill>
            </a:rPr>
            <a:t>FECHA DE PEDIDO 20/6/18 - FECHA DE DESPACHO 11/07/2018</a:t>
          </a:r>
          <a:endParaRPr lang="es-PE" sz="900" b="1" i="1">
            <a:solidFill>
              <a:srgbClr val="FFC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154641</xdr:colOff>
      <xdr:row>1</xdr:row>
      <xdr:rowOff>614829</xdr:rowOff>
    </xdr:from>
    <xdr:to>
      <xdr:col>0</xdr:col>
      <xdr:colOff>437216</xdr:colOff>
      <xdr:row>1</xdr:row>
      <xdr:rowOff>779929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flipH="1">
          <a:off x="154641" y="805329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276225</xdr:colOff>
      <xdr:row>0</xdr:row>
      <xdr:rowOff>0</xdr:rowOff>
    </xdr:from>
    <xdr:to>
      <xdr:col>8</xdr:col>
      <xdr:colOff>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276225" y="0"/>
          <a:ext cx="14735175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1" baseline="0">
              <a:solidFill>
                <a:schemeClr val="bg1">
                  <a:lumMod val="50000"/>
                </a:schemeClr>
              </a:solidFill>
            </a:rPr>
            <a:t>PLOMO = DESPACHADO   </a:t>
          </a:r>
          <a:r>
            <a:rPr lang="es-PE" sz="1200" b="1" baseline="0">
              <a:solidFill>
                <a:schemeClr val="accent3">
                  <a:lumMod val="75000"/>
                </a:schemeClr>
              </a:solidFill>
            </a:rPr>
            <a:t>VERDE =  PROGRAMA ACTUAL   </a:t>
          </a:r>
          <a:r>
            <a:rPr lang="es-PE" sz="1200" b="1" baseline="0">
              <a:solidFill>
                <a:srgbClr val="FFC000"/>
              </a:solidFill>
            </a:rPr>
            <a:t>AMARILLO = AVANCE DEL PROXIMO DESPACHO</a:t>
          </a:r>
          <a:endParaRPr lang="es-PE" sz="900" b="1" i="1">
            <a:solidFill>
              <a:srgbClr val="FFC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1</xdr:row>
      <xdr:rowOff>558800</xdr:rowOff>
    </xdr:from>
    <xdr:to>
      <xdr:col>0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276225</xdr:colOff>
      <xdr:row>0</xdr:row>
      <xdr:rowOff>0</xdr:rowOff>
    </xdr:from>
    <xdr:to>
      <xdr:col>10</xdr:col>
      <xdr:colOff>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76225" y="0"/>
          <a:ext cx="11039475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1" baseline="0">
              <a:solidFill>
                <a:schemeClr val="bg1">
                  <a:lumMod val="50000"/>
                </a:schemeClr>
              </a:solidFill>
            </a:rPr>
            <a:t>CORTADO = GRIS</a:t>
          </a:r>
          <a:r>
            <a:rPr lang="es-PE" sz="1200" b="1" baseline="0">
              <a:solidFill>
                <a:schemeClr val="accent6">
                  <a:lumMod val="75000"/>
                </a:schemeClr>
              </a:solidFill>
            </a:rPr>
            <a:t>, </a:t>
          </a:r>
          <a:r>
            <a:rPr lang="es-PE" sz="1200" b="1" baseline="0">
              <a:solidFill>
                <a:schemeClr val="accent5">
                  <a:lumMod val="75000"/>
                </a:schemeClr>
              </a:solidFill>
            </a:rPr>
            <a:t>PROGRAMADO PARA CORTAR = CELESTE</a:t>
          </a:r>
        </a:p>
        <a:p>
          <a:pPr algn="l"/>
          <a:endParaRPr lang="es-PE" sz="900" b="1" i="1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1</xdr:row>
      <xdr:rowOff>558800</xdr:rowOff>
    </xdr:from>
    <xdr:to>
      <xdr:col>0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flipH="1">
          <a:off x="647700" y="749300"/>
          <a:ext cx="292100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276225</xdr:colOff>
      <xdr:row>0</xdr:row>
      <xdr:rowOff>0</xdr:rowOff>
    </xdr:from>
    <xdr:to>
      <xdr:col>10</xdr:col>
      <xdr:colOff>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76225" y="0"/>
          <a:ext cx="14354175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1" baseline="0">
              <a:solidFill>
                <a:schemeClr val="bg1">
                  <a:lumMod val="50000"/>
                </a:schemeClr>
              </a:solidFill>
            </a:rPr>
            <a:t>CORTADO = GRIS</a:t>
          </a:r>
          <a:r>
            <a:rPr lang="es-PE" sz="1200" b="1" baseline="0">
              <a:solidFill>
                <a:schemeClr val="accent6">
                  <a:lumMod val="75000"/>
                </a:schemeClr>
              </a:solidFill>
            </a:rPr>
            <a:t>, </a:t>
          </a:r>
          <a:r>
            <a:rPr lang="es-PE" sz="1200" b="1" baseline="0">
              <a:solidFill>
                <a:schemeClr val="accent5">
                  <a:lumMod val="75000"/>
                </a:schemeClr>
              </a:solidFill>
            </a:rPr>
            <a:t>PROGRAMADO PARA CORTAR = CELESTE</a:t>
          </a:r>
        </a:p>
        <a:p>
          <a:pPr algn="l"/>
          <a:endParaRPr lang="es-PE" sz="900" b="1" i="1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1</xdr:row>
      <xdr:rowOff>558800</xdr:rowOff>
    </xdr:from>
    <xdr:to>
      <xdr:col>0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276225</xdr:colOff>
      <xdr:row>0</xdr:row>
      <xdr:rowOff>0</xdr:rowOff>
    </xdr:from>
    <xdr:to>
      <xdr:col>10</xdr:col>
      <xdr:colOff>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276225" y="0"/>
          <a:ext cx="11039475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1" baseline="0">
              <a:solidFill>
                <a:srgbClr val="FFC000"/>
              </a:solidFill>
            </a:rPr>
            <a:t>Amarillo =  PROGRAMA ACTUAL   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Celeste = AVANCE DEL PROXIMO DESPACHO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1</xdr:row>
      <xdr:rowOff>558800</xdr:rowOff>
    </xdr:from>
    <xdr:to>
      <xdr:col>0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0" y="0"/>
          <a:ext cx="111696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 flipH="1">
          <a:off x="1409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0" y="0"/>
          <a:ext cx="1291590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 flipH="1">
          <a:off x="1409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202407</xdr:colOff>
      <xdr:row>0</xdr:row>
      <xdr:rowOff>0</xdr:rowOff>
    </xdr:from>
    <xdr:to>
      <xdr:col>10</xdr:col>
      <xdr:colOff>1712119</xdr:colOff>
      <xdr:row>1</xdr:row>
      <xdr:rowOff>38100</xdr:rowOff>
    </xdr:to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964407" y="0"/>
          <a:ext cx="12011025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0" y="0"/>
          <a:ext cx="111696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0" y="0"/>
          <a:ext cx="111696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0" y="0"/>
          <a:ext cx="111696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0" y="0"/>
          <a:ext cx="111696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0" y="0"/>
          <a:ext cx="111696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 flipH="1">
          <a:off x="1409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130969</xdr:colOff>
      <xdr:row>0</xdr:row>
      <xdr:rowOff>0</xdr:rowOff>
    </xdr:from>
    <xdr:to>
      <xdr:col>13</xdr:col>
      <xdr:colOff>200025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892969" y="0"/>
          <a:ext cx="13870781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0" y="0"/>
          <a:ext cx="111696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0" y="0"/>
          <a:ext cx="111696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0" y="0"/>
          <a:ext cx="111696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673100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0" y="0"/>
          <a:ext cx="1116965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 flipH="1">
          <a:off x="647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276225</xdr:colOff>
      <xdr:row>0</xdr:row>
      <xdr:rowOff>0</xdr:rowOff>
    </xdr:from>
    <xdr:to>
      <xdr:col>11</xdr:col>
      <xdr:colOff>0</xdr:colOff>
      <xdr:row>1</xdr:row>
      <xdr:rowOff>38100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276225" y="0"/>
          <a:ext cx="11039475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1" baseline="0">
              <a:solidFill>
                <a:srgbClr val="FFC000"/>
              </a:solidFill>
            </a:rPr>
            <a:t>Amarillo =  PROGRAMA ACTUAL   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Celeste = AVANCE DEL PROXIMO DESPACHO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  <xdr:twoCellAnchor>
    <xdr:from>
      <xdr:col>0</xdr:col>
      <xdr:colOff>276225</xdr:colOff>
      <xdr:row>0</xdr:row>
      <xdr:rowOff>0</xdr:rowOff>
    </xdr:from>
    <xdr:to>
      <xdr:col>10</xdr:col>
      <xdr:colOff>1928812</xdr:colOff>
      <xdr:row>1</xdr:row>
      <xdr:rowOff>38100</xdr:rowOff>
    </xdr:to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276225" y="0"/>
          <a:ext cx="1291590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</xdr:row>
      <xdr:rowOff>558800</xdr:rowOff>
    </xdr:from>
    <xdr:to>
      <xdr:col>1</xdr:col>
      <xdr:colOff>939800</xdr:colOff>
      <xdr:row>1</xdr:row>
      <xdr:rowOff>723900</xdr:rowOff>
    </xdr:to>
    <xdr:sp macro="" textlink="">
      <xdr:nvSpPr>
        <xdr:cNvPr id="2" name="1 Flecha abajo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 flipH="1">
          <a:off x="1409700" y="749300"/>
          <a:ext cx="282575" cy="165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130969</xdr:colOff>
      <xdr:row>0</xdr:row>
      <xdr:rowOff>0</xdr:rowOff>
    </xdr:from>
    <xdr:to>
      <xdr:col>13</xdr:col>
      <xdr:colOff>200025</xdr:colOff>
      <xdr:row>1</xdr:row>
      <xdr:rowOff>38100</xdr:rowOff>
    </xdr:to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892969" y="0"/>
          <a:ext cx="12915900" cy="2286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1200" b="0" baseline="0">
              <a:solidFill>
                <a:schemeClr val="accent6">
                  <a:lumMod val="75000"/>
                </a:schemeClr>
              </a:solidFill>
            </a:rPr>
            <a:t>CUMPLIO FECHA  </a:t>
          </a:r>
          <a:r>
            <a:rPr lang="es-PE" sz="1200" b="1" baseline="0">
              <a:solidFill>
                <a:schemeClr val="accent3">
                  <a:lumMod val="50000"/>
                </a:schemeClr>
              </a:solidFill>
            </a:rPr>
            <a:t>ATRASO</a:t>
          </a:r>
          <a:r>
            <a:rPr lang="es-PE" sz="1200" b="1" baseline="0">
              <a:solidFill>
                <a:schemeClr val="accent5">
                  <a:lumMod val="40000"/>
                  <a:lumOff val="60000"/>
                </a:schemeClr>
              </a:solidFill>
            </a:rPr>
            <a:t> </a:t>
          </a:r>
          <a:endParaRPr lang="es-PE" sz="900" b="1" i="1">
            <a:solidFill>
              <a:schemeClr val="accent5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4529.964729513886" createdVersion="7" refreshedVersion="7" minRefreshableVersion="3" recordCount="458" xr:uid="{00000000-000A-0000-FFFF-FFFF4F000000}">
  <cacheSource type="worksheet">
    <worksheetSource ref="B2:J460" sheet="TABLA DATA"/>
  </cacheSource>
  <cacheFields count="9">
    <cacheField name="CLIENTE" numFmtId="0">
      <sharedItems containsBlank="1" count="14">
        <s v="KISSY KISSY"/>
        <s v="FASHION VIEWS"/>
        <s v="CDL"/>
        <s v="MARELLE"/>
        <s v="LAURA MILLER"/>
        <s v="MFC"/>
        <s v="BABY BOX"/>
        <s v="CAPRILINA"/>
        <s v="LIVLY"/>
        <s v="BAMBOLA"/>
        <s v="AVECMUA"/>
        <m/>
        <s v="ARMSTRONG"/>
        <s v="TEXMAYA" u="1"/>
      </sharedItems>
    </cacheField>
    <cacheField name="Cfab" numFmtId="0">
      <sharedItems containsString="0" containsBlank="1" containsNumber="1" minValue="1" maxValue="108.5"/>
    </cacheField>
    <cacheField name="Tot Min" numFmtId="0">
      <sharedItems containsString="0" containsBlank="1" containsNumber="1" minValue="8" maxValue="448"/>
    </cacheField>
    <cacheField name="Export" numFmtId="0">
      <sharedItems containsString="0" containsBlank="1" containsNumber="1" containsInteger="1" minValue="0" maxValue="330"/>
    </cacheField>
    <cacheField name="Año" numFmtId="0">
      <sharedItems containsString="0" containsBlank="1" containsNumber="1" containsInteger="1" minValue="2020" maxValue="2022" count="4">
        <n v="2020"/>
        <n v="2021"/>
        <m/>
        <n v="2022"/>
      </sharedItems>
    </cacheField>
    <cacheField name="Tipo Producto" numFmtId="0">
      <sharedItems containsBlank="1" count="8">
        <s v="BEBES"/>
        <s v="ROPA DORMIR"/>
        <m/>
        <s v="NIÑAS"/>
        <s v="MASCARILLAS" u="1"/>
        <s v="R.VERANO" u="1"/>
        <s v="NIÑOS" u="1"/>
        <s v="R VERANO" u="1"/>
      </sharedItems>
    </cacheField>
    <cacheField name="Mes" numFmtId="0">
      <sharedItems containsString="0" containsBlank="1" containsNumber="1" containsInteger="1" minValue="1" maxValue="12"/>
    </cacheField>
    <cacheField name="Costo Total" numFmtId="0">
      <sharedItems containsString="0" containsBlank="1" containsNumber="1" minValue="0" maxValue="9439.5"/>
    </cacheField>
    <cacheField name="Total Minutos" numFmtId="0">
      <sharedItems containsString="0" containsBlank="1" containsNumber="1" minValue="0" maxValue="389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4529.966733680558" createdVersion="7" refreshedVersion="7" minRefreshableVersion="3" recordCount="458" xr:uid="{00000000-000A-0000-FFFF-FFFF50000000}">
  <cacheSource type="worksheet">
    <worksheetSource ref="B2:L460" sheet="TABLA DATA"/>
  </cacheSource>
  <cacheFields count="11">
    <cacheField name="CLIENTE" numFmtId="0">
      <sharedItems containsBlank="1"/>
    </cacheField>
    <cacheField name="Cfab" numFmtId="0">
      <sharedItems containsString="0" containsBlank="1" containsNumber="1" minValue="1" maxValue="108.5"/>
    </cacheField>
    <cacheField name="Tot Min" numFmtId="0">
      <sharedItems containsString="0" containsBlank="1" containsNumber="1" minValue="8" maxValue="448"/>
    </cacheField>
    <cacheField name="Export" numFmtId="0">
      <sharedItems containsString="0" containsBlank="1" containsNumber="1" containsInteger="1" minValue="0" maxValue="330"/>
    </cacheField>
    <cacheField name="Año" numFmtId="0">
      <sharedItems containsString="0" containsBlank="1" containsNumber="1" containsInteger="1" minValue="2020" maxValue="2022" count="4">
        <n v="2020"/>
        <n v="2021"/>
        <m/>
        <n v="2022"/>
      </sharedItems>
    </cacheField>
    <cacheField name="Tipo Producto" numFmtId="0">
      <sharedItems containsBlank="1" count="8">
        <s v="BEBES"/>
        <s v="ROPA DORMIR"/>
        <m/>
        <s v="NIÑAS"/>
        <s v="MASCARILLAS" u="1"/>
        <s v="R.VERANO" u="1"/>
        <s v="NIÑOS" u="1"/>
        <s v="R VERANO" u="1"/>
      </sharedItems>
    </cacheField>
    <cacheField name="Mes" numFmtId="0">
      <sharedItems containsString="0" containsBlank="1" containsNumber="1" containsInteger="1" minValue="1" maxValue="12" count="13">
        <n v="1"/>
        <n v="2"/>
        <n v="3"/>
        <n v="6"/>
        <n v="7"/>
        <n v="8"/>
        <n v="9"/>
        <n v="10"/>
        <n v="11"/>
        <n v="12"/>
        <n v="4"/>
        <n v="5"/>
        <m/>
      </sharedItems>
    </cacheField>
    <cacheField name="Costo Total" numFmtId="0">
      <sharedItems containsString="0" containsBlank="1" containsNumber="1" minValue="0" maxValue="9439.5"/>
    </cacheField>
    <cacheField name="Total Minutos" numFmtId="0">
      <sharedItems containsString="0" containsBlank="1" containsNumber="1" minValue="0" maxValue="38976"/>
    </cacheField>
    <cacheField name="Minutos Costura" numFmtId="0">
      <sharedItems containsString="0" containsBlank="1" containsNumber="1" minValue="0" maxValue="36540"/>
    </cacheField>
    <cacheField name="Minutos Manufactura" numFmtId="0">
      <sharedItems containsString="0" containsBlank="1" containsNumber="1" minValue="0" maxValue="389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8">
  <r>
    <x v="0"/>
    <n v="21"/>
    <n v="60"/>
    <n v="115"/>
    <x v="0"/>
    <x v="0"/>
    <n v="1"/>
    <n v="2415"/>
    <n v="6900"/>
  </r>
  <r>
    <x v="0"/>
    <n v="28"/>
    <n v="60"/>
    <n v="109"/>
    <x v="0"/>
    <x v="0"/>
    <n v="1"/>
    <n v="3052"/>
    <n v="6540"/>
  </r>
  <r>
    <x v="0"/>
    <n v="27"/>
    <n v="56"/>
    <n v="71"/>
    <x v="0"/>
    <x v="0"/>
    <n v="1"/>
    <n v="1917"/>
    <n v="3976"/>
  </r>
  <r>
    <x v="0"/>
    <n v="19.5"/>
    <n v="56"/>
    <n v="83"/>
    <x v="0"/>
    <x v="0"/>
    <n v="1"/>
    <n v="1618.5"/>
    <n v="4648"/>
  </r>
  <r>
    <x v="0"/>
    <n v="21"/>
    <n v="60"/>
    <n v="111"/>
    <x v="0"/>
    <x v="0"/>
    <n v="1"/>
    <n v="2331"/>
    <n v="6660"/>
  </r>
  <r>
    <x v="0"/>
    <n v="20.5"/>
    <n v="58"/>
    <n v="47"/>
    <x v="0"/>
    <x v="0"/>
    <n v="1"/>
    <n v="963.5"/>
    <n v="2726"/>
  </r>
  <r>
    <x v="0"/>
    <n v="22"/>
    <n v="64"/>
    <n v="95"/>
    <x v="0"/>
    <x v="0"/>
    <n v="1"/>
    <n v="2090"/>
    <n v="6080"/>
  </r>
  <r>
    <x v="0"/>
    <n v="19.5"/>
    <n v="54"/>
    <n v="57"/>
    <x v="0"/>
    <x v="0"/>
    <n v="1"/>
    <n v="1111.5"/>
    <n v="3078"/>
  </r>
  <r>
    <x v="0"/>
    <n v="9"/>
    <n v="20"/>
    <n v="82"/>
    <x v="0"/>
    <x v="0"/>
    <n v="1"/>
    <n v="738"/>
    <n v="1640"/>
  </r>
  <r>
    <x v="0"/>
    <n v="9.1999999999999993"/>
    <n v="20.8"/>
    <n v="80"/>
    <x v="0"/>
    <x v="0"/>
    <n v="1"/>
    <n v="736"/>
    <n v="1664"/>
  </r>
  <r>
    <x v="0"/>
    <n v="13.7"/>
    <n v="42.8"/>
    <n v="80"/>
    <x v="0"/>
    <x v="0"/>
    <n v="1"/>
    <n v="1096"/>
    <n v="3424"/>
  </r>
  <r>
    <x v="0"/>
    <n v="20.5"/>
    <n v="60"/>
    <n v="107"/>
    <x v="0"/>
    <x v="0"/>
    <n v="1"/>
    <n v="2193.5"/>
    <n v="6420"/>
  </r>
  <r>
    <x v="0"/>
    <n v="20.5"/>
    <n v="60"/>
    <n v="45"/>
    <x v="0"/>
    <x v="0"/>
    <n v="1"/>
    <n v="922.5"/>
    <n v="2700"/>
  </r>
  <r>
    <x v="0"/>
    <n v="20.5"/>
    <n v="60"/>
    <n v="51"/>
    <x v="0"/>
    <x v="0"/>
    <n v="1"/>
    <n v="1045.5"/>
    <n v="3060"/>
  </r>
  <r>
    <x v="0"/>
    <n v="20.5"/>
    <n v="60"/>
    <n v="73"/>
    <x v="0"/>
    <x v="0"/>
    <n v="1"/>
    <n v="1496.5"/>
    <n v="4380"/>
  </r>
  <r>
    <x v="0"/>
    <n v="20.5"/>
    <n v="60"/>
    <n v="43"/>
    <x v="0"/>
    <x v="0"/>
    <n v="1"/>
    <n v="881.5"/>
    <n v="2580"/>
  </r>
  <r>
    <x v="0"/>
    <n v="18.5"/>
    <n v="52"/>
    <n v="92"/>
    <x v="0"/>
    <x v="0"/>
    <n v="1"/>
    <n v="1702"/>
    <n v="4784"/>
  </r>
  <r>
    <x v="0"/>
    <n v="7"/>
    <n v="20"/>
    <n v="26"/>
    <x v="0"/>
    <x v="0"/>
    <n v="1"/>
    <n v="182"/>
    <n v="520"/>
  </r>
  <r>
    <x v="0"/>
    <n v="9.1999999999999993"/>
    <n v="20.8"/>
    <n v="58"/>
    <x v="0"/>
    <x v="0"/>
    <n v="1"/>
    <n v="533.59999999999991"/>
    <n v="1206.4000000000001"/>
  </r>
  <r>
    <x v="0"/>
    <n v="13.7"/>
    <n v="42.8"/>
    <n v="24"/>
    <x v="0"/>
    <x v="0"/>
    <n v="1"/>
    <n v="328.79999999999995"/>
    <n v="1027.1999999999998"/>
  </r>
  <r>
    <x v="0"/>
    <n v="11.8"/>
    <n v="32.4"/>
    <n v="44"/>
    <x v="0"/>
    <x v="0"/>
    <n v="1"/>
    <n v="519.20000000000005"/>
    <n v="1425.6"/>
  </r>
  <r>
    <x v="1"/>
    <n v="14"/>
    <n v="70"/>
    <n v="52"/>
    <x v="0"/>
    <x v="1"/>
    <n v="2"/>
    <n v="728"/>
    <n v="3640"/>
  </r>
  <r>
    <x v="1"/>
    <n v="14.5"/>
    <n v="72"/>
    <n v="46"/>
    <x v="0"/>
    <x v="1"/>
    <n v="2"/>
    <n v="667"/>
    <n v="3312"/>
  </r>
  <r>
    <x v="1"/>
    <n v="18"/>
    <n v="90"/>
    <n v="66"/>
    <x v="0"/>
    <x v="1"/>
    <n v="2"/>
    <n v="1188"/>
    <n v="5940"/>
  </r>
  <r>
    <x v="1"/>
    <n v="11.5"/>
    <n v="64"/>
    <n v="36"/>
    <x v="0"/>
    <x v="1"/>
    <n v="2"/>
    <n v="414"/>
    <n v="2304"/>
  </r>
  <r>
    <x v="1"/>
    <n v="18"/>
    <n v="90"/>
    <n v="36"/>
    <x v="0"/>
    <x v="1"/>
    <n v="2"/>
    <n v="648"/>
    <n v="3240"/>
  </r>
  <r>
    <x v="1"/>
    <n v="15.5"/>
    <n v="80"/>
    <n v="70"/>
    <x v="0"/>
    <x v="1"/>
    <n v="2"/>
    <n v="1085"/>
    <n v="5600"/>
  </r>
  <r>
    <x v="1"/>
    <n v="18"/>
    <n v="90"/>
    <n v="34"/>
    <x v="0"/>
    <x v="1"/>
    <n v="2"/>
    <n v="612"/>
    <n v="3060"/>
  </r>
  <r>
    <x v="1"/>
    <n v="11.5"/>
    <n v="64"/>
    <n v="19"/>
    <x v="0"/>
    <x v="1"/>
    <n v="2"/>
    <n v="218.5"/>
    <n v="1216"/>
  </r>
  <r>
    <x v="1"/>
    <n v="18"/>
    <n v="90"/>
    <n v="19"/>
    <x v="0"/>
    <x v="1"/>
    <n v="2"/>
    <n v="342"/>
    <n v="1710"/>
  </r>
  <r>
    <x v="1"/>
    <n v="15.5"/>
    <n v="80"/>
    <n v="19"/>
    <x v="0"/>
    <x v="1"/>
    <n v="2"/>
    <n v="294.5"/>
    <n v="1520"/>
  </r>
  <r>
    <x v="1"/>
    <n v="16.5"/>
    <n v="78"/>
    <n v="121"/>
    <x v="0"/>
    <x v="1"/>
    <n v="2"/>
    <n v="1996.5"/>
    <n v="9438"/>
  </r>
  <r>
    <x v="2"/>
    <n v="16"/>
    <n v="82"/>
    <n v="144"/>
    <x v="0"/>
    <x v="1"/>
    <n v="2"/>
    <n v="2304"/>
    <n v="11808"/>
  </r>
  <r>
    <x v="1"/>
    <n v="39"/>
    <n v="52"/>
    <n v="126"/>
    <x v="0"/>
    <x v="1"/>
    <n v="3"/>
    <n v="4914"/>
    <n v="6552"/>
  </r>
  <r>
    <x v="1"/>
    <n v="9.5"/>
    <n v="50"/>
    <n v="101"/>
    <x v="0"/>
    <x v="1"/>
    <n v="6"/>
    <n v="959.5"/>
    <n v="5050"/>
  </r>
  <r>
    <x v="1"/>
    <n v="14.3"/>
    <n v="71.2"/>
    <n v="123"/>
    <x v="0"/>
    <x v="1"/>
    <n v="6"/>
    <n v="1758.9"/>
    <n v="8757.6"/>
  </r>
  <r>
    <x v="1"/>
    <n v="14.3"/>
    <n v="71.2"/>
    <n v="108"/>
    <x v="0"/>
    <x v="1"/>
    <n v="6"/>
    <n v="1544.4"/>
    <n v="7689.6"/>
  </r>
  <r>
    <x v="1"/>
    <n v="38"/>
    <n v="48"/>
    <n v="77"/>
    <x v="0"/>
    <x v="1"/>
    <n v="6"/>
    <n v="2926"/>
    <n v="3696"/>
  </r>
  <r>
    <x v="1"/>
    <n v="108.5"/>
    <n v="448"/>
    <n v="87"/>
    <x v="0"/>
    <x v="1"/>
    <n v="6"/>
    <n v="9439.5"/>
    <n v="38976"/>
  </r>
  <r>
    <x v="3"/>
    <n v="9"/>
    <n v="48"/>
    <n v="122"/>
    <x v="0"/>
    <x v="1"/>
    <n v="6"/>
    <n v="1098"/>
    <n v="5856"/>
  </r>
  <r>
    <x v="3"/>
    <n v="12"/>
    <n v="62"/>
    <n v="122"/>
    <x v="0"/>
    <x v="1"/>
    <n v="6"/>
    <n v="1464"/>
    <n v="7564"/>
  </r>
  <r>
    <x v="3"/>
    <n v="11.5"/>
    <n v="60"/>
    <n v="122"/>
    <x v="0"/>
    <x v="1"/>
    <n v="6"/>
    <n v="1403"/>
    <n v="7320"/>
  </r>
  <r>
    <x v="3"/>
    <n v="15"/>
    <n v="72"/>
    <n v="122"/>
    <x v="0"/>
    <x v="1"/>
    <n v="6"/>
    <n v="1830"/>
    <n v="8784"/>
  </r>
  <r>
    <x v="3"/>
    <n v="9"/>
    <n v="48"/>
    <n v="122"/>
    <x v="0"/>
    <x v="1"/>
    <n v="6"/>
    <n v="1098"/>
    <n v="5856"/>
  </r>
  <r>
    <x v="1"/>
    <n v="18.5"/>
    <n v="88"/>
    <n v="100"/>
    <x v="0"/>
    <x v="1"/>
    <n v="6"/>
    <n v="1850"/>
    <n v="8800"/>
  </r>
  <r>
    <x v="4"/>
    <n v="21"/>
    <n v="60"/>
    <n v="58"/>
    <x v="0"/>
    <x v="0"/>
    <n v="6"/>
    <n v="1218"/>
    <n v="3480"/>
  </r>
  <r>
    <x v="1"/>
    <n v="14"/>
    <n v="70"/>
    <n v="146"/>
    <x v="0"/>
    <x v="1"/>
    <n v="6"/>
    <n v="2044"/>
    <n v="10220"/>
  </r>
  <r>
    <x v="1"/>
    <n v="7.5"/>
    <n v="42"/>
    <n v="170"/>
    <x v="0"/>
    <x v="1"/>
    <n v="6"/>
    <n v="1275"/>
    <n v="7140"/>
  </r>
  <r>
    <x v="1"/>
    <n v="14"/>
    <n v="70"/>
    <n v="127"/>
    <x v="0"/>
    <x v="1"/>
    <n v="6"/>
    <n v="1778"/>
    <n v="8890"/>
  </r>
  <r>
    <x v="1"/>
    <n v="9.5"/>
    <n v="50"/>
    <n v="48"/>
    <x v="0"/>
    <x v="1"/>
    <n v="6"/>
    <n v="456"/>
    <n v="2400"/>
  </r>
  <r>
    <x v="1"/>
    <n v="14"/>
    <n v="70"/>
    <n v="66"/>
    <x v="0"/>
    <x v="1"/>
    <n v="6"/>
    <n v="924"/>
    <n v="4620"/>
  </r>
  <r>
    <x v="1"/>
    <n v="10.8"/>
    <n v="55.2"/>
    <n v="72"/>
    <x v="0"/>
    <x v="1"/>
    <n v="6"/>
    <n v="777.6"/>
    <n v="3974.4"/>
  </r>
  <r>
    <x v="3"/>
    <n v="11"/>
    <n v="56"/>
    <n v="62"/>
    <x v="0"/>
    <x v="1"/>
    <n v="6"/>
    <n v="682"/>
    <n v="3472"/>
  </r>
  <r>
    <x v="1"/>
    <n v="15.5"/>
    <n v="76"/>
    <n v="116"/>
    <x v="0"/>
    <x v="1"/>
    <n v="6"/>
    <n v="1798"/>
    <n v="8816"/>
  </r>
  <r>
    <x v="1"/>
    <n v="18"/>
    <n v="84"/>
    <n v="102"/>
    <x v="0"/>
    <x v="1"/>
    <n v="7"/>
    <n v="1836"/>
    <n v="8568"/>
  </r>
  <r>
    <x v="3"/>
    <n v="21.5"/>
    <n v="60"/>
    <n v="31"/>
    <x v="0"/>
    <x v="0"/>
    <n v="7"/>
    <n v="666.5"/>
    <n v="1860"/>
  </r>
  <r>
    <x v="3"/>
    <n v="21"/>
    <n v="60"/>
    <n v="31"/>
    <x v="0"/>
    <x v="0"/>
    <n v="7"/>
    <n v="651"/>
    <n v="1860"/>
  </r>
  <r>
    <x v="3"/>
    <n v="18.7"/>
    <n v="42.8"/>
    <n v="21"/>
    <x v="0"/>
    <x v="0"/>
    <n v="7"/>
    <n v="392.7"/>
    <n v="898.8"/>
  </r>
  <r>
    <x v="3"/>
    <n v="18.7"/>
    <n v="42.8"/>
    <n v="21"/>
    <x v="0"/>
    <x v="0"/>
    <n v="7"/>
    <n v="392.7"/>
    <n v="898.8"/>
  </r>
  <r>
    <x v="3"/>
    <n v="11"/>
    <n v="30"/>
    <n v="21"/>
    <x v="0"/>
    <x v="0"/>
    <n v="7"/>
    <n v="231"/>
    <n v="630"/>
  </r>
  <r>
    <x v="3"/>
    <n v="11"/>
    <n v="30"/>
    <n v="21"/>
    <x v="0"/>
    <x v="0"/>
    <n v="7"/>
    <n v="231"/>
    <n v="630"/>
  </r>
  <r>
    <x v="3"/>
    <n v="11"/>
    <n v="30"/>
    <n v="21"/>
    <x v="0"/>
    <x v="0"/>
    <n v="7"/>
    <n v="231"/>
    <n v="630"/>
  </r>
  <r>
    <x v="3"/>
    <n v="11"/>
    <n v="30"/>
    <n v="21"/>
    <x v="0"/>
    <x v="0"/>
    <n v="7"/>
    <n v="231"/>
    <n v="630"/>
  </r>
  <r>
    <x v="3"/>
    <n v="21"/>
    <n v="60"/>
    <n v="30"/>
    <x v="0"/>
    <x v="0"/>
    <n v="7"/>
    <n v="630"/>
    <n v="1800"/>
  </r>
  <r>
    <x v="3"/>
    <n v="21"/>
    <n v="60"/>
    <n v="30"/>
    <x v="0"/>
    <x v="0"/>
    <n v="7"/>
    <n v="630"/>
    <n v="1800"/>
  </r>
  <r>
    <x v="3"/>
    <n v="20"/>
    <n v="56"/>
    <n v="31"/>
    <x v="0"/>
    <x v="0"/>
    <n v="7"/>
    <n v="620"/>
    <n v="1736"/>
  </r>
  <r>
    <x v="3"/>
    <n v="20"/>
    <n v="56"/>
    <n v="31"/>
    <x v="0"/>
    <x v="0"/>
    <n v="7"/>
    <n v="620"/>
    <n v="1736"/>
  </r>
  <r>
    <x v="1"/>
    <n v="14"/>
    <n v="68"/>
    <n v="74"/>
    <x v="0"/>
    <x v="1"/>
    <n v="7"/>
    <n v="1036"/>
    <n v="5032"/>
  </r>
  <r>
    <x v="1"/>
    <n v="9"/>
    <n v="48"/>
    <n v="64"/>
    <x v="0"/>
    <x v="1"/>
    <n v="7"/>
    <n v="576"/>
    <n v="3072"/>
  </r>
  <r>
    <x v="3"/>
    <n v="38"/>
    <n v="52"/>
    <n v="52"/>
    <x v="0"/>
    <x v="1"/>
    <n v="7"/>
    <n v="1976"/>
    <n v="2704"/>
  </r>
  <r>
    <x v="3"/>
    <n v="38"/>
    <n v="52"/>
    <n v="52"/>
    <x v="0"/>
    <x v="1"/>
    <n v="7"/>
    <n v="1976"/>
    <n v="2704"/>
  </r>
  <r>
    <x v="1"/>
    <n v="15.5"/>
    <n v="76"/>
    <n v="109"/>
    <x v="0"/>
    <x v="1"/>
    <n v="7"/>
    <n v="1689.5"/>
    <n v="8284"/>
  </r>
  <r>
    <x v="1"/>
    <n v="14"/>
    <n v="70"/>
    <n v="104"/>
    <x v="0"/>
    <x v="1"/>
    <n v="7"/>
    <n v="1456"/>
    <n v="7280"/>
  </r>
  <r>
    <x v="0"/>
    <n v="26"/>
    <n v="80"/>
    <n v="9"/>
    <x v="0"/>
    <x v="0"/>
    <n v="7"/>
    <n v="234"/>
    <n v="720"/>
  </r>
  <r>
    <x v="0"/>
    <n v="22"/>
    <n v="64"/>
    <n v="9"/>
    <x v="0"/>
    <x v="0"/>
    <n v="7"/>
    <n v="198"/>
    <n v="576"/>
  </r>
  <r>
    <x v="0"/>
    <n v="24"/>
    <n v="72"/>
    <n v="7"/>
    <x v="0"/>
    <x v="0"/>
    <n v="7"/>
    <n v="168"/>
    <n v="504"/>
  </r>
  <r>
    <x v="0"/>
    <n v="31"/>
    <n v="100"/>
    <n v="7"/>
    <x v="0"/>
    <x v="0"/>
    <n v="7"/>
    <n v="217"/>
    <n v="700"/>
  </r>
  <r>
    <x v="0"/>
    <n v="14"/>
    <n v="44"/>
    <n v="7"/>
    <x v="0"/>
    <x v="0"/>
    <n v="7"/>
    <n v="98"/>
    <n v="308"/>
  </r>
  <r>
    <x v="0"/>
    <n v="9.5"/>
    <n v="32"/>
    <n v="7"/>
    <x v="0"/>
    <x v="0"/>
    <n v="7"/>
    <n v="66.5"/>
    <n v="224"/>
  </r>
  <r>
    <x v="0"/>
    <n v="9.5"/>
    <n v="32"/>
    <n v="8"/>
    <x v="0"/>
    <x v="0"/>
    <n v="7"/>
    <n v="76"/>
    <n v="256"/>
  </r>
  <r>
    <x v="0"/>
    <n v="25"/>
    <n v="76"/>
    <n v="9"/>
    <x v="0"/>
    <x v="0"/>
    <n v="7"/>
    <n v="225"/>
    <n v="684"/>
  </r>
  <r>
    <x v="0"/>
    <n v="22"/>
    <n v="64"/>
    <n v="8"/>
    <x v="0"/>
    <x v="0"/>
    <n v="7"/>
    <n v="176"/>
    <n v="512"/>
  </r>
  <r>
    <x v="0"/>
    <n v="22"/>
    <n v="64"/>
    <n v="7"/>
    <x v="0"/>
    <x v="0"/>
    <n v="7"/>
    <n v="154"/>
    <n v="448"/>
  </r>
  <r>
    <x v="0"/>
    <n v="22"/>
    <n v="64"/>
    <n v="7"/>
    <x v="0"/>
    <x v="0"/>
    <n v="7"/>
    <n v="154"/>
    <n v="448"/>
  </r>
  <r>
    <x v="0"/>
    <n v="14"/>
    <n v="44"/>
    <n v="7"/>
    <x v="0"/>
    <x v="0"/>
    <n v="7"/>
    <n v="98"/>
    <n v="308"/>
  </r>
  <r>
    <x v="0"/>
    <n v="9.5"/>
    <n v="32"/>
    <n v="7"/>
    <x v="0"/>
    <x v="0"/>
    <n v="7"/>
    <n v="66.5"/>
    <n v="224"/>
  </r>
  <r>
    <x v="0"/>
    <n v="9.5"/>
    <n v="32"/>
    <n v="8"/>
    <x v="0"/>
    <x v="0"/>
    <n v="7"/>
    <n v="76"/>
    <n v="256"/>
  </r>
  <r>
    <x v="0"/>
    <n v="12.8"/>
    <n v="42.4"/>
    <n v="7"/>
    <x v="0"/>
    <x v="0"/>
    <n v="7"/>
    <n v="89.600000000000009"/>
    <n v="296.8"/>
  </r>
  <r>
    <x v="5"/>
    <n v="9.5"/>
    <n v="50"/>
    <n v="128"/>
    <x v="0"/>
    <x v="1"/>
    <n v="7"/>
    <n v="1216"/>
    <n v="6400"/>
  </r>
  <r>
    <x v="5"/>
    <n v="9.5"/>
    <n v="50"/>
    <n v="132"/>
    <x v="0"/>
    <x v="1"/>
    <n v="7"/>
    <n v="1254"/>
    <n v="6600"/>
  </r>
  <r>
    <x v="5"/>
    <n v="10"/>
    <n v="54"/>
    <n v="9"/>
    <x v="0"/>
    <x v="1"/>
    <n v="7"/>
    <n v="90"/>
    <n v="486"/>
  </r>
  <r>
    <x v="5"/>
    <n v="10"/>
    <n v="54"/>
    <n v="6"/>
    <x v="0"/>
    <x v="1"/>
    <n v="7"/>
    <n v="60"/>
    <n v="324"/>
  </r>
  <r>
    <x v="3"/>
    <n v="11"/>
    <n v="58"/>
    <n v="132"/>
    <x v="0"/>
    <x v="1"/>
    <n v="7"/>
    <n v="1452"/>
    <n v="7656"/>
  </r>
  <r>
    <x v="0"/>
    <n v="11.3"/>
    <n v="22"/>
    <n v="25"/>
    <x v="0"/>
    <x v="0"/>
    <n v="8"/>
    <n v="282.5"/>
    <n v="550"/>
  </r>
  <r>
    <x v="0"/>
    <n v="9.3000000000000007"/>
    <n v="22"/>
    <n v="86"/>
    <x v="0"/>
    <x v="0"/>
    <n v="8"/>
    <n v="799.80000000000007"/>
    <n v="1892"/>
  </r>
  <r>
    <x v="0"/>
    <n v="17.7"/>
    <n v="42.8"/>
    <n v="59"/>
    <x v="0"/>
    <x v="0"/>
    <n v="8"/>
    <n v="1044.3"/>
    <n v="2525.1999999999998"/>
  </r>
  <r>
    <x v="0"/>
    <n v="28.5"/>
    <n v="60"/>
    <n v="93"/>
    <x v="0"/>
    <x v="0"/>
    <n v="8"/>
    <n v="2650.5"/>
    <n v="5580"/>
  </r>
  <r>
    <x v="0"/>
    <n v="23"/>
    <n v="60"/>
    <n v="147"/>
    <x v="0"/>
    <x v="0"/>
    <n v="8"/>
    <n v="3381"/>
    <n v="8820"/>
  </r>
  <r>
    <x v="0"/>
    <n v="29.5"/>
    <n v="64"/>
    <n v="45"/>
    <x v="0"/>
    <x v="0"/>
    <n v="8"/>
    <n v="1327.5"/>
    <n v="2880"/>
  </r>
  <r>
    <x v="0"/>
    <n v="27.5"/>
    <n v="56"/>
    <n v="55"/>
    <x v="0"/>
    <x v="0"/>
    <n v="8"/>
    <n v="1512.5"/>
    <n v="3080"/>
  </r>
  <r>
    <x v="0"/>
    <n v="11.3"/>
    <n v="22"/>
    <n v="25"/>
    <x v="0"/>
    <x v="0"/>
    <n v="8"/>
    <n v="282.5"/>
    <n v="550"/>
  </r>
  <r>
    <x v="0"/>
    <n v="14.5"/>
    <n v="58"/>
    <n v="106"/>
    <x v="0"/>
    <x v="0"/>
    <n v="8"/>
    <n v="1537"/>
    <n v="6148"/>
  </r>
  <r>
    <x v="0"/>
    <n v="19.7"/>
    <n v="42.8"/>
    <n v="81"/>
    <x v="0"/>
    <x v="0"/>
    <n v="8"/>
    <n v="1595.7"/>
    <n v="3466.7999999999997"/>
  </r>
  <r>
    <x v="0"/>
    <n v="25"/>
    <n v="60"/>
    <n v="110"/>
    <x v="0"/>
    <x v="0"/>
    <n v="8"/>
    <n v="2750"/>
    <n v="6600"/>
  </r>
  <r>
    <x v="0"/>
    <n v="30"/>
    <n v="58"/>
    <n v="82"/>
    <x v="0"/>
    <x v="0"/>
    <n v="8"/>
    <n v="2460"/>
    <n v="4756"/>
  </r>
  <r>
    <x v="0"/>
    <n v="25"/>
    <n v="60"/>
    <n v="183"/>
    <x v="0"/>
    <x v="0"/>
    <n v="8"/>
    <n v="4575"/>
    <n v="10980"/>
  </r>
  <r>
    <x v="0"/>
    <n v="30.5"/>
    <n v="60"/>
    <n v="84"/>
    <x v="0"/>
    <x v="0"/>
    <n v="8"/>
    <n v="2562"/>
    <n v="5040"/>
  </r>
  <r>
    <x v="0"/>
    <n v="39.700000000000003"/>
    <n v="73.599999999999994"/>
    <n v="75"/>
    <x v="0"/>
    <x v="0"/>
    <n v="8"/>
    <n v="2977.5"/>
    <n v="5520"/>
  </r>
  <r>
    <x v="1"/>
    <n v="10.5"/>
    <n v="56"/>
    <n v="62"/>
    <x v="0"/>
    <x v="1"/>
    <n v="9"/>
    <n v="651"/>
    <n v="3472"/>
  </r>
  <r>
    <x v="1"/>
    <n v="7.5"/>
    <n v="42"/>
    <n v="16"/>
    <x v="0"/>
    <x v="1"/>
    <n v="9"/>
    <n v="120"/>
    <n v="672"/>
  </r>
  <r>
    <x v="1"/>
    <n v="14"/>
    <n v="68"/>
    <n v="17"/>
    <x v="0"/>
    <x v="1"/>
    <n v="9"/>
    <n v="238"/>
    <n v="1156"/>
  </r>
  <r>
    <x v="1"/>
    <n v="14"/>
    <n v="48"/>
    <n v="46"/>
    <x v="0"/>
    <x v="1"/>
    <n v="9"/>
    <n v="644"/>
    <n v="2208"/>
  </r>
  <r>
    <x v="1"/>
    <n v="7.5"/>
    <n v="42"/>
    <n v="25"/>
    <x v="0"/>
    <x v="1"/>
    <n v="9"/>
    <n v="187.5"/>
    <n v="1050"/>
  </r>
  <r>
    <x v="1"/>
    <n v="19"/>
    <n v="52"/>
    <n v="72"/>
    <x v="0"/>
    <x v="1"/>
    <n v="9"/>
    <n v="1368"/>
    <n v="3744"/>
  </r>
  <r>
    <x v="1"/>
    <n v="8.8000000000000007"/>
    <n v="45.2"/>
    <n v="179"/>
    <x v="0"/>
    <x v="1"/>
    <n v="9"/>
    <n v="1575.2"/>
    <n v="8090.8"/>
  </r>
  <r>
    <x v="1"/>
    <n v="10"/>
    <n v="52"/>
    <n v="132"/>
    <x v="0"/>
    <x v="1"/>
    <n v="9"/>
    <n v="1320"/>
    <n v="6864"/>
  </r>
  <r>
    <x v="1"/>
    <n v="13.3"/>
    <n v="66.400000000000006"/>
    <n v="159"/>
    <x v="0"/>
    <x v="1"/>
    <n v="9"/>
    <n v="2114.7000000000003"/>
    <n v="10557.6"/>
  </r>
  <r>
    <x v="1"/>
    <n v="8"/>
    <n v="44"/>
    <n v="48"/>
    <x v="0"/>
    <x v="1"/>
    <n v="9"/>
    <n v="384"/>
    <n v="2112"/>
  </r>
  <r>
    <x v="1"/>
    <n v="17"/>
    <n v="82"/>
    <n v="160"/>
    <x v="0"/>
    <x v="1"/>
    <n v="9"/>
    <n v="2720"/>
    <n v="13120"/>
  </r>
  <r>
    <x v="1"/>
    <n v="10"/>
    <n v="52"/>
    <n v="137"/>
    <x v="0"/>
    <x v="1"/>
    <n v="9"/>
    <n v="1370"/>
    <n v="7124"/>
  </r>
  <r>
    <x v="1"/>
    <n v="15"/>
    <n v="74"/>
    <n v="125"/>
    <x v="0"/>
    <x v="1"/>
    <n v="9"/>
    <n v="1875"/>
    <n v="9250"/>
  </r>
  <r>
    <x v="1"/>
    <n v="13.3"/>
    <n v="65.2"/>
    <n v="74"/>
    <x v="0"/>
    <x v="1"/>
    <n v="9"/>
    <n v="984.2"/>
    <n v="4824.8"/>
  </r>
  <r>
    <x v="1"/>
    <n v="106"/>
    <n v="436"/>
    <n v="18"/>
    <x v="0"/>
    <x v="1"/>
    <n v="9"/>
    <n v="1908"/>
    <n v="7848"/>
  </r>
  <r>
    <x v="1"/>
    <n v="16.5"/>
    <n v="46"/>
    <n v="29"/>
    <x v="0"/>
    <x v="1"/>
    <n v="10"/>
    <n v="478.5"/>
    <n v="1334"/>
  </r>
  <r>
    <x v="1"/>
    <n v="9"/>
    <n v="48"/>
    <n v="52"/>
    <x v="0"/>
    <x v="1"/>
    <n v="10"/>
    <n v="468"/>
    <n v="2496"/>
  </r>
  <r>
    <x v="1"/>
    <n v="9.4"/>
    <n v="49.6"/>
    <n v="74"/>
    <x v="0"/>
    <x v="1"/>
    <n v="10"/>
    <n v="695.6"/>
    <n v="3670.4"/>
  </r>
  <r>
    <x v="1"/>
    <n v="42.5"/>
    <n v="54"/>
    <n v="26"/>
    <x v="0"/>
    <x v="1"/>
    <n v="10"/>
    <n v="1105"/>
    <n v="1404"/>
  </r>
  <r>
    <x v="1"/>
    <n v="16"/>
    <n v="76"/>
    <n v="139"/>
    <x v="0"/>
    <x v="1"/>
    <n v="10"/>
    <n v="2224"/>
    <n v="10564"/>
  </r>
  <r>
    <x v="1"/>
    <n v="15.5"/>
    <n v="74"/>
    <n v="206"/>
    <x v="0"/>
    <x v="1"/>
    <n v="10"/>
    <n v="3193"/>
    <n v="15244"/>
  </r>
  <r>
    <x v="1"/>
    <n v="18"/>
    <n v="84"/>
    <n v="88"/>
    <x v="0"/>
    <x v="1"/>
    <n v="10"/>
    <n v="1584"/>
    <n v="7392"/>
  </r>
  <r>
    <x v="1"/>
    <n v="12.5"/>
    <n v="64"/>
    <n v="103"/>
    <x v="0"/>
    <x v="1"/>
    <n v="10"/>
    <n v="1287.5"/>
    <n v="6592"/>
  </r>
  <r>
    <x v="3"/>
    <n v="16"/>
    <n v="76"/>
    <n v="92"/>
    <x v="0"/>
    <x v="1"/>
    <n v="10"/>
    <n v="1472"/>
    <n v="6992"/>
  </r>
  <r>
    <x v="3"/>
    <n v="15.5"/>
    <n v="76"/>
    <n v="120"/>
    <x v="0"/>
    <x v="1"/>
    <n v="10"/>
    <n v="1860"/>
    <n v="9120"/>
  </r>
  <r>
    <x v="3"/>
    <n v="10.5"/>
    <n v="54"/>
    <n v="69"/>
    <x v="0"/>
    <x v="1"/>
    <n v="10"/>
    <n v="724.5"/>
    <n v="3726"/>
  </r>
  <r>
    <x v="3"/>
    <n v="12"/>
    <n v="62"/>
    <n v="112"/>
    <x v="0"/>
    <x v="1"/>
    <n v="10"/>
    <n v="1344"/>
    <n v="6944"/>
  </r>
  <r>
    <x v="3"/>
    <n v="9.5"/>
    <n v="50"/>
    <n v="102"/>
    <x v="0"/>
    <x v="1"/>
    <n v="10"/>
    <n v="969"/>
    <n v="5100"/>
  </r>
  <r>
    <x v="3"/>
    <n v="11"/>
    <n v="58"/>
    <n v="138"/>
    <x v="0"/>
    <x v="1"/>
    <n v="10"/>
    <n v="1518"/>
    <n v="8004"/>
  </r>
  <r>
    <x v="3"/>
    <n v="16"/>
    <n v="76"/>
    <n v="31"/>
    <x v="0"/>
    <x v="1"/>
    <n v="10"/>
    <n v="496"/>
    <n v="2356"/>
  </r>
  <r>
    <x v="3"/>
    <n v="9"/>
    <n v="48"/>
    <n v="42"/>
    <x v="0"/>
    <x v="1"/>
    <n v="10"/>
    <n v="378"/>
    <n v="2016"/>
  </r>
  <r>
    <x v="1"/>
    <n v="11.7"/>
    <n v="55.6"/>
    <n v="0"/>
    <x v="0"/>
    <x v="1"/>
    <n v="11"/>
    <n v="0"/>
    <n v="0"/>
  </r>
  <r>
    <x v="1"/>
    <n v="12.5"/>
    <n v="60"/>
    <n v="0"/>
    <x v="0"/>
    <x v="1"/>
    <n v="11"/>
    <n v="0"/>
    <n v="0"/>
  </r>
  <r>
    <x v="1"/>
    <n v="6"/>
    <n v="32"/>
    <n v="0"/>
    <x v="0"/>
    <x v="1"/>
    <n v="11"/>
    <n v="0"/>
    <n v="0"/>
  </r>
  <r>
    <x v="1"/>
    <n v="10"/>
    <n v="52"/>
    <n v="106"/>
    <x v="0"/>
    <x v="1"/>
    <n v="11"/>
    <n v="1060"/>
    <n v="5512"/>
  </r>
  <r>
    <x v="6"/>
    <n v="21"/>
    <n v="60"/>
    <n v="60"/>
    <x v="0"/>
    <x v="0"/>
    <n v="11"/>
    <n v="1260"/>
    <n v="3600"/>
  </r>
  <r>
    <x v="6"/>
    <n v="21.5"/>
    <n v="60"/>
    <n v="90"/>
    <x v="0"/>
    <x v="0"/>
    <n v="11"/>
    <n v="1935"/>
    <n v="5400"/>
  </r>
  <r>
    <x v="6"/>
    <n v="57"/>
    <n v="204"/>
    <n v="72"/>
    <x v="0"/>
    <x v="0"/>
    <n v="11"/>
    <n v="4104"/>
    <n v="14688"/>
  </r>
  <r>
    <x v="6"/>
    <n v="16.5"/>
    <n v="42"/>
    <n v="50"/>
    <x v="0"/>
    <x v="0"/>
    <n v="11"/>
    <n v="825"/>
    <n v="2100"/>
  </r>
  <r>
    <x v="6"/>
    <n v="17"/>
    <n v="44"/>
    <n v="60"/>
    <x v="0"/>
    <x v="0"/>
    <n v="11"/>
    <n v="1020"/>
    <n v="2640"/>
  </r>
  <r>
    <x v="6"/>
    <n v="17"/>
    <n v="44"/>
    <n v="40"/>
    <x v="0"/>
    <x v="0"/>
    <n v="11"/>
    <n v="680"/>
    <n v="1760"/>
  </r>
  <r>
    <x v="6"/>
    <n v="11.5"/>
    <n v="38"/>
    <n v="30"/>
    <x v="0"/>
    <x v="0"/>
    <n v="11"/>
    <n v="345"/>
    <n v="1140"/>
  </r>
  <r>
    <x v="6"/>
    <n v="11.7"/>
    <n v="38.799999999999997"/>
    <n v="30"/>
    <x v="0"/>
    <x v="0"/>
    <n v="11"/>
    <n v="351"/>
    <n v="1164"/>
  </r>
  <r>
    <x v="6"/>
    <n v="21"/>
    <n v="56"/>
    <n v="65"/>
    <x v="0"/>
    <x v="0"/>
    <n v="11"/>
    <n v="1365"/>
    <n v="3640"/>
  </r>
  <r>
    <x v="1"/>
    <n v="15.5"/>
    <n v="78"/>
    <n v="65"/>
    <x v="0"/>
    <x v="1"/>
    <n v="11"/>
    <n v="1007.5"/>
    <n v="5070"/>
  </r>
  <r>
    <x v="1"/>
    <n v="13.5"/>
    <n v="64"/>
    <n v="36"/>
    <x v="0"/>
    <x v="1"/>
    <n v="11"/>
    <n v="486"/>
    <n v="2304"/>
  </r>
  <r>
    <x v="7"/>
    <n v="13.4"/>
    <n v="36.4"/>
    <n v="20"/>
    <x v="0"/>
    <x v="0"/>
    <n v="11"/>
    <n v="268"/>
    <n v="728"/>
  </r>
  <r>
    <x v="7"/>
    <n v="13.9"/>
    <n v="38.4"/>
    <n v="20"/>
    <x v="0"/>
    <x v="0"/>
    <n v="11"/>
    <n v="278"/>
    <n v="768"/>
  </r>
  <r>
    <x v="7"/>
    <n v="13.700000000000001"/>
    <n v="34.4"/>
    <n v="20"/>
    <x v="0"/>
    <x v="0"/>
    <n v="11"/>
    <n v="274"/>
    <n v="688"/>
  </r>
  <r>
    <x v="7"/>
    <n v="14.3"/>
    <n v="32.4"/>
    <n v="21"/>
    <x v="0"/>
    <x v="0"/>
    <n v="11"/>
    <n v="300.3"/>
    <n v="680.4"/>
  </r>
  <r>
    <x v="7"/>
    <n v="91.3"/>
    <n v="32.4"/>
    <n v="21"/>
    <x v="0"/>
    <x v="0"/>
    <n v="11"/>
    <n v="1917.3"/>
    <n v="680.4"/>
  </r>
  <r>
    <x v="7"/>
    <n v="14.100000000000001"/>
    <n v="28.4"/>
    <n v="21"/>
    <x v="0"/>
    <x v="0"/>
    <n v="11"/>
    <n v="296.10000000000002"/>
    <n v="596.4"/>
  </r>
  <r>
    <x v="1"/>
    <n v="16.5"/>
    <n v="76"/>
    <n v="50"/>
    <x v="0"/>
    <x v="1"/>
    <n v="12"/>
    <n v="825"/>
    <n v="3800"/>
  </r>
  <r>
    <x v="1"/>
    <n v="14.5"/>
    <n v="70"/>
    <n v="210"/>
    <x v="0"/>
    <x v="1"/>
    <n v="12"/>
    <n v="3045"/>
    <n v="14700"/>
  </r>
  <r>
    <x v="8"/>
    <n v="16.5"/>
    <n v="68"/>
    <n v="40"/>
    <x v="0"/>
    <x v="1"/>
    <n v="12"/>
    <n v="660"/>
    <n v="2720"/>
  </r>
  <r>
    <x v="8"/>
    <n v="16.5"/>
    <n v="68"/>
    <n v="100"/>
    <x v="0"/>
    <x v="1"/>
    <n v="12"/>
    <n v="1650"/>
    <n v="6800"/>
  </r>
  <r>
    <x v="0"/>
    <n v="27"/>
    <n v="84"/>
    <n v="7"/>
    <x v="0"/>
    <x v="0"/>
    <n v="12"/>
    <n v="189"/>
    <n v="588"/>
  </r>
  <r>
    <x v="0"/>
    <n v="33"/>
    <n v="84"/>
    <n v="8"/>
    <x v="0"/>
    <x v="0"/>
    <n v="12"/>
    <n v="264"/>
    <n v="672"/>
  </r>
  <r>
    <x v="0"/>
    <n v="27"/>
    <n v="72"/>
    <n v="7"/>
    <x v="0"/>
    <x v="0"/>
    <n v="12"/>
    <n v="189"/>
    <n v="504"/>
  </r>
  <r>
    <x v="0"/>
    <n v="30"/>
    <n v="84"/>
    <n v="7"/>
    <x v="0"/>
    <x v="0"/>
    <n v="12"/>
    <n v="210"/>
    <n v="588"/>
  </r>
  <r>
    <x v="0"/>
    <n v="30"/>
    <n v="84"/>
    <n v="7"/>
    <x v="0"/>
    <x v="0"/>
    <n v="12"/>
    <n v="210"/>
    <n v="588"/>
  </r>
  <r>
    <x v="0"/>
    <n v="12"/>
    <n v="32"/>
    <n v="7"/>
    <x v="0"/>
    <x v="0"/>
    <n v="12"/>
    <n v="84"/>
    <n v="224"/>
  </r>
  <r>
    <x v="0"/>
    <n v="12"/>
    <n v="32"/>
    <n v="15"/>
    <x v="0"/>
    <x v="0"/>
    <n v="12"/>
    <n v="180"/>
    <n v="480"/>
  </r>
  <r>
    <x v="0"/>
    <n v="29"/>
    <n v="84"/>
    <n v="7"/>
    <x v="0"/>
    <x v="0"/>
    <n v="12"/>
    <n v="203"/>
    <n v="588"/>
  </r>
  <r>
    <x v="0"/>
    <n v="29"/>
    <n v="84"/>
    <n v="7"/>
    <x v="0"/>
    <x v="0"/>
    <n v="12"/>
    <n v="203"/>
    <n v="588"/>
  </r>
  <r>
    <x v="0"/>
    <n v="31"/>
    <n v="84"/>
    <n v="7"/>
    <x v="0"/>
    <x v="0"/>
    <n v="12"/>
    <n v="217"/>
    <n v="588"/>
  </r>
  <r>
    <x v="0"/>
    <n v="26"/>
    <n v="72"/>
    <n v="7"/>
    <x v="0"/>
    <x v="0"/>
    <n v="12"/>
    <n v="182"/>
    <n v="504"/>
  </r>
  <r>
    <x v="0"/>
    <n v="29"/>
    <n v="84"/>
    <n v="7"/>
    <x v="0"/>
    <x v="0"/>
    <n v="12"/>
    <n v="203"/>
    <n v="588"/>
  </r>
  <r>
    <x v="0"/>
    <n v="29"/>
    <n v="84"/>
    <n v="7"/>
    <x v="0"/>
    <x v="0"/>
    <n v="12"/>
    <n v="203"/>
    <n v="588"/>
  </r>
  <r>
    <x v="0"/>
    <n v="29"/>
    <n v="84"/>
    <n v="7"/>
    <x v="0"/>
    <x v="0"/>
    <n v="12"/>
    <n v="203"/>
    <n v="588"/>
  </r>
  <r>
    <x v="0"/>
    <n v="13"/>
    <n v="40"/>
    <n v="14"/>
    <x v="0"/>
    <x v="0"/>
    <n v="12"/>
    <n v="182"/>
    <n v="560"/>
  </r>
  <r>
    <x v="5"/>
    <n v="8"/>
    <n v="44"/>
    <n v="30"/>
    <x v="0"/>
    <x v="1"/>
    <n v="12"/>
    <n v="240"/>
    <n v="1320"/>
  </r>
  <r>
    <x v="5"/>
    <n v="10.199999999999999"/>
    <n v="52.8"/>
    <n v="60"/>
    <x v="0"/>
    <x v="1"/>
    <n v="12"/>
    <n v="612"/>
    <n v="3168"/>
  </r>
  <r>
    <x v="5"/>
    <n v="11.5"/>
    <n v="60"/>
    <n v="42"/>
    <x v="0"/>
    <x v="1"/>
    <n v="12"/>
    <n v="483"/>
    <n v="2520"/>
  </r>
  <r>
    <x v="1"/>
    <n v="13"/>
    <n v="64"/>
    <n v="106"/>
    <x v="1"/>
    <x v="1"/>
    <n v="1"/>
    <n v="1378"/>
    <n v="6784"/>
  </r>
  <r>
    <x v="1"/>
    <n v="46"/>
    <n v="68"/>
    <n v="90"/>
    <x v="1"/>
    <x v="1"/>
    <n v="1"/>
    <n v="4140"/>
    <n v="6120"/>
  </r>
  <r>
    <x v="0"/>
    <n v="9.5"/>
    <n v="22"/>
    <n v="108"/>
    <x v="1"/>
    <x v="0"/>
    <n v="1"/>
    <n v="1026"/>
    <n v="2376"/>
  </r>
  <r>
    <x v="0"/>
    <n v="9.5"/>
    <n v="22"/>
    <n v="170"/>
    <x v="1"/>
    <x v="0"/>
    <n v="1"/>
    <n v="1615"/>
    <n v="3740"/>
  </r>
  <r>
    <x v="0"/>
    <n v="11"/>
    <n v="28"/>
    <n v="152"/>
    <x v="1"/>
    <x v="0"/>
    <n v="1"/>
    <n v="1672"/>
    <n v="4256"/>
  </r>
  <r>
    <x v="0"/>
    <n v="13.7"/>
    <n v="42.8"/>
    <n v="138"/>
    <x v="1"/>
    <x v="0"/>
    <n v="1"/>
    <n v="1890.6"/>
    <n v="5906.4"/>
  </r>
  <r>
    <x v="0"/>
    <n v="21.5"/>
    <n v="64"/>
    <n v="212"/>
    <x v="1"/>
    <x v="0"/>
    <n v="1"/>
    <n v="4558"/>
    <n v="13568"/>
  </r>
  <r>
    <x v="0"/>
    <n v="21.2"/>
    <n v="64"/>
    <n v="220"/>
    <x v="1"/>
    <x v="0"/>
    <n v="1"/>
    <n v="4664"/>
    <n v="14080"/>
  </r>
  <r>
    <x v="0"/>
    <n v="20.2"/>
    <n v="60"/>
    <n v="204"/>
    <x v="1"/>
    <x v="0"/>
    <n v="1"/>
    <n v="4120.8"/>
    <n v="12240"/>
  </r>
  <r>
    <x v="0"/>
    <n v="28"/>
    <n v="60"/>
    <n v="189"/>
    <x v="1"/>
    <x v="0"/>
    <n v="1"/>
    <n v="5292"/>
    <n v="11340"/>
  </r>
  <r>
    <x v="0"/>
    <n v="20.2"/>
    <n v="60"/>
    <n v="224"/>
    <x v="1"/>
    <x v="0"/>
    <n v="1"/>
    <n v="4524.8"/>
    <n v="13440"/>
  </r>
  <r>
    <x v="0"/>
    <n v="27.5"/>
    <n v="58"/>
    <n v="189"/>
    <x v="1"/>
    <x v="0"/>
    <n v="1"/>
    <n v="5197.5"/>
    <n v="10962"/>
  </r>
  <r>
    <x v="0"/>
    <n v="20"/>
    <n v="58"/>
    <n v="115"/>
    <x v="1"/>
    <x v="0"/>
    <n v="1"/>
    <n v="2300"/>
    <n v="6670"/>
  </r>
  <r>
    <x v="0"/>
    <n v="19.7"/>
    <n v="58"/>
    <n v="174"/>
    <x v="1"/>
    <x v="0"/>
    <n v="1"/>
    <n v="3427.7999999999997"/>
    <n v="10092"/>
  </r>
  <r>
    <x v="9"/>
    <n v="21.5"/>
    <n v="64"/>
    <n v="102"/>
    <x v="1"/>
    <x v="0"/>
    <n v="1"/>
    <n v="2193"/>
    <n v="6528"/>
  </r>
  <r>
    <x v="9"/>
    <n v="26"/>
    <n v="64"/>
    <n v="78"/>
    <x v="1"/>
    <x v="0"/>
    <n v="1"/>
    <n v="2028"/>
    <n v="4992"/>
  </r>
  <r>
    <x v="9"/>
    <n v="26"/>
    <n v="64"/>
    <n v="12"/>
    <x v="1"/>
    <x v="0"/>
    <n v="1"/>
    <n v="312"/>
    <n v="768"/>
  </r>
  <r>
    <x v="9"/>
    <n v="9.5"/>
    <n v="22"/>
    <n v="12"/>
    <x v="1"/>
    <x v="0"/>
    <n v="1"/>
    <n v="114"/>
    <n v="264"/>
  </r>
  <r>
    <x v="9"/>
    <n v="22"/>
    <n v="60"/>
    <n v="20"/>
    <x v="1"/>
    <x v="0"/>
    <n v="1"/>
    <n v="440"/>
    <n v="1200"/>
  </r>
  <r>
    <x v="0"/>
    <n v="9.5"/>
    <n v="22"/>
    <n v="70"/>
    <x v="1"/>
    <x v="0"/>
    <n v="1"/>
    <n v="665"/>
    <n v="1540"/>
  </r>
  <r>
    <x v="0"/>
    <n v="9.5"/>
    <n v="22"/>
    <n v="140"/>
    <x v="1"/>
    <x v="0"/>
    <n v="1"/>
    <n v="1330"/>
    <n v="3080"/>
  </r>
  <r>
    <x v="0"/>
    <n v="11"/>
    <n v="26"/>
    <n v="78"/>
    <x v="1"/>
    <x v="0"/>
    <n v="1"/>
    <n v="858"/>
    <n v="2028"/>
  </r>
  <r>
    <x v="0"/>
    <n v="20"/>
    <n v="52"/>
    <n v="232"/>
    <x v="1"/>
    <x v="0"/>
    <n v="1"/>
    <n v="4640"/>
    <n v="12064"/>
  </r>
  <r>
    <x v="0"/>
    <n v="20"/>
    <n v="52"/>
    <n v="140"/>
    <x v="1"/>
    <x v="0"/>
    <n v="1"/>
    <n v="2800"/>
    <n v="7280"/>
  </r>
  <r>
    <x v="0"/>
    <n v="20"/>
    <n v="52"/>
    <n v="82"/>
    <x v="1"/>
    <x v="0"/>
    <n v="1"/>
    <n v="1640"/>
    <n v="4264"/>
  </r>
  <r>
    <x v="0"/>
    <n v="20"/>
    <n v="52"/>
    <n v="92"/>
    <x v="1"/>
    <x v="0"/>
    <n v="1"/>
    <n v="1840"/>
    <n v="4784"/>
  </r>
  <r>
    <x v="0"/>
    <n v="20"/>
    <n v="52"/>
    <n v="110"/>
    <x v="1"/>
    <x v="0"/>
    <n v="1"/>
    <n v="2200"/>
    <n v="5720"/>
  </r>
  <r>
    <x v="0"/>
    <n v="18"/>
    <n v="44"/>
    <n v="144"/>
    <x v="1"/>
    <x v="0"/>
    <n v="1"/>
    <n v="2592"/>
    <n v="6336"/>
  </r>
  <r>
    <x v="3"/>
    <n v="25.2"/>
    <n v="49.6"/>
    <n v="89"/>
    <x v="1"/>
    <x v="1"/>
    <n v="1"/>
    <n v="2242.7999999999997"/>
    <n v="4414.4000000000005"/>
  </r>
  <r>
    <x v="3"/>
    <n v="24.8"/>
    <n v="46.4"/>
    <n v="86"/>
    <x v="1"/>
    <x v="1"/>
    <n v="1"/>
    <n v="2132.8000000000002"/>
    <n v="3990.4"/>
  </r>
  <r>
    <x v="3"/>
    <n v="21.9"/>
    <n v="47.2"/>
    <n v="46"/>
    <x v="1"/>
    <x v="1"/>
    <n v="1"/>
    <n v="1007.4"/>
    <n v="2171.2000000000003"/>
  </r>
  <r>
    <x v="3"/>
    <n v="10.5"/>
    <n v="54"/>
    <n v="210"/>
    <x v="1"/>
    <x v="1"/>
    <n v="1"/>
    <n v="2205"/>
    <n v="11340"/>
  </r>
  <r>
    <x v="3"/>
    <n v="16.5"/>
    <n v="92"/>
    <n v="210"/>
    <x v="1"/>
    <x v="1"/>
    <n v="1"/>
    <n v="3465"/>
    <n v="19320"/>
  </r>
  <r>
    <x v="3"/>
    <n v="15.8"/>
    <n v="74.400000000000006"/>
    <n v="90"/>
    <x v="1"/>
    <x v="1"/>
    <n v="1"/>
    <n v="1422"/>
    <n v="6696.0000000000009"/>
  </r>
  <r>
    <x v="1"/>
    <n v="13.3"/>
    <n v="64.400000000000006"/>
    <n v="72"/>
    <x v="1"/>
    <x v="1"/>
    <n v="1"/>
    <n v="957.6"/>
    <n v="4636.8"/>
  </r>
  <r>
    <x v="1"/>
    <n v="12"/>
    <n v="56"/>
    <n v="112"/>
    <x v="1"/>
    <x v="1"/>
    <n v="1"/>
    <n v="1344"/>
    <n v="6272"/>
  </r>
  <r>
    <x v="3"/>
    <n v="11"/>
    <n v="58"/>
    <n v="81"/>
    <x v="1"/>
    <x v="1"/>
    <n v="1"/>
    <n v="891"/>
    <n v="4698"/>
  </r>
  <r>
    <x v="3"/>
    <n v="14.3"/>
    <n v="45.2"/>
    <n v="80"/>
    <x v="1"/>
    <x v="1"/>
    <n v="1"/>
    <n v="1144"/>
    <n v="3616"/>
  </r>
  <r>
    <x v="3"/>
    <n v="6.8"/>
    <n v="34.4"/>
    <n v="80"/>
    <x v="1"/>
    <x v="1"/>
    <n v="1"/>
    <n v="544"/>
    <n v="2752"/>
  </r>
  <r>
    <x v="3"/>
    <n v="13.8"/>
    <n v="66.400000000000006"/>
    <n v="45"/>
    <x v="1"/>
    <x v="1"/>
    <n v="1"/>
    <n v="621"/>
    <n v="2988.0000000000005"/>
  </r>
  <r>
    <x v="3"/>
    <n v="10.6"/>
    <n v="53.6"/>
    <n v="91"/>
    <x v="1"/>
    <x v="1"/>
    <n v="1"/>
    <n v="964.6"/>
    <n v="4877.6000000000004"/>
  </r>
  <r>
    <x v="0"/>
    <n v="9.5"/>
    <n v="22"/>
    <n v="90"/>
    <x v="1"/>
    <x v="0"/>
    <n v="2"/>
    <n v="855"/>
    <n v="1980"/>
  </r>
  <r>
    <x v="0"/>
    <n v="9.5"/>
    <n v="22"/>
    <n v="142"/>
    <x v="1"/>
    <x v="0"/>
    <n v="2"/>
    <n v="1349"/>
    <n v="3124"/>
  </r>
  <r>
    <x v="0"/>
    <n v="15.7"/>
    <n v="42.8"/>
    <n v="46"/>
    <x v="1"/>
    <x v="0"/>
    <n v="2"/>
    <n v="722.19999999999993"/>
    <n v="1968.8"/>
  </r>
  <r>
    <x v="0"/>
    <n v="21"/>
    <n v="60"/>
    <n v="310"/>
    <x v="1"/>
    <x v="0"/>
    <n v="2"/>
    <n v="6510"/>
    <n v="18600"/>
  </r>
  <r>
    <x v="0"/>
    <n v="21"/>
    <n v="60"/>
    <n v="88"/>
    <x v="1"/>
    <x v="0"/>
    <n v="2"/>
    <n v="1848"/>
    <n v="5280"/>
  </r>
  <r>
    <x v="0"/>
    <n v="21.5"/>
    <n v="62"/>
    <n v="226"/>
    <x v="1"/>
    <x v="0"/>
    <n v="2"/>
    <n v="4859"/>
    <n v="14012"/>
  </r>
  <r>
    <x v="0"/>
    <n v="19"/>
    <n v="52"/>
    <n v="158"/>
    <x v="1"/>
    <x v="0"/>
    <n v="2"/>
    <n v="3002"/>
    <n v="8216"/>
  </r>
  <r>
    <x v="0"/>
    <n v="8.5"/>
    <n v="22"/>
    <n v="90"/>
    <x v="1"/>
    <x v="0"/>
    <n v="2"/>
    <n v="765"/>
    <n v="1980"/>
  </r>
  <r>
    <x v="0"/>
    <n v="8"/>
    <n v="20"/>
    <n v="164"/>
    <x v="1"/>
    <x v="0"/>
    <n v="2"/>
    <n v="1312"/>
    <n v="3280"/>
  </r>
  <r>
    <x v="0"/>
    <n v="11.3"/>
    <n v="30.4"/>
    <n v="96"/>
    <x v="1"/>
    <x v="0"/>
    <n v="2"/>
    <n v="1084.8000000000002"/>
    <n v="2918.3999999999996"/>
  </r>
  <r>
    <x v="0"/>
    <n v="17.7"/>
    <n v="42.8"/>
    <n v="104"/>
    <x v="1"/>
    <x v="0"/>
    <n v="2"/>
    <n v="1840.8"/>
    <n v="4451.2"/>
  </r>
  <r>
    <x v="0"/>
    <n v="23.5"/>
    <n v="66"/>
    <n v="301"/>
    <x v="1"/>
    <x v="0"/>
    <n v="2"/>
    <n v="7073.5"/>
    <n v="19866"/>
  </r>
  <r>
    <x v="0"/>
    <n v="24"/>
    <n v="68"/>
    <n v="330"/>
    <x v="1"/>
    <x v="0"/>
    <n v="2"/>
    <n v="7920"/>
    <n v="22440"/>
  </r>
  <r>
    <x v="0"/>
    <n v="22.3"/>
    <n v="61.2"/>
    <n v="134"/>
    <x v="1"/>
    <x v="0"/>
    <n v="2"/>
    <n v="2988.2000000000003"/>
    <n v="8200.8000000000011"/>
  </r>
  <r>
    <x v="0"/>
    <n v="21.5"/>
    <n v="58"/>
    <n v="210"/>
    <x v="1"/>
    <x v="0"/>
    <n v="2"/>
    <n v="4515"/>
    <n v="12180"/>
  </r>
  <r>
    <x v="1"/>
    <n v="12.5"/>
    <n v="60"/>
    <n v="86"/>
    <x v="1"/>
    <x v="1"/>
    <n v="2"/>
    <n v="1075"/>
    <n v="5160"/>
  </r>
  <r>
    <x v="1"/>
    <n v="16"/>
    <n v="76"/>
    <n v="80"/>
    <x v="1"/>
    <x v="1"/>
    <n v="2"/>
    <n v="1280"/>
    <n v="6080"/>
  </r>
  <r>
    <x v="1"/>
    <n v="16"/>
    <n v="76"/>
    <n v="58"/>
    <x v="1"/>
    <x v="1"/>
    <n v="2"/>
    <n v="928"/>
    <n v="4408"/>
  </r>
  <r>
    <x v="1"/>
    <n v="10"/>
    <n v="52"/>
    <n v="74"/>
    <x v="1"/>
    <x v="1"/>
    <n v="2"/>
    <n v="740"/>
    <n v="3848"/>
  </r>
  <r>
    <x v="1"/>
    <n v="19.5"/>
    <n v="48"/>
    <n v="134"/>
    <x v="1"/>
    <x v="1"/>
    <n v="2"/>
    <n v="2613"/>
    <n v="6432"/>
  </r>
  <r>
    <x v="1"/>
    <n v="8.9"/>
    <n v="45.6"/>
    <n v="65"/>
    <x v="1"/>
    <x v="1"/>
    <n v="2"/>
    <n v="578.5"/>
    <n v="2964"/>
  </r>
  <r>
    <x v="1"/>
    <n v="6.5"/>
    <n v="34"/>
    <n v="128"/>
    <x v="1"/>
    <x v="1"/>
    <n v="2"/>
    <n v="832"/>
    <n v="4352"/>
  </r>
  <r>
    <x v="1"/>
    <n v="10"/>
    <n v="48"/>
    <n v="132"/>
    <x v="1"/>
    <x v="1"/>
    <n v="2"/>
    <n v="1320"/>
    <n v="6336"/>
  </r>
  <r>
    <x v="1"/>
    <n v="9.1999999999999993"/>
    <n v="45.6"/>
    <n v="53"/>
    <x v="1"/>
    <x v="1"/>
    <n v="2"/>
    <n v="487.59999999999997"/>
    <n v="2416.8000000000002"/>
  </r>
  <r>
    <x v="1"/>
    <n v="7.5"/>
    <n v="42"/>
    <n v="45"/>
    <x v="1"/>
    <x v="1"/>
    <n v="2"/>
    <n v="337.5"/>
    <n v="1890"/>
  </r>
  <r>
    <x v="1"/>
    <n v="9.5"/>
    <n v="50"/>
    <n v="62"/>
    <x v="1"/>
    <x v="1"/>
    <n v="3"/>
    <n v="589"/>
    <n v="3100"/>
  </r>
  <r>
    <x v="1"/>
    <n v="13"/>
    <n v="64"/>
    <n v="57"/>
    <x v="1"/>
    <x v="1"/>
    <n v="3"/>
    <n v="741"/>
    <n v="3648"/>
  </r>
  <r>
    <x v="1"/>
    <n v="17"/>
    <n v="48"/>
    <n v="67"/>
    <x v="1"/>
    <x v="1"/>
    <n v="3"/>
    <n v="1139"/>
    <n v="3216"/>
  </r>
  <r>
    <x v="3"/>
    <n v="11.399999999999999"/>
    <n v="58.4"/>
    <n v="66"/>
    <x v="1"/>
    <x v="1"/>
    <n v="3"/>
    <n v="752.39999999999986"/>
    <n v="3854.4"/>
  </r>
  <r>
    <x v="1"/>
    <n v="39"/>
    <n v="52"/>
    <n v="94"/>
    <x v="1"/>
    <x v="1"/>
    <n v="3"/>
    <n v="3666"/>
    <n v="4888"/>
  </r>
  <r>
    <x v="1"/>
    <n v="39.5"/>
    <n v="54"/>
    <n v="82"/>
    <x v="1"/>
    <x v="1"/>
    <n v="3"/>
    <n v="3239"/>
    <n v="4428"/>
  </r>
  <r>
    <x v="1"/>
    <n v="39.5"/>
    <n v="54"/>
    <n v="86"/>
    <x v="1"/>
    <x v="1"/>
    <n v="3"/>
    <n v="3397"/>
    <n v="4644"/>
  </r>
  <r>
    <x v="1"/>
    <n v="40"/>
    <n v="56"/>
    <n v="24"/>
    <x v="1"/>
    <x v="1"/>
    <n v="3"/>
    <n v="960"/>
    <n v="1344"/>
  </r>
  <r>
    <x v="1"/>
    <n v="9"/>
    <n v="48"/>
    <n v="56"/>
    <x v="1"/>
    <x v="1"/>
    <n v="3"/>
    <n v="504"/>
    <n v="2688"/>
  </r>
  <r>
    <x v="1"/>
    <n v="9.5"/>
    <n v="50"/>
    <n v="47"/>
    <x v="1"/>
    <x v="1"/>
    <n v="3"/>
    <n v="446.5"/>
    <n v="2350"/>
  </r>
  <r>
    <x v="1"/>
    <n v="10"/>
    <n v="52"/>
    <n v="69"/>
    <x v="1"/>
    <x v="1"/>
    <n v="3"/>
    <n v="690"/>
    <n v="3588"/>
  </r>
  <r>
    <x v="1"/>
    <n v="17.8"/>
    <n v="82.4"/>
    <n v="170"/>
    <x v="1"/>
    <x v="1"/>
    <n v="3"/>
    <n v="3026"/>
    <n v="14008.000000000002"/>
  </r>
  <r>
    <x v="1"/>
    <n v="13.3"/>
    <n v="63.2"/>
    <n v="140"/>
    <x v="1"/>
    <x v="1"/>
    <n v="3"/>
    <n v="1862"/>
    <n v="8848"/>
  </r>
  <r>
    <x v="1"/>
    <n v="13.3"/>
    <n v="63.2"/>
    <n v="54"/>
    <x v="1"/>
    <x v="1"/>
    <n v="3"/>
    <n v="718.2"/>
    <n v="3412.8"/>
  </r>
  <r>
    <x v="1"/>
    <n v="6.5"/>
    <n v="34"/>
    <n v="70"/>
    <x v="1"/>
    <x v="1"/>
    <n v="3"/>
    <n v="455"/>
    <n v="2380"/>
  </r>
  <r>
    <x v="3"/>
    <n v="11"/>
    <n v="54"/>
    <n v="91"/>
    <x v="1"/>
    <x v="1"/>
    <n v="3"/>
    <n v="1001"/>
    <n v="4914"/>
  </r>
  <r>
    <x v="1"/>
    <n v="9.5"/>
    <n v="48"/>
    <n v="217"/>
    <x v="1"/>
    <x v="1"/>
    <n v="3"/>
    <n v="2061.5"/>
    <n v="10416"/>
  </r>
  <r>
    <x v="1"/>
    <n v="9"/>
    <n v="46"/>
    <n v="107"/>
    <x v="1"/>
    <x v="1"/>
    <n v="3"/>
    <n v="963"/>
    <n v="4922"/>
  </r>
  <r>
    <x v="1"/>
    <n v="12.5"/>
    <n v="62"/>
    <n v="224"/>
    <x v="1"/>
    <x v="1"/>
    <n v="3"/>
    <n v="2800"/>
    <n v="13888"/>
  </r>
  <r>
    <x v="1"/>
    <n v="8.5"/>
    <n v="44"/>
    <n v="38"/>
    <x v="1"/>
    <x v="1"/>
    <n v="3"/>
    <n v="323"/>
    <n v="1672"/>
  </r>
  <r>
    <x v="3"/>
    <n v="9.6999999999999993"/>
    <n v="49.6"/>
    <n v="42"/>
    <x v="1"/>
    <x v="1"/>
    <n v="3"/>
    <n v="407.4"/>
    <n v="2083.2000000000003"/>
  </r>
  <r>
    <x v="3"/>
    <n v="8.1999999999999993"/>
    <n v="41.6"/>
    <n v="137"/>
    <x v="1"/>
    <x v="1"/>
    <n v="3"/>
    <n v="1123.3999999999999"/>
    <n v="5699.2"/>
  </r>
  <r>
    <x v="3"/>
    <n v="15.8"/>
    <n v="74.400000000000006"/>
    <n v="102"/>
    <x v="1"/>
    <x v="1"/>
    <n v="3"/>
    <n v="1611.6000000000001"/>
    <n v="7588.8"/>
  </r>
  <r>
    <x v="10"/>
    <n v="14.5"/>
    <n v="68"/>
    <n v="32"/>
    <x v="1"/>
    <x v="1"/>
    <n v="3"/>
    <n v="464"/>
    <n v="2176"/>
  </r>
  <r>
    <x v="10"/>
    <n v="14.5"/>
    <n v="68"/>
    <n v="32"/>
    <x v="1"/>
    <x v="1"/>
    <n v="3"/>
    <n v="464"/>
    <n v="2176"/>
  </r>
  <r>
    <x v="10"/>
    <n v="8"/>
    <n v="40"/>
    <n v="64"/>
    <x v="1"/>
    <x v="1"/>
    <n v="3"/>
    <n v="512"/>
    <n v="2560"/>
  </r>
  <r>
    <x v="10"/>
    <n v="8"/>
    <n v="40"/>
    <n v="32"/>
    <x v="1"/>
    <x v="1"/>
    <n v="3"/>
    <n v="256"/>
    <n v="1280"/>
  </r>
  <r>
    <x v="3"/>
    <n v="10.199999999999999"/>
    <n v="51.6"/>
    <n v="192"/>
    <x v="1"/>
    <x v="1"/>
    <n v="3"/>
    <n v="1958.3999999999999"/>
    <n v="9907.2000000000007"/>
  </r>
  <r>
    <x v="3"/>
    <n v="15.5"/>
    <n v="72"/>
    <n v="62"/>
    <x v="1"/>
    <x v="1"/>
    <n v="3"/>
    <n v="961"/>
    <n v="4464"/>
  </r>
  <r>
    <x v="3"/>
    <n v="15.5"/>
    <n v="72"/>
    <n v="62"/>
    <x v="1"/>
    <x v="1"/>
    <n v="3"/>
    <n v="961"/>
    <n v="4464"/>
  </r>
  <r>
    <x v="3"/>
    <n v="9.6999999999999993"/>
    <n v="47.6"/>
    <n v="64"/>
    <x v="1"/>
    <x v="1"/>
    <n v="3"/>
    <n v="620.79999999999995"/>
    <n v="3046.4"/>
  </r>
  <r>
    <x v="1"/>
    <n v="10.5"/>
    <n v="54"/>
    <n v="54"/>
    <x v="1"/>
    <x v="1"/>
    <n v="3"/>
    <n v="567"/>
    <n v="2916"/>
  </r>
  <r>
    <x v="3"/>
    <n v="21.7"/>
    <n v="140.80000000000001"/>
    <n v="186"/>
    <x v="1"/>
    <x v="1"/>
    <n v="4"/>
    <n v="4036.2"/>
    <n v="26188.800000000003"/>
  </r>
  <r>
    <x v="3"/>
    <n v="15.5"/>
    <n v="72"/>
    <n v="62"/>
    <x v="1"/>
    <x v="1"/>
    <n v="4"/>
    <n v="961"/>
    <n v="4464"/>
  </r>
  <r>
    <x v="3"/>
    <n v="8.8000000000000007"/>
    <n v="43.2"/>
    <n v="248"/>
    <x v="1"/>
    <x v="1"/>
    <n v="4"/>
    <n v="2182.4"/>
    <n v="10713.6"/>
  </r>
  <r>
    <x v="3"/>
    <n v="10.199999999999999"/>
    <n v="51.6"/>
    <n v="248"/>
    <x v="1"/>
    <x v="1"/>
    <n v="4"/>
    <n v="2529.6"/>
    <n v="12796.800000000001"/>
  </r>
  <r>
    <x v="0"/>
    <n v="22"/>
    <n v="60"/>
    <n v="8"/>
    <x v="1"/>
    <x v="0"/>
    <n v="5"/>
    <n v="176"/>
    <n v="480"/>
  </r>
  <r>
    <x v="0"/>
    <n v="22"/>
    <n v="60"/>
    <n v="8"/>
    <x v="1"/>
    <x v="0"/>
    <n v="5"/>
    <n v="176"/>
    <n v="480"/>
  </r>
  <r>
    <x v="0"/>
    <n v="22"/>
    <n v="60"/>
    <n v="8"/>
    <x v="1"/>
    <x v="0"/>
    <n v="5"/>
    <n v="176"/>
    <n v="480"/>
  </r>
  <r>
    <x v="0"/>
    <n v="22"/>
    <n v="60"/>
    <n v="8"/>
    <x v="1"/>
    <x v="0"/>
    <n v="5"/>
    <n v="176"/>
    <n v="480"/>
  </r>
  <r>
    <x v="0"/>
    <n v="22"/>
    <n v="60"/>
    <n v="8"/>
    <x v="1"/>
    <x v="0"/>
    <n v="5"/>
    <n v="176"/>
    <n v="480"/>
  </r>
  <r>
    <x v="0"/>
    <n v="14.5"/>
    <n v="46"/>
    <n v="8"/>
    <x v="1"/>
    <x v="0"/>
    <n v="5"/>
    <n v="116"/>
    <n v="368"/>
  </r>
  <r>
    <x v="0"/>
    <n v="10"/>
    <n v="26"/>
    <n v="8"/>
    <x v="1"/>
    <x v="0"/>
    <n v="5"/>
    <n v="80"/>
    <n v="208"/>
  </r>
  <r>
    <x v="0"/>
    <n v="9"/>
    <n v="22"/>
    <n v="8"/>
    <x v="1"/>
    <x v="0"/>
    <n v="5"/>
    <n v="72"/>
    <n v="176"/>
  </r>
  <r>
    <x v="0"/>
    <n v="9"/>
    <n v="22"/>
    <n v="8"/>
    <x v="1"/>
    <x v="0"/>
    <n v="5"/>
    <n v="72"/>
    <n v="176"/>
  </r>
  <r>
    <x v="5"/>
    <n v="7"/>
    <n v="36"/>
    <n v="32"/>
    <x v="1"/>
    <x v="1"/>
    <n v="5"/>
    <n v="224"/>
    <n v="1152"/>
  </r>
  <r>
    <x v="5"/>
    <n v="8"/>
    <n v="40"/>
    <n v="32"/>
    <x v="1"/>
    <x v="1"/>
    <n v="5"/>
    <n v="256"/>
    <n v="1280"/>
  </r>
  <r>
    <x v="5"/>
    <n v="9.5"/>
    <n v="48"/>
    <n v="41"/>
    <x v="1"/>
    <x v="1"/>
    <n v="5"/>
    <n v="389.5"/>
    <n v="1968"/>
  </r>
  <r>
    <x v="1"/>
    <n v="16.5"/>
    <n v="78"/>
    <n v="122"/>
    <x v="1"/>
    <x v="1"/>
    <n v="6"/>
    <n v="2013"/>
    <n v="9516"/>
  </r>
  <r>
    <x v="1"/>
    <n v="16"/>
    <n v="76"/>
    <n v="52"/>
    <x v="1"/>
    <x v="1"/>
    <n v="6"/>
    <n v="832"/>
    <n v="3952"/>
  </r>
  <r>
    <x v="1"/>
    <n v="7.7"/>
    <n v="42.8"/>
    <n v="44"/>
    <x v="1"/>
    <x v="1"/>
    <n v="6"/>
    <n v="338.8"/>
    <n v="1883.1999999999998"/>
  </r>
  <r>
    <x v="1"/>
    <n v="18.5"/>
    <n v="88"/>
    <n v="193"/>
    <x v="1"/>
    <x v="1"/>
    <n v="6"/>
    <n v="3570.5"/>
    <n v="16984"/>
  </r>
  <r>
    <x v="1"/>
    <n v="17"/>
    <n v="80"/>
    <n v="66"/>
    <x v="1"/>
    <x v="1"/>
    <n v="6"/>
    <n v="1122"/>
    <n v="5280"/>
  </r>
  <r>
    <x v="1"/>
    <n v="13"/>
    <n v="64"/>
    <n v="37"/>
    <x v="1"/>
    <x v="1"/>
    <n v="6"/>
    <n v="481"/>
    <n v="2368"/>
  </r>
  <r>
    <x v="1"/>
    <n v="10.199999999999999"/>
    <n v="54.8"/>
    <n v="135"/>
    <x v="1"/>
    <x v="1"/>
    <n v="6"/>
    <n v="1377"/>
    <n v="7398"/>
  </r>
  <r>
    <x v="1"/>
    <n v="7.8"/>
    <n v="40.4"/>
    <n v="86"/>
    <x v="1"/>
    <x v="1"/>
    <n v="6"/>
    <n v="670.8"/>
    <n v="3474.4"/>
  </r>
  <r>
    <x v="1"/>
    <n v="7.8"/>
    <n v="40.4"/>
    <n v="31"/>
    <x v="1"/>
    <x v="1"/>
    <n v="6"/>
    <n v="241.79999999999998"/>
    <n v="1252.3999999999999"/>
  </r>
  <r>
    <x v="8"/>
    <n v="12.5"/>
    <n v="56"/>
    <n v="135"/>
    <x v="1"/>
    <x v="1"/>
    <n v="5"/>
    <n v="1687.5"/>
    <n v="7560"/>
  </r>
  <r>
    <x v="6"/>
    <n v="14.5"/>
    <n v="46"/>
    <n v="45"/>
    <x v="1"/>
    <x v="0"/>
    <n v="5"/>
    <n v="652.5"/>
    <n v="2070"/>
  </r>
  <r>
    <x v="6"/>
    <n v="14"/>
    <n v="44"/>
    <n v="50"/>
    <x v="1"/>
    <x v="0"/>
    <n v="5"/>
    <n v="700"/>
    <n v="2200"/>
  </r>
  <r>
    <x v="6"/>
    <n v="14.5"/>
    <n v="46"/>
    <n v="9"/>
    <x v="1"/>
    <x v="0"/>
    <n v="5"/>
    <n v="130.5"/>
    <n v="414"/>
  </r>
  <r>
    <x v="6"/>
    <n v="14"/>
    <n v="44"/>
    <n v="10"/>
    <x v="1"/>
    <x v="0"/>
    <n v="5"/>
    <n v="140"/>
    <n v="440"/>
  </r>
  <r>
    <x v="1"/>
    <n v="13.5"/>
    <n v="42"/>
    <n v="42"/>
    <x v="1"/>
    <x v="1"/>
    <n v="6"/>
    <n v="567"/>
    <n v="1764"/>
  </r>
  <r>
    <x v="0"/>
    <n v="22.5"/>
    <n v="62"/>
    <n v="298"/>
    <x v="1"/>
    <x v="0"/>
    <n v="7"/>
    <n v="6705"/>
    <n v="18476"/>
  </r>
  <r>
    <x v="0"/>
    <n v="23.8"/>
    <n v="66.400000000000006"/>
    <n v="152"/>
    <x v="1"/>
    <x v="0"/>
    <n v="7"/>
    <n v="3617.6"/>
    <n v="10092.800000000001"/>
  </r>
  <r>
    <x v="0"/>
    <n v="22.8"/>
    <n v="56.4"/>
    <n v="210"/>
    <x v="1"/>
    <x v="0"/>
    <n v="7"/>
    <n v="4788"/>
    <n v="11844"/>
  </r>
  <r>
    <x v="0"/>
    <n v="21.8"/>
    <n v="52.4"/>
    <n v="160"/>
    <x v="1"/>
    <x v="0"/>
    <n v="7"/>
    <n v="3488"/>
    <n v="8384"/>
  </r>
  <r>
    <x v="0"/>
    <n v="21.7"/>
    <n v="55.6"/>
    <n v="274"/>
    <x v="1"/>
    <x v="0"/>
    <n v="7"/>
    <n v="5945.8"/>
    <n v="15234.4"/>
  </r>
  <r>
    <x v="0"/>
    <n v="24.7"/>
    <n v="67.599999999999994"/>
    <n v="298"/>
    <x v="1"/>
    <x v="0"/>
    <n v="7"/>
    <n v="7360.5999999999995"/>
    <n v="20144.8"/>
  </r>
  <r>
    <x v="0"/>
    <n v="24.7"/>
    <n v="67.599999999999994"/>
    <n v="268"/>
    <x v="1"/>
    <x v="0"/>
    <n v="7"/>
    <n v="6619.5999999999995"/>
    <n v="18116.8"/>
  </r>
  <r>
    <x v="0"/>
    <n v="9.6999999999999993"/>
    <n v="23.6"/>
    <n v="86"/>
    <x v="1"/>
    <x v="0"/>
    <n v="7"/>
    <n v="834.19999999999993"/>
    <n v="2029.6000000000001"/>
  </r>
  <r>
    <x v="0"/>
    <n v="10.5"/>
    <n v="30"/>
    <n v="90"/>
    <x v="1"/>
    <x v="0"/>
    <n v="7"/>
    <n v="945"/>
    <n v="2700"/>
  </r>
  <r>
    <x v="0"/>
    <n v="22.3"/>
    <n v="66.400000000000006"/>
    <n v="226"/>
    <x v="1"/>
    <x v="0"/>
    <n v="7"/>
    <n v="5039.8"/>
    <n v="15006.400000000001"/>
  </r>
  <r>
    <x v="0"/>
    <n v="27.3"/>
    <n v="62.4"/>
    <n v="234"/>
    <x v="1"/>
    <x v="0"/>
    <n v="7"/>
    <n v="6388.2"/>
    <n v="14601.6"/>
  </r>
  <r>
    <x v="0"/>
    <n v="24.8"/>
    <n v="52.4"/>
    <n v="100"/>
    <x v="1"/>
    <x v="0"/>
    <n v="7"/>
    <n v="2480"/>
    <n v="5240"/>
  </r>
  <r>
    <x v="0"/>
    <n v="26.7"/>
    <n v="63.6"/>
    <n v="164"/>
    <x v="1"/>
    <x v="0"/>
    <n v="7"/>
    <n v="4378.8"/>
    <n v="10430.4"/>
  </r>
  <r>
    <x v="0"/>
    <n v="21"/>
    <n v="62"/>
    <n v="122"/>
    <x v="1"/>
    <x v="0"/>
    <n v="7"/>
    <n v="2562"/>
    <n v="7564"/>
  </r>
  <r>
    <x v="0"/>
    <n v="10.5"/>
    <n v="30"/>
    <n v="35"/>
    <x v="1"/>
    <x v="0"/>
    <n v="7"/>
    <n v="367.5"/>
    <n v="1050"/>
  </r>
  <r>
    <x v="0"/>
    <n v="10.5"/>
    <n v="30"/>
    <n v="52"/>
    <x v="1"/>
    <x v="0"/>
    <n v="7"/>
    <n v="546"/>
    <n v="1560"/>
  </r>
  <r>
    <x v="0"/>
    <n v="9.6999999999999993"/>
    <n v="23.6"/>
    <n v="8"/>
    <x v="1"/>
    <x v="0"/>
    <n v="7"/>
    <n v="77.599999999999994"/>
    <n v="188.8"/>
  </r>
  <r>
    <x v="1"/>
    <n v="13.5"/>
    <n v="68"/>
    <n v="120"/>
    <x v="1"/>
    <x v="1"/>
    <n v="7"/>
    <n v="1620"/>
    <n v="8160"/>
  </r>
  <r>
    <x v="1"/>
    <n v="10"/>
    <n v="52"/>
    <n v="170"/>
    <x v="1"/>
    <x v="1"/>
    <n v="7"/>
    <n v="1700"/>
    <n v="8840"/>
  </r>
  <r>
    <x v="1"/>
    <n v="9.5"/>
    <n v="50"/>
    <n v="56"/>
    <x v="1"/>
    <x v="1"/>
    <n v="7"/>
    <n v="532"/>
    <n v="2800"/>
  </r>
  <r>
    <x v="1"/>
    <n v="7.5"/>
    <n v="42"/>
    <n v="98"/>
    <x v="1"/>
    <x v="1"/>
    <n v="7"/>
    <n v="735"/>
    <n v="4116"/>
  </r>
  <r>
    <x v="1"/>
    <n v="7"/>
    <n v="40"/>
    <n v="116"/>
    <x v="1"/>
    <x v="1"/>
    <n v="7"/>
    <n v="812"/>
    <n v="4640"/>
  </r>
  <r>
    <x v="1"/>
    <n v="8.5"/>
    <n v="42"/>
    <n v="101"/>
    <x v="1"/>
    <x v="1"/>
    <n v="7"/>
    <n v="858.5"/>
    <n v="4242"/>
  </r>
  <r>
    <x v="1"/>
    <n v="13.3"/>
    <n v="67.2"/>
    <n v="121"/>
    <x v="1"/>
    <x v="1"/>
    <n v="7"/>
    <n v="1609.3000000000002"/>
    <n v="8131.2000000000007"/>
  </r>
  <r>
    <x v="1"/>
    <n v="18"/>
    <n v="84"/>
    <n v="105"/>
    <x v="1"/>
    <x v="1"/>
    <n v="7"/>
    <n v="1890"/>
    <n v="8820"/>
  </r>
  <r>
    <x v="1"/>
    <n v="17"/>
    <n v="80"/>
    <n v="17"/>
    <x v="1"/>
    <x v="1"/>
    <n v="7"/>
    <n v="289"/>
    <n v="1360"/>
  </r>
  <r>
    <x v="1"/>
    <n v="7.2"/>
    <n v="36.799999999999997"/>
    <n v="200"/>
    <x v="1"/>
    <x v="1"/>
    <n v="7"/>
    <n v="1440"/>
    <n v="7359.9999999999991"/>
  </r>
  <r>
    <x v="1"/>
    <n v="14"/>
    <n v="70"/>
    <n v="129"/>
    <x v="1"/>
    <x v="1"/>
    <n v="7"/>
    <n v="1806"/>
    <n v="9030"/>
  </r>
  <r>
    <x v="1"/>
    <n v="14"/>
    <n v="70"/>
    <n v="76"/>
    <x v="1"/>
    <x v="1"/>
    <n v="7"/>
    <n v="1064"/>
    <n v="5320"/>
  </r>
  <r>
    <x v="1"/>
    <n v="11.3"/>
    <n v="59.2"/>
    <n v="60"/>
    <x v="1"/>
    <x v="1"/>
    <n v="7"/>
    <n v="678"/>
    <n v="3552"/>
  </r>
  <r>
    <x v="3"/>
    <n v="37.4"/>
    <n v="49.6"/>
    <n v="52"/>
    <x v="1"/>
    <x v="1"/>
    <n v="8"/>
    <n v="1944.8"/>
    <n v="2579.2000000000003"/>
  </r>
  <r>
    <x v="1"/>
    <n v="13.2"/>
    <n v="65.599999999999994"/>
    <n v="188"/>
    <x v="1"/>
    <x v="1"/>
    <n v="8"/>
    <n v="2481.6"/>
    <n v="12332.8"/>
  </r>
  <r>
    <x v="1"/>
    <n v="15.5"/>
    <n v="74"/>
    <n v="70"/>
    <x v="1"/>
    <x v="1"/>
    <n v="8"/>
    <n v="1085"/>
    <n v="5180"/>
  </r>
  <r>
    <x v="1"/>
    <n v="15"/>
    <n v="72"/>
    <n v="82"/>
    <x v="1"/>
    <x v="1"/>
    <n v="8"/>
    <n v="1230"/>
    <n v="5904"/>
  </r>
  <r>
    <x v="1"/>
    <n v="15"/>
    <n v="72"/>
    <n v="0"/>
    <x v="1"/>
    <x v="1"/>
    <n v="8"/>
    <n v="0"/>
    <n v="0"/>
  </r>
  <r>
    <x v="3"/>
    <n v="16.5"/>
    <n v="76"/>
    <n v="31"/>
    <x v="1"/>
    <x v="1"/>
    <n v="8"/>
    <n v="511.5"/>
    <n v="2356"/>
  </r>
  <r>
    <x v="3"/>
    <n v="16.5"/>
    <n v="76"/>
    <n v="10"/>
    <x v="1"/>
    <x v="1"/>
    <n v="8"/>
    <n v="165"/>
    <n v="760"/>
  </r>
  <r>
    <x v="3"/>
    <n v="16"/>
    <n v="76"/>
    <n v="51"/>
    <x v="1"/>
    <x v="1"/>
    <n v="8"/>
    <n v="816"/>
    <n v="3876"/>
  </r>
  <r>
    <x v="3"/>
    <n v="16"/>
    <n v="76"/>
    <n v="56"/>
    <x v="1"/>
    <x v="1"/>
    <n v="8"/>
    <n v="896"/>
    <n v="4256"/>
  </r>
  <r>
    <x v="3"/>
    <n v="8.9"/>
    <n v="45.2"/>
    <n v="66"/>
    <x v="1"/>
    <x v="1"/>
    <n v="8"/>
    <n v="587.4"/>
    <n v="2983.2000000000003"/>
  </r>
  <r>
    <x v="3"/>
    <n v="9"/>
    <n v="48"/>
    <n v="92"/>
    <x v="1"/>
    <x v="1"/>
    <n v="8"/>
    <n v="828"/>
    <n v="4416"/>
  </r>
  <r>
    <x v="3"/>
    <n v="16"/>
    <n v="76"/>
    <n v="51"/>
    <x v="1"/>
    <x v="1"/>
    <n v="8"/>
    <n v="816"/>
    <n v="3876"/>
  </r>
  <r>
    <x v="1"/>
    <n v="5.5"/>
    <n v="30"/>
    <n v="60"/>
    <x v="1"/>
    <x v="1"/>
    <n v="8"/>
    <n v="330"/>
    <n v="1800"/>
  </r>
  <r>
    <x v="3"/>
    <n v="16"/>
    <n v="76"/>
    <n v="11"/>
    <x v="1"/>
    <x v="0"/>
    <n v="8"/>
    <n v="176"/>
    <n v="836"/>
  </r>
  <r>
    <x v="1"/>
    <n v="37.700000000000003"/>
    <n v="44"/>
    <n v="98"/>
    <x v="1"/>
    <x v="1"/>
    <n v="9"/>
    <n v="3694.6000000000004"/>
    <n v="4312"/>
  </r>
  <r>
    <x v="1"/>
    <n v="48"/>
    <n v="60"/>
    <n v="22"/>
    <x v="1"/>
    <x v="1"/>
    <n v="9"/>
    <n v="1056"/>
    <n v="1320"/>
  </r>
  <r>
    <x v="1"/>
    <n v="17.5"/>
    <n v="50"/>
    <n v="54"/>
    <x v="1"/>
    <x v="1"/>
    <n v="9"/>
    <n v="945"/>
    <n v="2700"/>
  </r>
  <r>
    <x v="1"/>
    <n v="18"/>
    <n v="52"/>
    <n v="39"/>
    <x v="1"/>
    <x v="1"/>
    <n v="9"/>
    <n v="702"/>
    <n v="2028"/>
  </r>
  <r>
    <x v="1"/>
    <n v="17"/>
    <n v="48"/>
    <n v="50"/>
    <x v="1"/>
    <x v="1"/>
    <n v="9"/>
    <n v="850"/>
    <n v="2400"/>
  </r>
  <r>
    <x v="1"/>
    <n v="15.3"/>
    <n v="50"/>
    <n v="34"/>
    <x v="1"/>
    <x v="1"/>
    <n v="9"/>
    <n v="520.20000000000005"/>
    <n v="1700"/>
  </r>
  <r>
    <x v="3"/>
    <n v="9.8000000000000007"/>
    <n v="51.2"/>
    <n v="124"/>
    <x v="1"/>
    <x v="1"/>
    <n v="9"/>
    <n v="1215.2"/>
    <n v="6348.8"/>
  </r>
  <r>
    <x v="3"/>
    <n v="10.5"/>
    <n v="54"/>
    <n v="124"/>
    <x v="1"/>
    <x v="1"/>
    <n v="9"/>
    <n v="1302"/>
    <n v="6696"/>
  </r>
  <r>
    <x v="3"/>
    <n v="23.5"/>
    <n v="70"/>
    <n v="22"/>
    <x v="1"/>
    <x v="0"/>
    <n v="9"/>
    <n v="517"/>
    <n v="1540"/>
  </r>
  <r>
    <x v="3"/>
    <n v="19.5"/>
    <n v="46"/>
    <n v="11"/>
    <x v="1"/>
    <x v="0"/>
    <n v="9"/>
    <n v="214.5"/>
    <n v="506"/>
  </r>
  <r>
    <x v="3"/>
    <n v="11.5"/>
    <n v="30"/>
    <n v="11"/>
    <x v="1"/>
    <x v="0"/>
    <n v="9"/>
    <n v="126.5"/>
    <n v="330"/>
  </r>
  <r>
    <x v="3"/>
    <n v="11.5"/>
    <n v="30"/>
    <n v="11"/>
    <x v="1"/>
    <x v="0"/>
    <n v="9"/>
    <n v="126.5"/>
    <n v="330"/>
  </r>
  <r>
    <x v="3"/>
    <n v="14.5"/>
    <n v="46"/>
    <n v="11"/>
    <x v="1"/>
    <x v="0"/>
    <n v="9"/>
    <n v="159.5"/>
    <n v="506"/>
  </r>
  <r>
    <x v="3"/>
    <n v="11.5"/>
    <n v="30"/>
    <n v="11"/>
    <x v="1"/>
    <x v="0"/>
    <n v="9"/>
    <n v="126.5"/>
    <n v="330"/>
  </r>
  <r>
    <x v="3"/>
    <n v="11.5"/>
    <n v="30"/>
    <n v="11"/>
    <x v="1"/>
    <x v="0"/>
    <n v="9"/>
    <n v="126.5"/>
    <n v="330"/>
  </r>
  <r>
    <x v="5"/>
    <n v="14"/>
    <n v="68"/>
    <n v="18"/>
    <x v="1"/>
    <x v="1"/>
    <n v="9"/>
    <n v="252"/>
    <n v="1224"/>
  </r>
  <r>
    <x v="5"/>
    <n v="14"/>
    <n v="68"/>
    <n v="18"/>
    <x v="1"/>
    <x v="1"/>
    <n v="9"/>
    <n v="252"/>
    <n v="1224"/>
  </r>
  <r>
    <x v="5"/>
    <n v="15"/>
    <n v="72"/>
    <n v="18"/>
    <x v="1"/>
    <x v="1"/>
    <n v="9"/>
    <n v="270"/>
    <n v="1296"/>
  </r>
  <r>
    <x v="5"/>
    <n v="15"/>
    <n v="72"/>
    <n v="9"/>
    <x v="1"/>
    <x v="1"/>
    <n v="9"/>
    <n v="135"/>
    <n v="648"/>
  </r>
  <r>
    <x v="3"/>
    <n v="24.6"/>
    <n v="50.4"/>
    <n v="84"/>
    <x v="1"/>
    <x v="1"/>
    <n v="9"/>
    <n v="2066.4"/>
    <n v="4233.5999999999995"/>
  </r>
  <r>
    <x v="3"/>
    <n v="13"/>
    <n v="64"/>
    <n v="52"/>
    <x v="1"/>
    <x v="1"/>
    <n v="9"/>
    <n v="676"/>
    <n v="3328"/>
  </r>
  <r>
    <x v="3"/>
    <n v="10.5"/>
    <n v="54"/>
    <n v="52"/>
    <x v="1"/>
    <x v="1"/>
    <n v="9"/>
    <n v="546"/>
    <n v="2808"/>
  </r>
  <r>
    <x v="3"/>
    <n v="11.5"/>
    <n v="58"/>
    <n v="67"/>
    <x v="1"/>
    <x v="1"/>
    <n v="9"/>
    <n v="770.5"/>
    <n v="3886"/>
  </r>
  <r>
    <x v="3"/>
    <n v="9"/>
    <n v="48"/>
    <n v="104"/>
    <x v="1"/>
    <x v="1"/>
    <n v="9"/>
    <n v="936"/>
    <n v="4992"/>
  </r>
  <r>
    <x v="1"/>
    <n v="13.5"/>
    <n v="66"/>
    <n v="216"/>
    <x v="1"/>
    <x v="1"/>
    <n v="9"/>
    <n v="2916"/>
    <n v="14256"/>
  </r>
  <r>
    <x v="1"/>
    <n v="10.5"/>
    <n v="54"/>
    <n v="160"/>
    <x v="1"/>
    <x v="1"/>
    <n v="9"/>
    <n v="1680"/>
    <n v="8640"/>
  </r>
  <r>
    <x v="3"/>
    <n v="9.5"/>
    <n v="50"/>
    <n v="124"/>
    <x v="1"/>
    <x v="1"/>
    <n v="9"/>
    <n v="1178"/>
    <n v="6200"/>
  </r>
  <r>
    <x v="3"/>
    <n v="10.5"/>
    <n v="56"/>
    <n v="82"/>
    <x v="1"/>
    <x v="1"/>
    <n v="9"/>
    <n v="861"/>
    <n v="4592"/>
  </r>
  <r>
    <x v="1"/>
    <n v="42.8"/>
    <n v="63.2"/>
    <n v="70"/>
    <x v="1"/>
    <x v="1"/>
    <n v="10"/>
    <n v="2996"/>
    <n v="4424"/>
  </r>
  <r>
    <x v="3"/>
    <n v="9.1999999999999993"/>
    <n v="45.6"/>
    <n v="152"/>
    <x v="1"/>
    <x v="1"/>
    <n v="10"/>
    <n v="1398.3999999999999"/>
    <n v="6931.2"/>
  </r>
  <r>
    <x v="3"/>
    <n v="16.5"/>
    <n v="76"/>
    <n v="44"/>
    <x v="1"/>
    <x v="1"/>
    <n v="10"/>
    <n v="726"/>
    <n v="3344"/>
  </r>
  <r>
    <x v="3"/>
    <n v="16.5"/>
    <n v="76"/>
    <n v="55"/>
    <x v="1"/>
    <x v="1"/>
    <n v="10"/>
    <n v="907.5"/>
    <n v="4180"/>
  </r>
  <r>
    <x v="1"/>
    <n v="16"/>
    <n v="76"/>
    <n v="62"/>
    <x v="1"/>
    <x v="1"/>
    <n v="10"/>
    <n v="992"/>
    <n v="4712"/>
  </r>
  <r>
    <x v="1"/>
    <n v="16"/>
    <n v="76"/>
    <n v="37"/>
    <x v="1"/>
    <x v="1"/>
    <n v="10"/>
    <n v="592"/>
    <n v="2812"/>
  </r>
  <r>
    <x v="1"/>
    <n v="12"/>
    <n v="62"/>
    <n v="65"/>
    <x v="1"/>
    <x v="1"/>
    <n v="10"/>
    <n v="780"/>
    <n v="4030"/>
  </r>
  <r>
    <x v="1"/>
    <n v="13.5"/>
    <n v="66"/>
    <n v="76"/>
    <x v="1"/>
    <x v="1"/>
    <n v="10"/>
    <n v="1026"/>
    <n v="5016"/>
  </r>
  <r>
    <x v="1"/>
    <n v="15"/>
    <n v="74"/>
    <n v="82"/>
    <x v="1"/>
    <x v="1"/>
    <n v="10"/>
    <n v="1230"/>
    <n v="6068"/>
  </r>
  <r>
    <x v="1"/>
    <n v="15.5"/>
    <n v="76"/>
    <n v="155"/>
    <x v="1"/>
    <x v="1"/>
    <n v="10"/>
    <n v="2402.5"/>
    <n v="11780"/>
  </r>
  <r>
    <x v="1"/>
    <n v="14"/>
    <n v="68"/>
    <n v="147"/>
    <x v="1"/>
    <x v="1"/>
    <n v="10"/>
    <n v="2058"/>
    <n v="9996"/>
  </r>
  <r>
    <x v="1"/>
    <n v="14.5"/>
    <n v="70"/>
    <n v="147"/>
    <x v="1"/>
    <x v="1"/>
    <n v="10"/>
    <n v="2131.5"/>
    <n v="10290"/>
  </r>
  <r>
    <x v="3"/>
    <n v="15"/>
    <n v="74"/>
    <n v="134"/>
    <x v="1"/>
    <x v="1"/>
    <n v="10"/>
    <n v="2010"/>
    <n v="9916"/>
  </r>
  <r>
    <x v="3"/>
    <n v="9.5"/>
    <n v="48"/>
    <n v="94"/>
    <x v="1"/>
    <x v="1"/>
    <n v="10"/>
    <n v="893"/>
    <n v="4512"/>
  </r>
  <r>
    <x v="3"/>
    <n v="9.1999999999999993"/>
    <n v="45.6"/>
    <n v="124"/>
    <x v="1"/>
    <x v="1"/>
    <n v="10"/>
    <n v="1140.8"/>
    <n v="5654.4000000000005"/>
  </r>
  <r>
    <x v="3"/>
    <n v="16"/>
    <n v="76"/>
    <n v="35"/>
    <x v="1"/>
    <x v="1"/>
    <n v="10"/>
    <n v="560"/>
    <n v="2660"/>
  </r>
  <r>
    <x v="3"/>
    <n v="18"/>
    <n v="84"/>
    <n v="6"/>
    <x v="1"/>
    <x v="1"/>
    <n v="10"/>
    <n v="108"/>
    <n v="504"/>
  </r>
  <r>
    <x v="3"/>
    <n v="17"/>
    <n v="80"/>
    <n v="36"/>
    <x v="1"/>
    <x v="1"/>
    <n v="10"/>
    <n v="612"/>
    <n v="2880"/>
  </r>
  <r>
    <x v="1"/>
    <n v="14"/>
    <n v="68"/>
    <n v="117"/>
    <x v="1"/>
    <x v="1"/>
    <n v="11"/>
    <n v="1638"/>
    <n v="7956"/>
  </r>
  <r>
    <x v="1"/>
    <n v="13.5"/>
    <n v="66"/>
    <n v="90"/>
    <x v="1"/>
    <x v="1"/>
    <n v="11"/>
    <n v="1215"/>
    <n v="5940"/>
  </r>
  <r>
    <x v="1"/>
    <n v="9.5"/>
    <n v="48"/>
    <n v="59"/>
    <x v="1"/>
    <x v="1"/>
    <n v="11"/>
    <n v="560.5"/>
    <n v="2832"/>
  </r>
  <r>
    <x v="1"/>
    <n v="9"/>
    <n v="46"/>
    <n v="130"/>
    <x v="1"/>
    <x v="1"/>
    <n v="11"/>
    <n v="1170"/>
    <n v="5980"/>
  </r>
  <r>
    <x v="8"/>
    <n v="35"/>
    <n v="84"/>
    <n v="148"/>
    <x v="1"/>
    <x v="1"/>
    <n v="11"/>
    <n v="5180"/>
    <n v="12432"/>
  </r>
  <r>
    <x v="8"/>
    <n v="32"/>
    <n v="80"/>
    <n v="130"/>
    <x v="1"/>
    <x v="1"/>
    <n v="11"/>
    <n v="4160"/>
    <n v="10400"/>
  </r>
  <r>
    <x v="8"/>
    <n v="35"/>
    <n v="96"/>
    <n v="138"/>
    <x v="1"/>
    <x v="1"/>
    <n v="11"/>
    <n v="4830"/>
    <n v="13248"/>
  </r>
  <r>
    <x v="8"/>
    <n v="32"/>
    <n v="80"/>
    <n v="138"/>
    <x v="1"/>
    <x v="1"/>
    <n v="11"/>
    <n v="4416"/>
    <n v="11040"/>
  </r>
  <r>
    <x v="8"/>
    <n v="32"/>
    <n v="80"/>
    <n v="108"/>
    <x v="1"/>
    <x v="1"/>
    <n v="11"/>
    <n v="3456"/>
    <n v="8640"/>
  </r>
  <r>
    <x v="6"/>
    <n v="17"/>
    <n v="32"/>
    <n v="120"/>
    <x v="1"/>
    <x v="0"/>
    <n v="11"/>
    <n v="2040"/>
    <n v="3840"/>
  </r>
  <r>
    <x v="1"/>
    <n v="18.5"/>
    <n v="88"/>
    <n v="0"/>
    <x v="1"/>
    <x v="1"/>
    <n v="12"/>
    <n v="0"/>
    <n v="0"/>
  </r>
  <r>
    <x v="1"/>
    <n v="14"/>
    <n v="68"/>
    <n v="0"/>
    <x v="1"/>
    <x v="1"/>
    <n v="12"/>
    <n v="0"/>
    <n v="0"/>
  </r>
  <r>
    <x v="1"/>
    <n v="10"/>
    <n v="52"/>
    <n v="0"/>
    <x v="1"/>
    <x v="1"/>
    <n v="12"/>
    <n v="0"/>
    <n v="0"/>
  </r>
  <r>
    <x v="1"/>
    <n v="10"/>
    <n v="52"/>
    <n v="0"/>
    <x v="1"/>
    <x v="1"/>
    <n v="12"/>
    <n v="0"/>
    <n v="0"/>
  </r>
  <r>
    <x v="1"/>
    <n v="27"/>
    <n v="176"/>
    <n v="0"/>
    <x v="1"/>
    <x v="1"/>
    <n v="12"/>
    <n v="0"/>
    <n v="0"/>
  </r>
  <r>
    <x v="3"/>
    <n v="16.5"/>
    <n v="76"/>
    <n v="0"/>
    <x v="1"/>
    <x v="1"/>
    <n v="12"/>
    <n v="0"/>
    <n v="0"/>
  </r>
  <r>
    <x v="3"/>
    <n v="16.5"/>
    <n v="76"/>
    <n v="0"/>
    <x v="1"/>
    <x v="1"/>
    <n v="12"/>
    <n v="0"/>
    <n v="0"/>
  </r>
  <r>
    <x v="3"/>
    <n v="42"/>
    <n v="64"/>
    <n v="0"/>
    <x v="1"/>
    <x v="1"/>
    <n v="12"/>
    <n v="0"/>
    <n v="0"/>
  </r>
  <r>
    <x v="1"/>
    <n v="36"/>
    <n v="48"/>
    <n v="0"/>
    <x v="1"/>
    <x v="1"/>
    <n v="12"/>
    <n v="0"/>
    <n v="0"/>
  </r>
  <r>
    <x v="1"/>
    <n v="11.5"/>
    <n v="50"/>
    <n v="0"/>
    <x v="1"/>
    <x v="1"/>
    <n v="12"/>
    <n v="0"/>
    <n v="0"/>
  </r>
  <r>
    <x v="3"/>
    <n v="7.5"/>
    <n v="34"/>
    <n v="0"/>
    <x v="1"/>
    <x v="1"/>
    <n v="12"/>
    <n v="0"/>
    <n v="0"/>
  </r>
  <r>
    <x v="3"/>
    <n v="7.5"/>
    <n v="34"/>
    <n v="0"/>
    <x v="1"/>
    <x v="1"/>
    <n v="12"/>
    <n v="0"/>
    <n v="0"/>
  </r>
  <r>
    <x v="3"/>
    <n v="7.5"/>
    <n v="34"/>
    <n v="0"/>
    <x v="1"/>
    <x v="1"/>
    <n v="12"/>
    <n v="0"/>
    <n v="0"/>
  </r>
  <r>
    <x v="3"/>
    <n v="11"/>
    <n v="48"/>
    <n v="0"/>
    <x v="1"/>
    <x v="1"/>
    <n v="12"/>
    <n v="0"/>
    <n v="0"/>
  </r>
  <r>
    <x v="3"/>
    <n v="15"/>
    <n v="64"/>
    <n v="0"/>
    <x v="1"/>
    <x v="1"/>
    <n v="12"/>
    <n v="0"/>
    <n v="0"/>
  </r>
  <r>
    <x v="1"/>
    <n v="14"/>
    <n v="60"/>
    <n v="0"/>
    <x v="1"/>
    <x v="1"/>
    <n v="12"/>
    <n v="0"/>
    <n v="0"/>
  </r>
  <r>
    <x v="1"/>
    <n v="15"/>
    <n v="64"/>
    <n v="0"/>
    <x v="1"/>
    <x v="1"/>
    <n v="12"/>
    <n v="0"/>
    <n v="0"/>
  </r>
  <r>
    <x v="1"/>
    <n v="18"/>
    <n v="84"/>
    <n v="0"/>
    <x v="1"/>
    <x v="1"/>
    <n v="12"/>
    <n v="0"/>
    <n v="0"/>
  </r>
  <r>
    <x v="1"/>
    <n v="8"/>
    <n v="36"/>
    <n v="0"/>
    <x v="1"/>
    <x v="1"/>
    <n v="12"/>
    <n v="0"/>
    <n v="0"/>
  </r>
  <r>
    <x v="1"/>
    <n v="17.5"/>
    <n v="84"/>
    <n v="0"/>
    <x v="1"/>
    <x v="1"/>
    <n v="12"/>
    <n v="0"/>
    <n v="0"/>
  </r>
  <r>
    <x v="11"/>
    <m/>
    <m/>
    <m/>
    <x v="2"/>
    <x v="2"/>
    <m/>
    <m/>
    <m/>
  </r>
  <r>
    <x v="11"/>
    <m/>
    <m/>
    <m/>
    <x v="2"/>
    <x v="2"/>
    <m/>
    <m/>
    <m/>
  </r>
  <r>
    <x v="11"/>
    <m/>
    <m/>
    <m/>
    <x v="2"/>
    <x v="2"/>
    <m/>
    <m/>
    <m/>
  </r>
  <r>
    <x v="11"/>
    <m/>
    <m/>
    <m/>
    <x v="2"/>
    <x v="2"/>
    <m/>
    <m/>
    <m/>
  </r>
  <r>
    <x v="11"/>
    <m/>
    <m/>
    <m/>
    <x v="2"/>
    <x v="2"/>
    <m/>
    <m/>
    <m/>
  </r>
  <r>
    <x v="11"/>
    <m/>
    <m/>
    <m/>
    <x v="2"/>
    <x v="2"/>
    <m/>
    <m/>
    <m/>
  </r>
  <r>
    <x v="11"/>
    <m/>
    <m/>
    <m/>
    <x v="2"/>
    <x v="2"/>
    <m/>
    <m/>
    <m/>
  </r>
  <r>
    <x v="11"/>
    <m/>
    <m/>
    <m/>
    <x v="2"/>
    <x v="2"/>
    <m/>
    <m/>
    <m/>
  </r>
  <r>
    <x v="11"/>
    <m/>
    <m/>
    <m/>
    <x v="2"/>
    <x v="2"/>
    <m/>
    <m/>
    <m/>
  </r>
  <r>
    <x v="11"/>
    <m/>
    <m/>
    <m/>
    <x v="2"/>
    <x v="2"/>
    <m/>
    <m/>
    <m/>
  </r>
  <r>
    <x v="0"/>
    <n v="24.5"/>
    <n v="142"/>
    <n v="244"/>
    <x v="3"/>
    <x v="0"/>
    <n v="1"/>
    <n v="5978"/>
    <n v="34648"/>
  </r>
  <r>
    <x v="0"/>
    <n v="20.5"/>
    <n v="112.66666666666667"/>
    <n v="230"/>
    <x v="3"/>
    <x v="0"/>
    <n v="1"/>
    <n v="4715"/>
    <n v="25913.333333333336"/>
  </r>
  <r>
    <x v="0"/>
    <n v="23.5"/>
    <n v="136"/>
    <n v="116"/>
    <x v="3"/>
    <x v="0"/>
    <n v="1"/>
    <n v="2726"/>
    <n v="15776"/>
  </r>
  <r>
    <x v="0"/>
    <n v="15"/>
    <n v="104"/>
    <n v="248"/>
    <x v="3"/>
    <x v="0"/>
    <n v="1"/>
    <n v="3720"/>
    <n v="25792"/>
  </r>
  <r>
    <x v="0"/>
    <n v="9.8000000000000007"/>
    <n v="43.2"/>
    <n v="96"/>
    <x v="3"/>
    <x v="0"/>
    <n v="1"/>
    <n v="940.80000000000007"/>
    <n v="4147.2000000000007"/>
  </r>
  <r>
    <x v="0"/>
    <n v="21"/>
    <n v="126.66666666666667"/>
    <n v="63"/>
    <x v="3"/>
    <x v="0"/>
    <n v="1"/>
    <n v="1323"/>
    <n v="7980"/>
  </r>
  <r>
    <x v="0"/>
    <n v="9"/>
    <n v="62.666666666666671"/>
    <n v="59"/>
    <x v="3"/>
    <x v="0"/>
    <n v="1"/>
    <n v="531"/>
    <n v="3697.3333333333335"/>
  </r>
  <r>
    <x v="0"/>
    <n v="8"/>
    <n v="56"/>
    <n v="76"/>
    <x v="3"/>
    <x v="0"/>
    <n v="1"/>
    <n v="608"/>
    <n v="4256"/>
  </r>
  <r>
    <x v="0"/>
    <n v="6.5"/>
    <n v="38"/>
    <n v="39"/>
    <x v="3"/>
    <x v="0"/>
    <n v="1"/>
    <n v="253.5"/>
    <n v="1482"/>
  </r>
  <r>
    <x v="8"/>
    <n v="2.5"/>
    <n v="18"/>
    <n v="0"/>
    <x v="3"/>
    <x v="1"/>
    <n v="1"/>
    <n v="0"/>
    <n v="0"/>
  </r>
  <r>
    <x v="8"/>
    <n v="2.5"/>
    <n v="18"/>
    <n v="0"/>
    <x v="3"/>
    <x v="1"/>
    <n v="1"/>
    <n v="0"/>
    <n v="0"/>
  </r>
  <r>
    <x v="8"/>
    <n v="2.5"/>
    <n v="18"/>
    <n v="0"/>
    <x v="3"/>
    <x v="1"/>
    <n v="1"/>
    <n v="0"/>
    <n v="0"/>
  </r>
  <r>
    <x v="8"/>
    <n v="2.5"/>
    <n v="18"/>
    <n v="0"/>
    <x v="3"/>
    <x v="1"/>
    <n v="1"/>
    <n v="0"/>
    <n v="0"/>
  </r>
  <r>
    <x v="8"/>
    <n v="2.5"/>
    <n v="18"/>
    <n v="0"/>
    <x v="3"/>
    <x v="1"/>
    <n v="1"/>
    <n v="0"/>
    <n v="0"/>
  </r>
  <r>
    <x v="8"/>
    <n v="2.5"/>
    <n v="18"/>
    <n v="0"/>
    <x v="3"/>
    <x v="1"/>
    <n v="1"/>
    <n v="0"/>
    <n v="0"/>
  </r>
  <r>
    <x v="12"/>
    <n v="1"/>
    <n v="8"/>
    <n v="0"/>
    <x v="3"/>
    <x v="3"/>
    <n v="2"/>
    <n v="0"/>
    <n v="0"/>
  </r>
  <r>
    <x v="12"/>
    <n v="11"/>
    <n v="74.666666666666671"/>
    <n v="0"/>
    <x v="3"/>
    <x v="3"/>
    <n v="2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8">
  <r>
    <s v="KISSY KISSY"/>
    <n v="21"/>
    <n v="60"/>
    <n v="115"/>
    <x v="0"/>
    <x v="0"/>
    <x v="0"/>
    <n v="2415"/>
    <n v="6900"/>
    <n v="4140"/>
    <n v="6900"/>
  </r>
  <r>
    <s v="KISSY KISSY"/>
    <n v="28"/>
    <n v="60"/>
    <n v="109"/>
    <x v="0"/>
    <x v="0"/>
    <x v="0"/>
    <n v="3052"/>
    <n v="6540"/>
    <n v="3924"/>
    <n v="6540"/>
  </r>
  <r>
    <s v="KISSY KISSY"/>
    <n v="27"/>
    <n v="56"/>
    <n v="71"/>
    <x v="0"/>
    <x v="0"/>
    <x v="0"/>
    <n v="1917"/>
    <n v="3976"/>
    <n v="2272"/>
    <n v="3976"/>
  </r>
  <r>
    <s v="KISSY KISSY"/>
    <n v="19.5"/>
    <n v="56"/>
    <n v="83"/>
    <x v="0"/>
    <x v="0"/>
    <x v="0"/>
    <n v="1618.5"/>
    <n v="4648"/>
    <n v="2656"/>
    <n v="4648"/>
  </r>
  <r>
    <s v="KISSY KISSY"/>
    <n v="21"/>
    <n v="60"/>
    <n v="111"/>
    <x v="0"/>
    <x v="0"/>
    <x v="0"/>
    <n v="2331"/>
    <n v="6660"/>
    <n v="3996"/>
    <n v="6660"/>
  </r>
  <r>
    <s v="KISSY KISSY"/>
    <n v="20.5"/>
    <n v="58"/>
    <n v="47"/>
    <x v="0"/>
    <x v="0"/>
    <x v="0"/>
    <n v="963.5"/>
    <n v="2726"/>
    <n v="1598"/>
    <n v="2726"/>
  </r>
  <r>
    <s v="KISSY KISSY"/>
    <n v="22"/>
    <n v="64"/>
    <n v="95"/>
    <x v="0"/>
    <x v="0"/>
    <x v="0"/>
    <n v="2090"/>
    <n v="6080"/>
    <n v="3800"/>
    <n v="6080"/>
  </r>
  <r>
    <s v="KISSY KISSY"/>
    <n v="19.5"/>
    <n v="54"/>
    <n v="57"/>
    <x v="0"/>
    <x v="0"/>
    <x v="0"/>
    <n v="1111.5"/>
    <n v="3078"/>
    <n v="1710"/>
    <n v="3078"/>
  </r>
  <r>
    <s v="KISSY KISSY"/>
    <n v="9"/>
    <n v="20"/>
    <n v="82"/>
    <x v="0"/>
    <x v="0"/>
    <x v="0"/>
    <n v="738"/>
    <n v="1640"/>
    <n v="656"/>
    <n v="1640"/>
  </r>
  <r>
    <s v="KISSY KISSY"/>
    <n v="9.1999999999999993"/>
    <n v="20.8"/>
    <n v="80"/>
    <x v="0"/>
    <x v="0"/>
    <x v="0"/>
    <n v="736"/>
    <n v="1664"/>
    <n v="704"/>
    <n v="1664"/>
  </r>
  <r>
    <s v="KISSY KISSY"/>
    <n v="13.7"/>
    <n v="42.8"/>
    <n v="80"/>
    <x v="0"/>
    <x v="0"/>
    <x v="0"/>
    <n v="1096"/>
    <n v="3424"/>
    <n v="1504"/>
    <n v="3424"/>
  </r>
  <r>
    <s v="KISSY KISSY"/>
    <n v="20.5"/>
    <n v="60"/>
    <n v="107"/>
    <x v="0"/>
    <x v="0"/>
    <x v="0"/>
    <n v="2193.5"/>
    <n v="6420"/>
    <n v="3852"/>
    <n v="6420"/>
  </r>
  <r>
    <s v="KISSY KISSY"/>
    <n v="20.5"/>
    <n v="60"/>
    <n v="45"/>
    <x v="0"/>
    <x v="0"/>
    <x v="0"/>
    <n v="922.5"/>
    <n v="2700"/>
    <n v="1620"/>
    <n v="2700"/>
  </r>
  <r>
    <s v="KISSY KISSY"/>
    <n v="20.5"/>
    <n v="60"/>
    <n v="51"/>
    <x v="0"/>
    <x v="0"/>
    <x v="0"/>
    <n v="1045.5"/>
    <n v="3060"/>
    <n v="1836"/>
    <n v="3060"/>
  </r>
  <r>
    <s v="KISSY KISSY"/>
    <n v="20.5"/>
    <n v="60"/>
    <n v="73"/>
    <x v="0"/>
    <x v="0"/>
    <x v="0"/>
    <n v="1496.5"/>
    <n v="4380"/>
    <n v="2628"/>
    <n v="4380"/>
  </r>
  <r>
    <s v="KISSY KISSY"/>
    <n v="20.5"/>
    <n v="60"/>
    <n v="43"/>
    <x v="0"/>
    <x v="0"/>
    <x v="0"/>
    <n v="881.5"/>
    <n v="2580"/>
    <n v="1548"/>
    <n v="2580"/>
  </r>
  <r>
    <s v="KISSY KISSY"/>
    <n v="18.5"/>
    <n v="52"/>
    <n v="92"/>
    <x v="0"/>
    <x v="0"/>
    <x v="0"/>
    <n v="1702"/>
    <n v="4784"/>
    <n v="2576"/>
    <n v="4784"/>
  </r>
  <r>
    <s v="KISSY KISSY"/>
    <n v="7"/>
    <n v="20"/>
    <n v="26"/>
    <x v="0"/>
    <x v="0"/>
    <x v="0"/>
    <n v="182"/>
    <n v="520"/>
    <n v="208"/>
    <n v="520"/>
  </r>
  <r>
    <s v="KISSY KISSY"/>
    <n v="9.1999999999999993"/>
    <n v="20.8"/>
    <n v="58"/>
    <x v="0"/>
    <x v="0"/>
    <x v="0"/>
    <n v="533.59999999999991"/>
    <n v="1206.4000000000001"/>
    <n v="510.40000000000003"/>
    <n v="1206.4000000000001"/>
  </r>
  <r>
    <s v="KISSY KISSY"/>
    <n v="13.7"/>
    <n v="42.8"/>
    <n v="24"/>
    <x v="0"/>
    <x v="0"/>
    <x v="0"/>
    <n v="328.79999999999995"/>
    <n v="1027.1999999999998"/>
    <n v="451.20000000000005"/>
    <n v="1027.1999999999998"/>
  </r>
  <r>
    <s v="KISSY KISSY"/>
    <n v="11.8"/>
    <n v="32.4"/>
    <n v="44"/>
    <x v="0"/>
    <x v="0"/>
    <x v="0"/>
    <n v="519.20000000000005"/>
    <n v="1425.6"/>
    <n v="792"/>
    <n v="1425.6"/>
  </r>
  <r>
    <s v="FASHION VIEWS"/>
    <n v="14"/>
    <n v="70"/>
    <n v="52"/>
    <x v="0"/>
    <x v="1"/>
    <x v="1"/>
    <n v="728"/>
    <n v="3640"/>
    <n v="2184"/>
    <n v="3640"/>
  </r>
  <r>
    <s v="FASHION VIEWS"/>
    <n v="14.5"/>
    <n v="72"/>
    <n v="46"/>
    <x v="0"/>
    <x v="1"/>
    <x v="1"/>
    <n v="667"/>
    <n v="3312"/>
    <n v="2024"/>
    <n v="3312"/>
  </r>
  <r>
    <s v="FASHION VIEWS"/>
    <n v="18"/>
    <n v="90"/>
    <n v="66"/>
    <x v="0"/>
    <x v="1"/>
    <x v="1"/>
    <n v="1188"/>
    <n v="5940"/>
    <n v="3564"/>
    <n v="5940"/>
  </r>
  <r>
    <s v="FASHION VIEWS"/>
    <n v="11.5"/>
    <n v="64"/>
    <n v="36"/>
    <x v="0"/>
    <x v="1"/>
    <x v="1"/>
    <n v="414"/>
    <n v="2304"/>
    <n v="1008"/>
    <n v="2304"/>
  </r>
  <r>
    <s v="FASHION VIEWS"/>
    <n v="18"/>
    <n v="90"/>
    <n v="36"/>
    <x v="0"/>
    <x v="1"/>
    <x v="1"/>
    <n v="648"/>
    <n v="3240"/>
    <n v="1944"/>
    <n v="3240"/>
  </r>
  <r>
    <s v="FASHION VIEWS"/>
    <n v="15.5"/>
    <n v="80"/>
    <n v="70"/>
    <x v="0"/>
    <x v="1"/>
    <x v="1"/>
    <n v="1085"/>
    <n v="5600"/>
    <n v="3080"/>
    <n v="5600"/>
  </r>
  <r>
    <s v="FASHION VIEWS"/>
    <n v="18"/>
    <n v="90"/>
    <n v="34"/>
    <x v="0"/>
    <x v="1"/>
    <x v="1"/>
    <n v="612"/>
    <n v="3060"/>
    <n v="1836"/>
    <n v="3060"/>
  </r>
  <r>
    <s v="FASHION VIEWS"/>
    <n v="11.5"/>
    <n v="64"/>
    <n v="19"/>
    <x v="0"/>
    <x v="1"/>
    <x v="1"/>
    <n v="218.5"/>
    <n v="1216"/>
    <n v="532"/>
    <n v="1216"/>
  </r>
  <r>
    <s v="FASHION VIEWS"/>
    <n v="18"/>
    <n v="90"/>
    <n v="19"/>
    <x v="0"/>
    <x v="1"/>
    <x v="1"/>
    <n v="342"/>
    <n v="1710"/>
    <n v="1026"/>
    <n v="1710"/>
  </r>
  <r>
    <s v="FASHION VIEWS"/>
    <n v="15.5"/>
    <n v="80"/>
    <n v="19"/>
    <x v="0"/>
    <x v="1"/>
    <x v="1"/>
    <n v="294.5"/>
    <n v="1520"/>
    <n v="836"/>
    <n v="1520"/>
  </r>
  <r>
    <s v="FASHION VIEWS"/>
    <n v="16.5"/>
    <n v="78"/>
    <n v="121"/>
    <x v="0"/>
    <x v="1"/>
    <x v="1"/>
    <n v="1996.5"/>
    <n v="9438"/>
    <n v="6534"/>
    <n v="9438"/>
  </r>
  <r>
    <s v="CDL"/>
    <n v="16"/>
    <n v="82"/>
    <n v="144"/>
    <x v="0"/>
    <x v="1"/>
    <x v="1"/>
    <n v="2304"/>
    <n v="11808"/>
    <n v="6624"/>
    <n v="11808"/>
  </r>
  <r>
    <s v="FASHION VIEWS"/>
    <n v="39"/>
    <n v="52"/>
    <n v="126"/>
    <x v="0"/>
    <x v="1"/>
    <x v="2"/>
    <n v="4914"/>
    <n v="6552"/>
    <n v="3528"/>
    <n v="6552"/>
  </r>
  <r>
    <s v="FASHION VIEWS"/>
    <n v="9.5"/>
    <n v="50"/>
    <n v="101"/>
    <x v="0"/>
    <x v="1"/>
    <x v="3"/>
    <n v="959.5"/>
    <n v="5050"/>
    <n v="2626"/>
    <n v="5050"/>
  </r>
  <r>
    <s v="FASHION VIEWS"/>
    <n v="14.3"/>
    <n v="71.2"/>
    <n v="123"/>
    <x v="0"/>
    <x v="1"/>
    <x v="3"/>
    <n v="1758.9"/>
    <n v="8757.6"/>
    <n v="5313.6"/>
    <n v="8757.6"/>
  </r>
  <r>
    <s v="FASHION VIEWS"/>
    <n v="14.3"/>
    <n v="71.2"/>
    <n v="108"/>
    <x v="0"/>
    <x v="1"/>
    <x v="3"/>
    <n v="1544.4"/>
    <n v="7689.6"/>
    <n v="4665.6000000000004"/>
    <n v="7689.6"/>
  </r>
  <r>
    <s v="FASHION VIEWS"/>
    <n v="38"/>
    <n v="48"/>
    <n v="77"/>
    <x v="0"/>
    <x v="1"/>
    <x v="3"/>
    <n v="2926"/>
    <n v="3696"/>
    <n v="1848"/>
    <n v="3696"/>
  </r>
  <r>
    <s v="FASHION VIEWS"/>
    <n v="108.5"/>
    <n v="448"/>
    <n v="87"/>
    <x v="0"/>
    <x v="1"/>
    <x v="3"/>
    <n v="9439.5"/>
    <n v="38976"/>
    <n v="36540"/>
    <n v="38976"/>
  </r>
  <r>
    <s v="MARELLE"/>
    <n v="9"/>
    <n v="48"/>
    <n v="122"/>
    <x v="0"/>
    <x v="1"/>
    <x v="3"/>
    <n v="1098"/>
    <n v="5856"/>
    <n v="2928"/>
    <n v="5856"/>
  </r>
  <r>
    <s v="MARELLE"/>
    <n v="12"/>
    <n v="62"/>
    <n v="122"/>
    <x v="0"/>
    <x v="1"/>
    <x v="3"/>
    <n v="1464"/>
    <n v="7564"/>
    <n v="4148"/>
    <n v="7564"/>
  </r>
  <r>
    <s v="MARELLE"/>
    <n v="11.5"/>
    <n v="60"/>
    <n v="122"/>
    <x v="0"/>
    <x v="1"/>
    <x v="3"/>
    <n v="1403"/>
    <n v="7320"/>
    <n v="3904"/>
    <n v="7320"/>
  </r>
  <r>
    <s v="MARELLE"/>
    <n v="15"/>
    <n v="72"/>
    <n v="122"/>
    <x v="0"/>
    <x v="1"/>
    <x v="3"/>
    <n v="1830"/>
    <n v="8784"/>
    <n v="5856"/>
    <n v="8784"/>
  </r>
  <r>
    <s v="MARELLE"/>
    <n v="9"/>
    <n v="48"/>
    <n v="122"/>
    <x v="0"/>
    <x v="1"/>
    <x v="3"/>
    <n v="1098"/>
    <n v="5856"/>
    <n v="2928"/>
    <n v="5856"/>
  </r>
  <r>
    <s v="FASHION VIEWS"/>
    <n v="18.5"/>
    <n v="88"/>
    <n v="100"/>
    <x v="0"/>
    <x v="1"/>
    <x v="3"/>
    <n v="1850"/>
    <n v="8800"/>
    <n v="6000"/>
    <n v="8800"/>
  </r>
  <r>
    <s v="LAURA MILLER"/>
    <n v="21"/>
    <n v="60"/>
    <n v="58"/>
    <x v="0"/>
    <x v="0"/>
    <x v="3"/>
    <n v="1218"/>
    <n v="3480"/>
    <n v="2088"/>
    <n v="3480"/>
  </r>
  <r>
    <s v="FASHION VIEWS"/>
    <n v="14"/>
    <n v="70"/>
    <n v="146"/>
    <x v="0"/>
    <x v="1"/>
    <x v="3"/>
    <n v="2044"/>
    <n v="10220"/>
    <n v="6132"/>
    <n v="10220"/>
  </r>
  <r>
    <s v="FASHION VIEWS"/>
    <n v="7.5"/>
    <n v="42"/>
    <n v="170"/>
    <x v="0"/>
    <x v="1"/>
    <x v="3"/>
    <n v="1275"/>
    <n v="7140"/>
    <n v="3060"/>
    <n v="7140"/>
  </r>
  <r>
    <s v="FASHION VIEWS"/>
    <n v="14"/>
    <n v="70"/>
    <n v="127"/>
    <x v="0"/>
    <x v="1"/>
    <x v="3"/>
    <n v="1778"/>
    <n v="8890"/>
    <n v="5334"/>
    <n v="8890"/>
  </r>
  <r>
    <s v="FASHION VIEWS"/>
    <n v="9.5"/>
    <n v="50"/>
    <n v="48"/>
    <x v="0"/>
    <x v="1"/>
    <x v="3"/>
    <n v="456"/>
    <n v="2400"/>
    <n v="1248"/>
    <n v="2400"/>
  </r>
  <r>
    <s v="FASHION VIEWS"/>
    <n v="14"/>
    <n v="70"/>
    <n v="66"/>
    <x v="0"/>
    <x v="1"/>
    <x v="3"/>
    <n v="924"/>
    <n v="4620"/>
    <n v="2772"/>
    <n v="4620"/>
  </r>
  <r>
    <s v="FASHION VIEWS"/>
    <n v="10.8"/>
    <n v="55.2"/>
    <n v="72"/>
    <x v="0"/>
    <x v="1"/>
    <x v="3"/>
    <n v="777.6"/>
    <n v="3974.4"/>
    <n v="2246.4"/>
    <n v="3974.4"/>
  </r>
  <r>
    <s v="MARELLE"/>
    <n v="11"/>
    <n v="56"/>
    <n v="62"/>
    <x v="0"/>
    <x v="1"/>
    <x v="3"/>
    <n v="682"/>
    <n v="3472"/>
    <n v="1984"/>
    <n v="3472"/>
  </r>
  <r>
    <s v="FASHION VIEWS"/>
    <n v="15.5"/>
    <n v="76"/>
    <n v="116"/>
    <x v="0"/>
    <x v="1"/>
    <x v="3"/>
    <n v="1798"/>
    <n v="8816"/>
    <n v="5568"/>
    <n v="8816"/>
  </r>
  <r>
    <s v="FASHION VIEWS"/>
    <n v="18"/>
    <n v="84"/>
    <n v="102"/>
    <x v="0"/>
    <x v="1"/>
    <x v="4"/>
    <n v="1836"/>
    <n v="8568"/>
    <n v="6120"/>
    <n v="8568"/>
  </r>
  <r>
    <s v="MARELLE"/>
    <n v="21.5"/>
    <n v="60"/>
    <n v="31"/>
    <x v="0"/>
    <x v="0"/>
    <x v="4"/>
    <n v="666.5"/>
    <n v="1860"/>
    <n v="1116"/>
    <n v="1860"/>
  </r>
  <r>
    <s v="MARELLE"/>
    <n v="21"/>
    <n v="60"/>
    <n v="31"/>
    <x v="0"/>
    <x v="0"/>
    <x v="4"/>
    <n v="651"/>
    <n v="1860"/>
    <n v="1116"/>
    <n v="1860"/>
  </r>
  <r>
    <s v="MARELLE"/>
    <n v="18.7"/>
    <n v="42.8"/>
    <n v="21"/>
    <x v="0"/>
    <x v="0"/>
    <x v="4"/>
    <n v="392.7"/>
    <n v="898.8"/>
    <n v="394.8"/>
    <n v="898.8"/>
  </r>
  <r>
    <s v="MARELLE"/>
    <n v="18.7"/>
    <n v="42.8"/>
    <n v="21"/>
    <x v="0"/>
    <x v="0"/>
    <x v="4"/>
    <n v="392.7"/>
    <n v="898.8"/>
    <n v="394.8"/>
    <n v="898.8"/>
  </r>
  <r>
    <s v="MARELLE"/>
    <n v="11"/>
    <n v="30"/>
    <n v="21"/>
    <x v="0"/>
    <x v="0"/>
    <x v="4"/>
    <n v="231"/>
    <n v="630"/>
    <n v="210"/>
    <n v="630"/>
  </r>
  <r>
    <s v="MARELLE"/>
    <n v="11"/>
    <n v="30"/>
    <n v="21"/>
    <x v="0"/>
    <x v="0"/>
    <x v="4"/>
    <n v="231"/>
    <n v="630"/>
    <n v="210"/>
    <n v="630"/>
  </r>
  <r>
    <s v="MARELLE"/>
    <n v="11"/>
    <n v="30"/>
    <n v="21"/>
    <x v="0"/>
    <x v="0"/>
    <x v="4"/>
    <n v="231"/>
    <n v="630"/>
    <n v="210"/>
    <n v="630"/>
  </r>
  <r>
    <s v="MARELLE"/>
    <n v="11"/>
    <n v="30"/>
    <n v="21"/>
    <x v="0"/>
    <x v="0"/>
    <x v="4"/>
    <n v="231"/>
    <n v="630"/>
    <n v="210"/>
    <n v="630"/>
  </r>
  <r>
    <s v="MARELLE"/>
    <n v="21"/>
    <n v="60"/>
    <n v="30"/>
    <x v="0"/>
    <x v="0"/>
    <x v="4"/>
    <n v="630"/>
    <n v="1800"/>
    <n v="1080"/>
    <n v="1800"/>
  </r>
  <r>
    <s v="MARELLE"/>
    <n v="21"/>
    <n v="60"/>
    <n v="30"/>
    <x v="0"/>
    <x v="0"/>
    <x v="4"/>
    <n v="630"/>
    <n v="1800"/>
    <n v="1080"/>
    <n v="1800"/>
  </r>
  <r>
    <s v="MARELLE"/>
    <n v="20"/>
    <n v="56"/>
    <n v="31"/>
    <x v="0"/>
    <x v="0"/>
    <x v="4"/>
    <n v="620"/>
    <n v="1736"/>
    <n v="992"/>
    <n v="1736"/>
  </r>
  <r>
    <s v="MARELLE"/>
    <n v="20"/>
    <n v="56"/>
    <n v="31"/>
    <x v="0"/>
    <x v="0"/>
    <x v="4"/>
    <n v="620"/>
    <n v="1736"/>
    <n v="992"/>
    <n v="1736"/>
  </r>
  <r>
    <s v="FASHION VIEWS"/>
    <n v="14"/>
    <n v="68"/>
    <n v="74"/>
    <x v="0"/>
    <x v="1"/>
    <x v="4"/>
    <n v="1036"/>
    <n v="5032"/>
    <n v="3256"/>
    <n v="5032"/>
  </r>
  <r>
    <s v="FASHION VIEWS"/>
    <n v="9"/>
    <n v="48"/>
    <n v="64"/>
    <x v="0"/>
    <x v="1"/>
    <x v="4"/>
    <n v="576"/>
    <n v="3072"/>
    <n v="1536"/>
    <n v="3072"/>
  </r>
  <r>
    <s v="MARELLE"/>
    <n v="38"/>
    <n v="52"/>
    <n v="52"/>
    <x v="0"/>
    <x v="1"/>
    <x v="4"/>
    <n v="1976"/>
    <n v="2704"/>
    <n v="1456"/>
    <n v="2704"/>
  </r>
  <r>
    <s v="MARELLE"/>
    <n v="38"/>
    <n v="52"/>
    <n v="52"/>
    <x v="0"/>
    <x v="1"/>
    <x v="4"/>
    <n v="1976"/>
    <n v="2704"/>
    <n v="1456"/>
    <n v="2704"/>
  </r>
  <r>
    <s v="FASHION VIEWS"/>
    <n v="15.5"/>
    <n v="76"/>
    <n v="109"/>
    <x v="0"/>
    <x v="1"/>
    <x v="4"/>
    <n v="1689.5"/>
    <n v="8284"/>
    <n v="5232"/>
    <n v="8284"/>
  </r>
  <r>
    <s v="FASHION VIEWS"/>
    <n v="14"/>
    <n v="70"/>
    <n v="104"/>
    <x v="0"/>
    <x v="1"/>
    <x v="4"/>
    <n v="1456"/>
    <n v="7280"/>
    <n v="4368"/>
    <n v="7280"/>
  </r>
  <r>
    <s v="KISSY KISSY"/>
    <n v="26"/>
    <n v="80"/>
    <n v="9"/>
    <x v="0"/>
    <x v="0"/>
    <x v="4"/>
    <n v="234"/>
    <n v="720"/>
    <n v="504"/>
    <n v="720"/>
  </r>
  <r>
    <s v="KISSY KISSY"/>
    <n v="22"/>
    <n v="64"/>
    <n v="9"/>
    <x v="0"/>
    <x v="0"/>
    <x v="4"/>
    <n v="198"/>
    <n v="576"/>
    <n v="360"/>
    <n v="576"/>
  </r>
  <r>
    <s v="KISSY KISSY"/>
    <n v="24"/>
    <n v="72"/>
    <n v="7"/>
    <x v="0"/>
    <x v="0"/>
    <x v="4"/>
    <n v="168"/>
    <n v="504"/>
    <n v="336"/>
    <n v="504"/>
  </r>
  <r>
    <s v="KISSY KISSY"/>
    <n v="31"/>
    <n v="100"/>
    <n v="7"/>
    <x v="0"/>
    <x v="0"/>
    <x v="4"/>
    <n v="217"/>
    <n v="700"/>
    <n v="532"/>
    <n v="700"/>
  </r>
  <r>
    <s v="KISSY KISSY"/>
    <n v="14"/>
    <n v="44"/>
    <n v="7"/>
    <x v="0"/>
    <x v="0"/>
    <x v="4"/>
    <n v="98"/>
    <n v="308"/>
    <n v="140"/>
    <n v="308"/>
  </r>
  <r>
    <s v="KISSY KISSY"/>
    <n v="9.5"/>
    <n v="32"/>
    <n v="7"/>
    <x v="0"/>
    <x v="0"/>
    <x v="4"/>
    <n v="66.5"/>
    <n v="224"/>
    <n v="84"/>
    <n v="224"/>
  </r>
  <r>
    <s v="KISSY KISSY"/>
    <n v="9.5"/>
    <n v="32"/>
    <n v="8"/>
    <x v="0"/>
    <x v="0"/>
    <x v="4"/>
    <n v="76"/>
    <n v="256"/>
    <n v="96"/>
    <n v="256"/>
  </r>
  <r>
    <s v="KISSY KISSY"/>
    <n v="25"/>
    <n v="76"/>
    <n v="9"/>
    <x v="0"/>
    <x v="0"/>
    <x v="4"/>
    <n v="225"/>
    <n v="684"/>
    <n v="468"/>
    <n v="684"/>
  </r>
  <r>
    <s v="KISSY KISSY"/>
    <n v="22"/>
    <n v="64"/>
    <n v="8"/>
    <x v="0"/>
    <x v="0"/>
    <x v="4"/>
    <n v="176"/>
    <n v="512"/>
    <n v="320"/>
    <n v="512"/>
  </r>
  <r>
    <s v="KISSY KISSY"/>
    <n v="22"/>
    <n v="64"/>
    <n v="7"/>
    <x v="0"/>
    <x v="0"/>
    <x v="4"/>
    <n v="154"/>
    <n v="448"/>
    <n v="280"/>
    <n v="448"/>
  </r>
  <r>
    <s v="KISSY KISSY"/>
    <n v="22"/>
    <n v="64"/>
    <n v="7"/>
    <x v="0"/>
    <x v="0"/>
    <x v="4"/>
    <n v="154"/>
    <n v="448"/>
    <n v="280"/>
    <n v="448"/>
  </r>
  <r>
    <s v="KISSY KISSY"/>
    <n v="14"/>
    <n v="44"/>
    <n v="7"/>
    <x v="0"/>
    <x v="0"/>
    <x v="4"/>
    <n v="98"/>
    <n v="308"/>
    <n v="140"/>
    <n v="308"/>
  </r>
  <r>
    <s v="KISSY KISSY"/>
    <n v="9.5"/>
    <n v="32"/>
    <n v="7"/>
    <x v="0"/>
    <x v="0"/>
    <x v="4"/>
    <n v="66.5"/>
    <n v="224"/>
    <n v="84"/>
    <n v="224"/>
  </r>
  <r>
    <s v="KISSY KISSY"/>
    <n v="9.5"/>
    <n v="32"/>
    <n v="8"/>
    <x v="0"/>
    <x v="0"/>
    <x v="4"/>
    <n v="76"/>
    <n v="256"/>
    <n v="96"/>
    <n v="256"/>
  </r>
  <r>
    <s v="KISSY KISSY"/>
    <n v="12.8"/>
    <n v="42.4"/>
    <n v="7"/>
    <x v="0"/>
    <x v="0"/>
    <x v="4"/>
    <n v="89.600000000000009"/>
    <n v="296.8"/>
    <n v="140"/>
    <n v="296.8"/>
  </r>
  <r>
    <s v="MFC"/>
    <n v="9.5"/>
    <n v="50"/>
    <n v="128"/>
    <x v="0"/>
    <x v="1"/>
    <x v="4"/>
    <n v="1216"/>
    <n v="6400"/>
    <n v="3328"/>
    <n v="6400"/>
  </r>
  <r>
    <s v="MFC"/>
    <n v="9.5"/>
    <n v="50"/>
    <n v="132"/>
    <x v="0"/>
    <x v="1"/>
    <x v="4"/>
    <n v="1254"/>
    <n v="6600"/>
    <n v="3432"/>
    <n v="6600"/>
  </r>
  <r>
    <s v="MFC"/>
    <n v="10"/>
    <n v="54"/>
    <n v="9"/>
    <x v="0"/>
    <x v="1"/>
    <x v="4"/>
    <n v="90"/>
    <n v="486"/>
    <n v="234"/>
    <n v="486"/>
  </r>
  <r>
    <s v="MFC"/>
    <n v="10"/>
    <n v="54"/>
    <n v="6"/>
    <x v="0"/>
    <x v="1"/>
    <x v="4"/>
    <n v="60"/>
    <n v="324"/>
    <n v="156"/>
    <n v="324"/>
  </r>
  <r>
    <s v="MARELLE"/>
    <n v="11"/>
    <n v="58"/>
    <n v="132"/>
    <x v="0"/>
    <x v="1"/>
    <x v="4"/>
    <n v="1452"/>
    <n v="7656"/>
    <n v="3960"/>
    <n v="7656"/>
  </r>
  <r>
    <s v="KISSY KISSY"/>
    <n v="11.3"/>
    <n v="22"/>
    <n v="25"/>
    <x v="0"/>
    <x v="0"/>
    <x v="5"/>
    <n v="282.5"/>
    <n v="550"/>
    <n v="250"/>
    <n v="550"/>
  </r>
  <r>
    <s v="KISSY KISSY"/>
    <n v="9.3000000000000007"/>
    <n v="22"/>
    <n v="86"/>
    <x v="0"/>
    <x v="0"/>
    <x v="5"/>
    <n v="799.80000000000007"/>
    <n v="1892"/>
    <n v="860"/>
    <n v="1892"/>
  </r>
  <r>
    <s v="KISSY KISSY"/>
    <n v="17.7"/>
    <n v="42.8"/>
    <n v="59"/>
    <x v="0"/>
    <x v="0"/>
    <x v="5"/>
    <n v="1044.3"/>
    <n v="2525.1999999999998"/>
    <n v="1109.2"/>
    <n v="2525.1999999999998"/>
  </r>
  <r>
    <s v="KISSY KISSY"/>
    <n v="28.5"/>
    <n v="60"/>
    <n v="93"/>
    <x v="0"/>
    <x v="0"/>
    <x v="5"/>
    <n v="2650.5"/>
    <n v="5580"/>
    <n v="3348"/>
    <n v="5580"/>
  </r>
  <r>
    <s v="KISSY KISSY"/>
    <n v="23"/>
    <n v="60"/>
    <n v="147"/>
    <x v="0"/>
    <x v="0"/>
    <x v="5"/>
    <n v="3381"/>
    <n v="8820"/>
    <n v="5292"/>
    <n v="8820"/>
  </r>
  <r>
    <s v="KISSY KISSY"/>
    <n v="29.5"/>
    <n v="64"/>
    <n v="45"/>
    <x v="0"/>
    <x v="0"/>
    <x v="5"/>
    <n v="1327.5"/>
    <n v="2880"/>
    <n v="1800"/>
    <n v="2880"/>
  </r>
  <r>
    <s v="KISSY KISSY"/>
    <n v="27.5"/>
    <n v="56"/>
    <n v="55"/>
    <x v="0"/>
    <x v="0"/>
    <x v="5"/>
    <n v="1512.5"/>
    <n v="3080"/>
    <n v="1760"/>
    <n v="3080"/>
  </r>
  <r>
    <s v="KISSY KISSY"/>
    <n v="11.3"/>
    <n v="22"/>
    <n v="25"/>
    <x v="0"/>
    <x v="0"/>
    <x v="5"/>
    <n v="282.5"/>
    <n v="550"/>
    <n v="250"/>
    <n v="550"/>
  </r>
  <r>
    <s v="KISSY KISSY"/>
    <n v="14.5"/>
    <n v="58"/>
    <n v="106"/>
    <x v="0"/>
    <x v="0"/>
    <x v="5"/>
    <n v="1537"/>
    <n v="6148"/>
    <n v="1060"/>
    <n v="6148"/>
  </r>
  <r>
    <s v="KISSY KISSY"/>
    <n v="19.7"/>
    <n v="42.8"/>
    <n v="81"/>
    <x v="0"/>
    <x v="0"/>
    <x v="5"/>
    <n v="1595.7"/>
    <n v="3466.7999999999997"/>
    <n v="1522.8"/>
    <n v="3466.7999999999997"/>
  </r>
  <r>
    <s v="KISSY KISSY"/>
    <n v="25"/>
    <n v="60"/>
    <n v="110"/>
    <x v="0"/>
    <x v="0"/>
    <x v="5"/>
    <n v="2750"/>
    <n v="6600"/>
    <n v="3960"/>
    <n v="6600"/>
  </r>
  <r>
    <s v="KISSY KISSY"/>
    <n v="30"/>
    <n v="58"/>
    <n v="82"/>
    <x v="0"/>
    <x v="0"/>
    <x v="5"/>
    <n v="2460"/>
    <n v="4756"/>
    <n v="2788"/>
    <n v="4756"/>
  </r>
  <r>
    <s v="KISSY KISSY"/>
    <n v="25"/>
    <n v="60"/>
    <n v="183"/>
    <x v="0"/>
    <x v="0"/>
    <x v="5"/>
    <n v="4575"/>
    <n v="10980"/>
    <n v="6588"/>
    <n v="10980"/>
  </r>
  <r>
    <s v="KISSY KISSY"/>
    <n v="30.5"/>
    <n v="60"/>
    <n v="84"/>
    <x v="0"/>
    <x v="0"/>
    <x v="5"/>
    <n v="2562"/>
    <n v="5040"/>
    <n v="3024"/>
    <n v="5040"/>
  </r>
  <r>
    <s v="KISSY KISSY"/>
    <n v="39.700000000000003"/>
    <n v="73.599999999999994"/>
    <n v="75"/>
    <x v="0"/>
    <x v="0"/>
    <x v="5"/>
    <n v="2977.5"/>
    <n v="5520"/>
    <n v="3600"/>
    <n v="5520"/>
  </r>
  <r>
    <s v="FASHION VIEWS"/>
    <n v="10.5"/>
    <n v="56"/>
    <n v="62"/>
    <x v="0"/>
    <x v="1"/>
    <x v="6"/>
    <n v="651"/>
    <n v="3472"/>
    <n v="1736"/>
    <n v="3472"/>
  </r>
  <r>
    <s v="FASHION VIEWS"/>
    <n v="7.5"/>
    <n v="42"/>
    <n v="16"/>
    <x v="0"/>
    <x v="1"/>
    <x v="6"/>
    <n v="120"/>
    <n v="672"/>
    <n v="288"/>
    <n v="672"/>
  </r>
  <r>
    <s v="FASHION VIEWS"/>
    <n v="14"/>
    <n v="68"/>
    <n v="17"/>
    <x v="0"/>
    <x v="1"/>
    <x v="6"/>
    <n v="238"/>
    <n v="1156"/>
    <n v="748"/>
    <n v="1156"/>
  </r>
  <r>
    <s v="FASHION VIEWS"/>
    <n v="14"/>
    <n v="48"/>
    <n v="46"/>
    <x v="0"/>
    <x v="1"/>
    <x v="6"/>
    <n v="644"/>
    <n v="2208"/>
    <n v="1104"/>
    <n v="2208"/>
  </r>
  <r>
    <s v="FASHION VIEWS"/>
    <n v="7.5"/>
    <n v="42"/>
    <n v="25"/>
    <x v="0"/>
    <x v="1"/>
    <x v="6"/>
    <n v="187.5"/>
    <n v="1050"/>
    <n v="450"/>
    <n v="1050"/>
  </r>
  <r>
    <s v="FASHION VIEWS"/>
    <n v="19"/>
    <n v="52"/>
    <n v="72"/>
    <x v="0"/>
    <x v="1"/>
    <x v="6"/>
    <n v="1368"/>
    <n v="3744"/>
    <n v="2016"/>
    <n v="3744"/>
  </r>
  <r>
    <s v="FASHION VIEWS"/>
    <n v="8.8000000000000007"/>
    <n v="45.2"/>
    <n v="179"/>
    <x v="0"/>
    <x v="1"/>
    <x v="6"/>
    <n v="1575.2"/>
    <n v="8090.8"/>
    <n v="4510.8"/>
    <n v="8090.8"/>
  </r>
  <r>
    <s v="FASHION VIEWS"/>
    <n v="10"/>
    <n v="52"/>
    <n v="132"/>
    <x v="0"/>
    <x v="1"/>
    <x v="6"/>
    <n v="1320"/>
    <n v="6864"/>
    <n v="3696"/>
    <n v="6864"/>
  </r>
  <r>
    <s v="FASHION VIEWS"/>
    <n v="13.3"/>
    <n v="66.400000000000006"/>
    <n v="159"/>
    <x v="0"/>
    <x v="1"/>
    <x v="6"/>
    <n v="2114.7000000000003"/>
    <n v="10557.6"/>
    <n v="6360"/>
    <n v="10557.6"/>
  </r>
  <r>
    <s v="FASHION VIEWS"/>
    <n v="8"/>
    <n v="44"/>
    <n v="48"/>
    <x v="0"/>
    <x v="1"/>
    <x v="6"/>
    <n v="384"/>
    <n v="2112"/>
    <n v="960"/>
    <n v="2112"/>
  </r>
  <r>
    <s v="FASHION VIEWS"/>
    <n v="17"/>
    <n v="82"/>
    <n v="160"/>
    <x v="0"/>
    <x v="1"/>
    <x v="6"/>
    <n v="2720"/>
    <n v="13120"/>
    <n v="8640"/>
    <n v="13120"/>
  </r>
  <r>
    <s v="FASHION VIEWS"/>
    <n v="10"/>
    <n v="52"/>
    <n v="137"/>
    <x v="0"/>
    <x v="1"/>
    <x v="6"/>
    <n v="1370"/>
    <n v="7124"/>
    <n v="3836"/>
    <n v="7124"/>
  </r>
  <r>
    <s v="FASHION VIEWS"/>
    <n v="15"/>
    <n v="74"/>
    <n v="125"/>
    <x v="0"/>
    <x v="1"/>
    <x v="6"/>
    <n v="1875"/>
    <n v="9250"/>
    <n v="5750"/>
    <n v="9250"/>
  </r>
  <r>
    <s v="FASHION VIEWS"/>
    <n v="13.3"/>
    <n v="65.2"/>
    <n v="74"/>
    <x v="0"/>
    <x v="1"/>
    <x v="6"/>
    <n v="984.2"/>
    <n v="4824.8"/>
    <n v="3048.8"/>
    <n v="4824.8"/>
  </r>
  <r>
    <s v="FASHION VIEWS"/>
    <n v="106"/>
    <n v="436"/>
    <n v="18"/>
    <x v="0"/>
    <x v="1"/>
    <x v="6"/>
    <n v="1908"/>
    <n v="7848"/>
    <n v="7416"/>
    <n v="7848"/>
  </r>
  <r>
    <s v="FASHION VIEWS"/>
    <n v="16.5"/>
    <n v="46"/>
    <n v="29"/>
    <x v="0"/>
    <x v="1"/>
    <x v="7"/>
    <n v="478.5"/>
    <n v="1334"/>
    <n v="638"/>
    <n v="1334"/>
  </r>
  <r>
    <s v="FASHION VIEWS"/>
    <n v="9"/>
    <n v="48"/>
    <n v="52"/>
    <x v="0"/>
    <x v="1"/>
    <x v="7"/>
    <n v="468"/>
    <n v="2496"/>
    <n v="1248"/>
    <n v="2496"/>
  </r>
  <r>
    <s v="FASHION VIEWS"/>
    <n v="9.4"/>
    <n v="49.6"/>
    <n v="74"/>
    <x v="0"/>
    <x v="1"/>
    <x v="7"/>
    <n v="695.6"/>
    <n v="3670.4"/>
    <n v="1894.4"/>
    <n v="3670.4"/>
  </r>
  <r>
    <s v="FASHION VIEWS"/>
    <n v="42.5"/>
    <n v="54"/>
    <n v="26"/>
    <x v="0"/>
    <x v="1"/>
    <x v="7"/>
    <n v="1105"/>
    <n v="1404"/>
    <n v="780"/>
    <n v="1404"/>
  </r>
  <r>
    <s v="FASHION VIEWS"/>
    <n v="16"/>
    <n v="76"/>
    <n v="139"/>
    <x v="0"/>
    <x v="1"/>
    <x v="7"/>
    <n v="2224"/>
    <n v="10564"/>
    <n v="7228"/>
    <n v="10564"/>
  </r>
  <r>
    <s v="FASHION VIEWS"/>
    <n v="15.5"/>
    <n v="74"/>
    <n v="206"/>
    <x v="0"/>
    <x v="1"/>
    <x v="7"/>
    <n v="3193"/>
    <n v="15244"/>
    <n v="10300"/>
    <n v="15244"/>
  </r>
  <r>
    <s v="FASHION VIEWS"/>
    <n v="18"/>
    <n v="84"/>
    <n v="88"/>
    <x v="0"/>
    <x v="1"/>
    <x v="7"/>
    <n v="1584"/>
    <n v="7392"/>
    <n v="5280"/>
    <n v="7392"/>
  </r>
  <r>
    <s v="FASHION VIEWS"/>
    <n v="12.5"/>
    <n v="64"/>
    <n v="103"/>
    <x v="0"/>
    <x v="1"/>
    <x v="7"/>
    <n v="1287.5"/>
    <n v="6592"/>
    <n v="3708"/>
    <n v="6592"/>
  </r>
  <r>
    <s v="MARELLE"/>
    <n v="16"/>
    <n v="76"/>
    <n v="92"/>
    <x v="0"/>
    <x v="1"/>
    <x v="7"/>
    <n v="1472"/>
    <n v="6992"/>
    <n v="4784"/>
    <n v="6992"/>
  </r>
  <r>
    <s v="MARELLE"/>
    <n v="15.5"/>
    <n v="76"/>
    <n v="120"/>
    <x v="0"/>
    <x v="1"/>
    <x v="7"/>
    <n v="1860"/>
    <n v="9120"/>
    <n v="5760"/>
    <n v="9120"/>
  </r>
  <r>
    <s v="MARELLE"/>
    <n v="10.5"/>
    <n v="54"/>
    <n v="69"/>
    <x v="0"/>
    <x v="1"/>
    <x v="7"/>
    <n v="724.5"/>
    <n v="3726"/>
    <n v="2070"/>
    <n v="3726"/>
  </r>
  <r>
    <s v="MARELLE"/>
    <n v="12"/>
    <n v="62"/>
    <n v="112"/>
    <x v="0"/>
    <x v="1"/>
    <x v="7"/>
    <n v="1344"/>
    <n v="6944"/>
    <n v="3808"/>
    <n v="6944"/>
  </r>
  <r>
    <s v="MARELLE"/>
    <n v="9.5"/>
    <n v="50"/>
    <n v="102"/>
    <x v="0"/>
    <x v="1"/>
    <x v="7"/>
    <n v="969"/>
    <n v="5100"/>
    <n v="2652"/>
    <n v="5100"/>
  </r>
  <r>
    <s v="MARELLE"/>
    <n v="11"/>
    <n v="58"/>
    <n v="138"/>
    <x v="0"/>
    <x v="1"/>
    <x v="7"/>
    <n v="1518"/>
    <n v="8004"/>
    <n v="4140"/>
    <n v="8004"/>
  </r>
  <r>
    <s v="MARELLE"/>
    <n v="16"/>
    <n v="76"/>
    <n v="31"/>
    <x v="0"/>
    <x v="1"/>
    <x v="7"/>
    <n v="496"/>
    <n v="2356"/>
    <n v="1612"/>
    <n v="2356"/>
  </r>
  <r>
    <s v="MARELLE"/>
    <n v="9"/>
    <n v="48"/>
    <n v="42"/>
    <x v="0"/>
    <x v="1"/>
    <x v="7"/>
    <n v="378"/>
    <n v="2016"/>
    <n v="1008"/>
    <n v="2016"/>
  </r>
  <r>
    <s v="FASHION VIEWS"/>
    <n v="11.7"/>
    <n v="55.6"/>
    <n v="0"/>
    <x v="0"/>
    <x v="1"/>
    <x v="8"/>
    <n v="0"/>
    <n v="0"/>
    <n v="0"/>
    <n v="0"/>
  </r>
  <r>
    <s v="FASHION VIEWS"/>
    <n v="12.5"/>
    <n v="60"/>
    <n v="0"/>
    <x v="0"/>
    <x v="1"/>
    <x v="8"/>
    <n v="0"/>
    <n v="0"/>
    <n v="0"/>
    <n v="0"/>
  </r>
  <r>
    <s v="FASHION VIEWS"/>
    <n v="6"/>
    <n v="32"/>
    <n v="0"/>
    <x v="0"/>
    <x v="1"/>
    <x v="8"/>
    <n v="0"/>
    <n v="0"/>
    <n v="0"/>
    <n v="0"/>
  </r>
  <r>
    <s v="FASHION VIEWS"/>
    <n v="10"/>
    <n v="52"/>
    <n v="106"/>
    <x v="0"/>
    <x v="1"/>
    <x v="8"/>
    <n v="1060"/>
    <n v="5512"/>
    <n v="2968"/>
    <n v="5512"/>
  </r>
  <r>
    <s v="BABY BOX"/>
    <n v="21"/>
    <n v="60"/>
    <n v="60"/>
    <x v="0"/>
    <x v="0"/>
    <x v="8"/>
    <n v="1260"/>
    <n v="3600"/>
    <n v="2160"/>
    <n v="3600"/>
  </r>
  <r>
    <s v="BABY BOX"/>
    <n v="21.5"/>
    <n v="60"/>
    <n v="90"/>
    <x v="0"/>
    <x v="0"/>
    <x v="8"/>
    <n v="1935"/>
    <n v="5400"/>
    <n v="3240"/>
    <n v="5400"/>
  </r>
  <r>
    <s v="BABY BOX"/>
    <n v="57"/>
    <n v="204"/>
    <n v="72"/>
    <x v="0"/>
    <x v="0"/>
    <x v="8"/>
    <n v="4104"/>
    <n v="14688"/>
    <n v="12960"/>
    <n v="14688"/>
  </r>
  <r>
    <s v="BABY BOX"/>
    <n v="16.5"/>
    <n v="42"/>
    <n v="50"/>
    <x v="0"/>
    <x v="0"/>
    <x v="8"/>
    <n v="825"/>
    <n v="2100"/>
    <n v="900"/>
    <n v="2100"/>
  </r>
  <r>
    <s v="BABY BOX"/>
    <n v="17"/>
    <n v="44"/>
    <n v="60"/>
    <x v="0"/>
    <x v="0"/>
    <x v="8"/>
    <n v="1020"/>
    <n v="2640"/>
    <n v="1200"/>
    <n v="2640"/>
  </r>
  <r>
    <s v="BABY BOX"/>
    <n v="17"/>
    <n v="44"/>
    <n v="40"/>
    <x v="0"/>
    <x v="0"/>
    <x v="8"/>
    <n v="680"/>
    <n v="1760"/>
    <n v="800"/>
    <n v="1760"/>
  </r>
  <r>
    <s v="BABY BOX"/>
    <n v="11.5"/>
    <n v="38"/>
    <n v="30"/>
    <x v="0"/>
    <x v="0"/>
    <x v="8"/>
    <n v="345"/>
    <n v="1140"/>
    <n v="420"/>
    <n v="1140"/>
  </r>
  <r>
    <s v="BABY BOX"/>
    <n v="11.7"/>
    <n v="38.799999999999997"/>
    <n v="30"/>
    <x v="0"/>
    <x v="0"/>
    <x v="8"/>
    <n v="351"/>
    <n v="1164"/>
    <n v="444"/>
    <n v="1164"/>
  </r>
  <r>
    <s v="BABY BOX"/>
    <n v="21"/>
    <n v="56"/>
    <n v="65"/>
    <x v="0"/>
    <x v="0"/>
    <x v="8"/>
    <n v="1365"/>
    <n v="3640"/>
    <n v="2080"/>
    <n v="3640"/>
  </r>
  <r>
    <s v="FASHION VIEWS"/>
    <n v="15.5"/>
    <n v="78"/>
    <n v="65"/>
    <x v="0"/>
    <x v="1"/>
    <x v="8"/>
    <n v="1007.5"/>
    <n v="5070"/>
    <n v="2990"/>
    <n v="5070"/>
  </r>
  <r>
    <s v="FASHION VIEWS"/>
    <n v="13.5"/>
    <n v="64"/>
    <n v="36"/>
    <x v="0"/>
    <x v="1"/>
    <x v="8"/>
    <n v="486"/>
    <n v="2304"/>
    <n v="1584"/>
    <n v="2304"/>
  </r>
  <r>
    <s v="CAPRILINA"/>
    <n v="13.4"/>
    <n v="36.4"/>
    <n v="20"/>
    <x v="0"/>
    <x v="0"/>
    <x v="8"/>
    <n v="268"/>
    <n v="728"/>
    <n v="440"/>
    <n v="728"/>
  </r>
  <r>
    <s v="CAPRILINA"/>
    <n v="13.9"/>
    <n v="38.4"/>
    <n v="20"/>
    <x v="0"/>
    <x v="0"/>
    <x v="8"/>
    <n v="278"/>
    <n v="768"/>
    <n v="480"/>
    <n v="768"/>
  </r>
  <r>
    <s v="CAPRILINA"/>
    <n v="13.700000000000001"/>
    <n v="34.4"/>
    <n v="20"/>
    <x v="0"/>
    <x v="0"/>
    <x v="8"/>
    <n v="274"/>
    <n v="688"/>
    <n v="400"/>
    <n v="688"/>
  </r>
  <r>
    <s v="CAPRILINA"/>
    <n v="14.3"/>
    <n v="32.4"/>
    <n v="21"/>
    <x v="0"/>
    <x v="0"/>
    <x v="8"/>
    <n v="300.3"/>
    <n v="680.4"/>
    <n v="378"/>
    <n v="680.4"/>
  </r>
  <r>
    <s v="CAPRILINA"/>
    <n v="91.3"/>
    <n v="32.4"/>
    <n v="21"/>
    <x v="0"/>
    <x v="0"/>
    <x v="8"/>
    <n v="1917.3"/>
    <n v="680.4"/>
    <n v="378"/>
    <n v="680.4"/>
  </r>
  <r>
    <s v="CAPRILINA"/>
    <n v="14.100000000000001"/>
    <n v="28.4"/>
    <n v="21"/>
    <x v="0"/>
    <x v="0"/>
    <x v="8"/>
    <n v="296.10000000000002"/>
    <n v="596.4"/>
    <n v="294"/>
    <n v="596.4"/>
  </r>
  <r>
    <s v="FASHION VIEWS"/>
    <n v="16.5"/>
    <n v="76"/>
    <n v="50"/>
    <x v="0"/>
    <x v="1"/>
    <x v="9"/>
    <n v="825"/>
    <n v="3800"/>
    <n v="2800"/>
    <n v="3800"/>
  </r>
  <r>
    <s v="FASHION VIEWS"/>
    <n v="14.5"/>
    <n v="70"/>
    <n v="210"/>
    <x v="0"/>
    <x v="1"/>
    <x v="9"/>
    <n v="3045"/>
    <n v="14700"/>
    <n v="9660"/>
    <n v="14700"/>
  </r>
  <r>
    <s v="LIVLY"/>
    <n v="16.5"/>
    <n v="68"/>
    <n v="40"/>
    <x v="0"/>
    <x v="1"/>
    <x v="9"/>
    <n v="660"/>
    <n v="2720"/>
    <n v="2080"/>
    <n v="2720"/>
  </r>
  <r>
    <s v="LIVLY"/>
    <n v="16.5"/>
    <n v="68"/>
    <n v="100"/>
    <x v="0"/>
    <x v="1"/>
    <x v="9"/>
    <n v="1650"/>
    <n v="6800"/>
    <n v="5200"/>
    <n v="6800"/>
  </r>
  <r>
    <s v="KISSY KISSY"/>
    <n v="27"/>
    <n v="84"/>
    <n v="7"/>
    <x v="0"/>
    <x v="0"/>
    <x v="9"/>
    <n v="189"/>
    <n v="588"/>
    <n v="420"/>
    <n v="588"/>
  </r>
  <r>
    <s v="KISSY KISSY"/>
    <n v="33"/>
    <n v="84"/>
    <n v="8"/>
    <x v="0"/>
    <x v="0"/>
    <x v="9"/>
    <n v="264"/>
    <n v="672"/>
    <n v="480"/>
    <n v="672"/>
  </r>
  <r>
    <s v="KISSY KISSY"/>
    <n v="27"/>
    <n v="72"/>
    <n v="7"/>
    <x v="0"/>
    <x v="0"/>
    <x v="9"/>
    <n v="189"/>
    <n v="504"/>
    <n v="336"/>
    <n v="504"/>
  </r>
  <r>
    <s v="KISSY KISSY"/>
    <n v="30"/>
    <n v="84"/>
    <n v="7"/>
    <x v="0"/>
    <x v="0"/>
    <x v="9"/>
    <n v="210"/>
    <n v="588"/>
    <n v="420"/>
    <n v="588"/>
  </r>
  <r>
    <s v="KISSY KISSY"/>
    <n v="30"/>
    <n v="84"/>
    <n v="7"/>
    <x v="0"/>
    <x v="0"/>
    <x v="9"/>
    <n v="210"/>
    <n v="588"/>
    <n v="420"/>
    <n v="588"/>
  </r>
  <r>
    <s v="KISSY KISSY"/>
    <n v="12"/>
    <n v="32"/>
    <n v="7"/>
    <x v="0"/>
    <x v="0"/>
    <x v="9"/>
    <n v="84"/>
    <n v="224"/>
    <n v="140"/>
    <n v="224"/>
  </r>
  <r>
    <s v="KISSY KISSY"/>
    <n v="12"/>
    <n v="32"/>
    <n v="15"/>
    <x v="0"/>
    <x v="0"/>
    <x v="9"/>
    <n v="180"/>
    <n v="480"/>
    <n v="300"/>
    <n v="480"/>
  </r>
  <r>
    <s v="KISSY KISSY"/>
    <n v="29"/>
    <n v="84"/>
    <n v="7"/>
    <x v="0"/>
    <x v="0"/>
    <x v="9"/>
    <n v="203"/>
    <n v="588"/>
    <n v="420"/>
    <n v="588"/>
  </r>
  <r>
    <s v="KISSY KISSY"/>
    <n v="29"/>
    <n v="84"/>
    <n v="7"/>
    <x v="0"/>
    <x v="0"/>
    <x v="9"/>
    <n v="203"/>
    <n v="588"/>
    <n v="420"/>
    <n v="588"/>
  </r>
  <r>
    <s v="KISSY KISSY"/>
    <n v="31"/>
    <n v="84"/>
    <n v="7"/>
    <x v="0"/>
    <x v="0"/>
    <x v="9"/>
    <n v="217"/>
    <n v="588"/>
    <n v="420"/>
    <n v="588"/>
  </r>
  <r>
    <s v="KISSY KISSY"/>
    <n v="26"/>
    <n v="72"/>
    <n v="7"/>
    <x v="0"/>
    <x v="0"/>
    <x v="9"/>
    <n v="182"/>
    <n v="504"/>
    <n v="336"/>
    <n v="504"/>
  </r>
  <r>
    <s v="KISSY KISSY"/>
    <n v="29"/>
    <n v="84"/>
    <n v="7"/>
    <x v="0"/>
    <x v="0"/>
    <x v="9"/>
    <n v="203"/>
    <n v="588"/>
    <n v="420"/>
    <n v="588"/>
  </r>
  <r>
    <s v="KISSY KISSY"/>
    <n v="29"/>
    <n v="84"/>
    <n v="7"/>
    <x v="0"/>
    <x v="0"/>
    <x v="9"/>
    <n v="203"/>
    <n v="588"/>
    <n v="420"/>
    <n v="588"/>
  </r>
  <r>
    <s v="KISSY KISSY"/>
    <n v="29"/>
    <n v="84"/>
    <n v="7"/>
    <x v="0"/>
    <x v="0"/>
    <x v="9"/>
    <n v="203"/>
    <n v="588"/>
    <n v="420"/>
    <n v="588"/>
  </r>
  <r>
    <s v="KISSY KISSY"/>
    <n v="13"/>
    <n v="40"/>
    <n v="14"/>
    <x v="0"/>
    <x v="0"/>
    <x v="9"/>
    <n v="182"/>
    <n v="560"/>
    <n v="280"/>
    <n v="560"/>
  </r>
  <r>
    <s v="MFC"/>
    <n v="8"/>
    <n v="44"/>
    <n v="30"/>
    <x v="0"/>
    <x v="1"/>
    <x v="9"/>
    <n v="240"/>
    <n v="1320"/>
    <n v="600"/>
    <n v="1320"/>
  </r>
  <r>
    <s v="MFC"/>
    <n v="10.199999999999999"/>
    <n v="52.8"/>
    <n v="60"/>
    <x v="0"/>
    <x v="1"/>
    <x v="9"/>
    <n v="612"/>
    <n v="3168"/>
    <n v="1728"/>
    <n v="3168"/>
  </r>
  <r>
    <s v="MFC"/>
    <n v="11.5"/>
    <n v="60"/>
    <n v="42"/>
    <x v="0"/>
    <x v="1"/>
    <x v="9"/>
    <n v="483"/>
    <n v="2520"/>
    <n v="1344"/>
    <n v="2520"/>
  </r>
  <r>
    <s v="FASHION VIEWS"/>
    <n v="13"/>
    <n v="64"/>
    <n v="106"/>
    <x v="1"/>
    <x v="1"/>
    <x v="0"/>
    <n v="1378"/>
    <n v="6784"/>
    <n v="4240"/>
    <n v="6784"/>
  </r>
  <r>
    <s v="FASHION VIEWS"/>
    <n v="46"/>
    <n v="68"/>
    <n v="90"/>
    <x v="1"/>
    <x v="1"/>
    <x v="0"/>
    <n v="4140"/>
    <n v="6120"/>
    <n v="3960"/>
    <n v="6120"/>
  </r>
  <r>
    <s v="KISSY KISSY"/>
    <n v="9.5"/>
    <n v="22"/>
    <n v="108"/>
    <x v="1"/>
    <x v="0"/>
    <x v="0"/>
    <n v="1026"/>
    <n v="2376"/>
    <n v="1080"/>
    <n v="2376"/>
  </r>
  <r>
    <s v="KISSY KISSY"/>
    <n v="9.5"/>
    <n v="22"/>
    <n v="170"/>
    <x v="1"/>
    <x v="0"/>
    <x v="0"/>
    <n v="1615"/>
    <n v="3740"/>
    <n v="1700"/>
    <n v="3740"/>
  </r>
  <r>
    <s v="KISSY KISSY"/>
    <n v="11"/>
    <n v="28"/>
    <n v="152"/>
    <x v="1"/>
    <x v="0"/>
    <x v="0"/>
    <n v="1672"/>
    <n v="4256"/>
    <n v="2432"/>
    <n v="4256"/>
  </r>
  <r>
    <s v="KISSY KISSY"/>
    <n v="13.7"/>
    <n v="42.8"/>
    <n v="138"/>
    <x v="1"/>
    <x v="0"/>
    <x v="0"/>
    <n v="1890.6"/>
    <n v="5906.4"/>
    <n v="2594.4"/>
    <n v="5906.4"/>
  </r>
  <r>
    <s v="KISSY KISSY"/>
    <n v="21.5"/>
    <n v="64"/>
    <n v="212"/>
    <x v="1"/>
    <x v="0"/>
    <x v="0"/>
    <n v="4558"/>
    <n v="13568"/>
    <n v="8480"/>
    <n v="13568"/>
  </r>
  <r>
    <s v="KISSY KISSY"/>
    <n v="21.2"/>
    <n v="64"/>
    <n v="220"/>
    <x v="1"/>
    <x v="0"/>
    <x v="0"/>
    <n v="4664"/>
    <n v="14080"/>
    <n v="8800"/>
    <n v="14080"/>
  </r>
  <r>
    <s v="KISSY KISSY"/>
    <n v="20.2"/>
    <n v="60"/>
    <n v="204"/>
    <x v="1"/>
    <x v="0"/>
    <x v="0"/>
    <n v="4120.8"/>
    <n v="12240"/>
    <n v="7344"/>
    <n v="12240"/>
  </r>
  <r>
    <s v="KISSY KISSY"/>
    <n v="28"/>
    <n v="60"/>
    <n v="189"/>
    <x v="1"/>
    <x v="0"/>
    <x v="0"/>
    <n v="5292"/>
    <n v="11340"/>
    <n v="6804"/>
    <n v="11340"/>
  </r>
  <r>
    <s v="KISSY KISSY"/>
    <n v="20.2"/>
    <n v="60"/>
    <n v="224"/>
    <x v="1"/>
    <x v="0"/>
    <x v="0"/>
    <n v="4524.8"/>
    <n v="13440"/>
    <n v="8064"/>
    <n v="13440"/>
  </r>
  <r>
    <s v="KISSY KISSY"/>
    <n v="27.5"/>
    <n v="58"/>
    <n v="189"/>
    <x v="1"/>
    <x v="0"/>
    <x v="0"/>
    <n v="5197.5"/>
    <n v="10962"/>
    <n v="6426"/>
    <n v="10962"/>
  </r>
  <r>
    <s v="KISSY KISSY"/>
    <n v="20"/>
    <n v="58"/>
    <n v="115"/>
    <x v="1"/>
    <x v="0"/>
    <x v="0"/>
    <n v="2300"/>
    <n v="6670"/>
    <n v="3910"/>
    <n v="6670"/>
  </r>
  <r>
    <s v="KISSY KISSY"/>
    <n v="19.7"/>
    <n v="58"/>
    <n v="174"/>
    <x v="1"/>
    <x v="0"/>
    <x v="0"/>
    <n v="3427.7999999999997"/>
    <n v="10092"/>
    <n v="5916"/>
    <n v="10092"/>
  </r>
  <r>
    <s v="BAMBOLA"/>
    <n v="21.5"/>
    <n v="64"/>
    <n v="102"/>
    <x v="1"/>
    <x v="0"/>
    <x v="0"/>
    <n v="2193"/>
    <n v="6528"/>
    <n v="4080"/>
    <n v="6528"/>
  </r>
  <r>
    <s v="BAMBOLA"/>
    <n v="26"/>
    <n v="64"/>
    <n v="78"/>
    <x v="1"/>
    <x v="0"/>
    <x v="0"/>
    <n v="2028"/>
    <n v="4992"/>
    <n v="3120"/>
    <n v="4992"/>
  </r>
  <r>
    <s v="BAMBOLA"/>
    <n v="26"/>
    <n v="64"/>
    <n v="12"/>
    <x v="1"/>
    <x v="0"/>
    <x v="0"/>
    <n v="312"/>
    <n v="768"/>
    <n v="480"/>
    <n v="768"/>
  </r>
  <r>
    <s v="BAMBOLA"/>
    <n v="9.5"/>
    <n v="22"/>
    <n v="12"/>
    <x v="1"/>
    <x v="0"/>
    <x v="0"/>
    <n v="114"/>
    <n v="264"/>
    <n v="120"/>
    <n v="264"/>
  </r>
  <r>
    <s v="BAMBOLA"/>
    <n v="22"/>
    <n v="60"/>
    <n v="20"/>
    <x v="1"/>
    <x v="0"/>
    <x v="0"/>
    <n v="440"/>
    <n v="1200"/>
    <n v="720"/>
    <n v="1200"/>
  </r>
  <r>
    <s v="KISSY KISSY"/>
    <n v="9.5"/>
    <n v="22"/>
    <n v="70"/>
    <x v="1"/>
    <x v="0"/>
    <x v="0"/>
    <n v="665"/>
    <n v="1540"/>
    <n v="700"/>
    <n v="1540"/>
  </r>
  <r>
    <s v="KISSY KISSY"/>
    <n v="9.5"/>
    <n v="22"/>
    <n v="140"/>
    <x v="1"/>
    <x v="0"/>
    <x v="0"/>
    <n v="1330"/>
    <n v="3080"/>
    <n v="1400"/>
    <n v="3080"/>
  </r>
  <r>
    <s v="KISSY KISSY"/>
    <n v="11"/>
    <n v="26"/>
    <n v="78"/>
    <x v="1"/>
    <x v="0"/>
    <x v="0"/>
    <n v="858"/>
    <n v="2028"/>
    <n v="780"/>
    <n v="2028"/>
  </r>
  <r>
    <s v="KISSY KISSY"/>
    <n v="20"/>
    <n v="52"/>
    <n v="232"/>
    <x v="1"/>
    <x v="0"/>
    <x v="0"/>
    <n v="4640"/>
    <n v="12064"/>
    <n v="8352"/>
    <n v="12064"/>
  </r>
  <r>
    <s v="KISSY KISSY"/>
    <n v="20"/>
    <n v="52"/>
    <n v="140"/>
    <x v="1"/>
    <x v="0"/>
    <x v="0"/>
    <n v="2800"/>
    <n v="7280"/>
    <n v="5040"/>
    <n v="7280"/>
  </r>
  <r>
    <s v="KISSY KISSY"/>
    <n v="20"/>
    <n v="52"/>
    <n v="82"/>
    <x v="1"/>
    <x v="0"/>
    <x v="0"/>
    <n v="1640"/>
    <n v="4264"/>
    <n v="2952"/>
    <n v="4264"/>
  </r>
  <r>
    <s v="KISSY KISSY"/>
    <n v="20"/>
    <n v="52"/>
    <n v="92"/>
    <x v="1"/>
    <x v="0"/>
    <x v="0"/>
    <n v="1840"/>
    <n v="4784"/>
    <n v="3312"/>
    <n v="4784"/>
  </r>
  <r>
    <s v="KISSY KISSY"/>
    <n v="20"/>
    <n v="52"/>
    <n v="110"/>
    <x v="1"/>
    <x v="0"/>
    <x v="0"/>
    <n v="2200"/>
    <n v="5720"/>
    <n v="3960"/>
    <n v="5720"/>
  </r>
  <r>
    <s v="KISSY KISSY"/>
    <n v="18"/>
    <n v="44"/>
    <n v="144"/>
    <x v="1"/>
    <x v="0"/>
    <x v="0"/>
    <n v="2592"/>
    <n v="6336"/>
    <n v="4032"/>
    <n v="6336"/>
  </r>
  <r>
    <s v="MARELLE"/>
    <n v="25.2"/>
    <n v="49.6"/>
    <n v="89"/>
    <x v="1"/>
    <x v="1"/>
    <x v="0"/>
    <n v="2242.7999999999997"/>
    <n v="4414.4000000000005"/>
    <n v="2848"/>
    <n v="4414.4000000000005"/>
  </r>
  <r>
    <s v="MARELLE"/>
    <n v="24.8"/>
    <n v="46.4"/>
    <n v="86"/>
    <x v="1"/>
    <x v="1"/>
    <x v="0"/>
    <n v="2132.8000000000002"/>
    <n v="3990.4"/>
    <n v="2752"/>
    <n v="3990.4"/>
  </r>
  <r>
    <s v="MARELLE"/>
    <n v="21.9"/>
    <n v="47.2"/>
    <n v="46"/>
    <x v="1"/>
    <x v="1"/>
    <x v="0"/>
    <n v="1007.4"/>
    <n v="2171.2000000000003"/>
    <n v="1472"/>
    <n v="2171.2000000000003"/>
  </r>
  <r>
    <s v="MARELLE"/>
    <n v="10.5"/>
    <n v="54"/>
    <n v="210"/>
    <x v="1"/>
    <x v="1"/>
    <x v="0"/>
    <n v="2205"/>
    <n v="11340"/>
    <n v="6300"/>
    <n v="11340"/>
  </r>
  <r>
    <s v="MARELLE"/>
    <n v="16.5"/>
    <n v="92"/>
    <n v="210"/>
    <x v="1"/>
    <x v="1"/>
    <x v="0"/>
    <n v="3465"/>
    <n v="19320"/>
    <n v="8400"/>
    <n v="19320"/>
  </r>
  <r>
    <s v="MARELLE"/>
    <n v="15.8"/>
    <n v="74.400000000000006"/>
    <n v="90"/>
    <x v="1"/>
    <x v="1"/>
    <x v="0"/>
    <n v="1422"/>
    <n v="6696.0000000000009"/>
    <n v="4680"/>
    <n v="6696.0000000000009"/>
  </r>
  <r>
    <s v="FASHION VIEWS"/>
    <n v="13.3"/>
    <n v="64.400000000000006"/>
    <n v="72"/>
    <x v="1"/>
    <x v="1"/>
    <x v="0"/>
    <n v="957.6"/>
    <n v="4636.8"/>
    <n v="3024"/>
    <n v="4636.8"/>
  </r>
  <r>
    <s v="FASHION VIEWS"/>
    <n v="12"/>
    <n v="56"/>
    <n v="112"/>
    <x v="1"/>
    <x v="1"/>
    <x v="0"/>
    <n v="1344"/>
    <n v="6272"/>
    <n v="4480"/>
    <n v="6272"/>
  </r>
  <r>
    <s v="MARELLE"/>
    <n v="11"/>
    <n v="58"/>
    <n v="81"/>
    <x v="1"/>
    <x v="1"/>
    <x v="0"/>
    <n v="891"/>
    <n v="4698"/>
    <n v="2430"/>
    <n v="4698"/>
  </r>
  <r>
    <s v="MARELLE"/>
    <n v="14.3"/>
    <n v="45.2"/>
    <n v="80"/>
    <x v="1"/>
    <x v="1"/>
    <x v="0"/>
    <n v="1144"/>
    <n v="3616"/>
    <n v="2016"/>
    <n v="3616"/>
  </r>
  <r>
    <s v="MARELLE"/>
    <n v="6.8"/>
    <n v="34.4"/>
    <n v="80"/>
    <x v="1"/>
    <x v="1"/>
    <x v="0"/>
    <n v="544"/>
    <n v="2752"/>
    <n v="1600"/>
    <n v="2752"/>
  </r>
  <r>
    <s v="MARELLE"/>
    <n v="13.8"/>
    <n v="66.400000000000006"/>
    <n v="45"/>
    <x v="1"/>
    <x v="1"/>
    <x v="0"/>
    <n v="621"/>
    <n v="2988.0000000000005"/>
    <n v="1980"/>
    <n v="2988.0000000000005"/>
  </r>
  <r>
    <s v="MARELLE"/>
    <n v="10.6"/>
    <n v="53.6"/>
    <n v="91"/>
    <x v="1"/>
    <x v="1"/>
    <x v="0"/>
    <n v="964.6"/>
    <n v="4877.6000000000004"/>
    <n v="2839.2"/>
    <n v="4877.6000000000004"/>
  </r>
  <r>
    <s v="KISSY KISSY"/>
    <n v="9.5"/>
    <n v="22"/>
    <n v="90"/>
    <x v="1"/>
    <x v="0"/>
    <x v="1"/>
    <n v="855"/>
    <n v="1980"/>
    <n v="900"/>
    <n v="1980"/>
  </r>
  <r>
    <s v="KISSY KISSY"/>
    <n v="9.5"/>
    <n v="22"/>
    <n v="142"/>
    <x v="1"/>
    <x v="0"/>
    <x v="1"/>
    <n v="1349"/>
    <n v="3124"/>
    <n v="1420"/>
    <n v="3124"/>
  </r>
  <r>
    <s v="KISSY KISSY"/>
    <n v="15.7"/>
    <n v="42.8"/>
    <n v="46"/>
    <x v="1"/>
    <x v="0"/>
    <x v="1"/>
    <n v="722.19999999999993"/>
    <n v="1968.8"/>
    <n v="864.80000000000007"/>
    <n v="1968.8"/>
  </r>
  <r>
    <s v="KISSY KISSY"/>
    <n v="21"/>
    <n v="60"/>
    <n v="310"/>
    <x v="1"/>
    <x v="0"/>
    <x v="1"/>
    <n v="6510"/>
    <n v="18600"/>
    <n v="11160"/>
    <n v="18600"/>
  </r>
  <r>
    <s v="KISSY KISSY"/>
    <n v="21"/>
    <n v="60"/>
    <n v="88"/>
    <x v="1"/>
    <x v="0"/>
    <x v="1"/>
    <n v="1848"/>
    <n v="5280"/>
    <n v="3168"/>
    <n v="5280"/>
  </r>
  <r>
    <s v="KISSY KISSY"/>
    <n v="21.5"/>
    <n v="62"/>
    <n v="226"/>
    <x v="1"/>
    <x v="0"/>
    <x v="1"/>
    <n v="4859"/>
    <n v="14012"/>
    <n v="8588"/>
    <n v="14012"/>
  </r>
  <r>
    <s v="KISSY KISSY"/>
    <n v="19"/>
    <n v="52"/>
    <n v="158"/>
    <x v="1"/>
    <x v="0"/>
    <x v="1"/>
    <n v="3002"/>
    <n v="8216"/>
    <n v="4424"/>
    <n v="8216"/>
  </r>
  <r>
    <s v="KISSY KISSY"/>
    <n v="8.5"/>
    <n v="22"/>
    <n v="90"/>
    <x v="1"/>
    <x v="0"/>
    <x v="1"/>
    <n v="765"/>
    <n v="1980"/>
    <n v="900"/>
    <n v="1980"/>
  </r>
  <r>
    <s v="KISSY KISSY"/>
    <n v="8"/>
    <n v="20"/>
    <n v="164"/>
    <x v="1"/>
    <x v="0"/>
    <x v="1"/>
    <n v="1312"/>
    <n v="3280"/>
    <n v="1312"/>
    <n v="3280"/>
  </r>
  <r>
    <s v="KISSY KISSY"/>
    <n v="11.3"/>
    <n v="30.4"/>
    <n v="96"/>
    <x v="1"/>
    <x v="0"/>
    <x v="1"/>
    <n v="1084.8000000000002"/>
    <n v="2918.3999999999996"/>
    <n v="1536"/>
    <n v="2918.3999999999996"/>
  </r>
  <r>
    <s v="KISSY KISSY"/>
    <n v="17.7"/>
    <n v="42.8"/>
    <n v="104"/>
    <x v="1"/>
    <x v="0"/>
    <x v="1"/>
    <n v="1840.8"/>
    <n v="4451.2"/>
    <n v="1955.2"/>
    <n v="4451.2"/>
  </r>
  <r>
    <s v="KISSY KISSY"/>
    <n v="23.5"/>
    <n v="66"/>
    <n v="301"/>
    <x v="1"/>
    <x v="0"/>
    <x v="1"/>
    <n v="7073.5"/>
    <n v="19866"/>
    <n v="12642"/>
    <n v="19866"/>
  </r>
  <r>
    <s v="KISSY KISSY"/>
    <n v="24"/>
    <n v="68"/>
    <n v="330"/>
    <x v="1"/>
    <x v="0"/>
    <x v="1"/>
    <n v="7920"/>
    <n v="22440"/>
    <n v="14520"/>
    <n v="22440"/>
  </r>
  <r>
    <s v="KISSY KISSY"/>
    <n v="22.3"/>
    <n v="61.2"/>
    <n v="134"/>
    <x v="1"/>
    <x v="0"/>
    <x v="1"/>
    <n v="2988.2000000000003"/>
    <n v="8200.8000000000011"/>
    <n v="4984.8"/>
    <n v="8200.8000000000011"/>
  </r>
  <r>
    <s v="KISSY KISSY"/>
    <n v="21.5"/>
    <n v="58"/>
    <n v="210"/>
    <x v="1"/>
    <x v="0"/>
    <x v="1"/>
    <n v="4515"/>
    <n v="12180"/>
    <n v="7140"/>
    <n v="12180"/>
  </r>
  <r>
    <s v="FASHION VIEWS"/>
    <n v="12.5"/>
    <n v="60"/>
    <n v="86"/>
    <x v="1"/>
    <x v="1"/>
    <x v="1"/>
    <n v="1075"/>
    <n v="5160"/>
    <n v="3440"/>
    <n v="5160"/>
  </r>
  <r>
    <s v="FASHION VIEWS"/>
    <n v="16"/>
    <n v="76"/>
    <n v="80"/>
    <x v="1"/>
    <x v="1"/>
    <x v="1"/>
    <n v="1280"/>
    <n v="6080"/>
    <n v="4160"/>
    <n v="6080"/>
  </r>
  <r>
    <s v="FASHION VIEWS"/>
    <n v="16"/>
    <n v="76"/>
    <n v="58"/>
    <x v="1"/>
    <x v="1"/>
    <x v="1"/>
    <n v="928"/>
    <n v="4408"/>
    <n v="3016"/>
    <n v="4408"/>
  </r>
  <r>
    <s v="FASHION VIEWS"/>
    <n v="10"/>
    <n v="52"/>
    <n v="74"/>
    <x v="1"/>
    <x v="1"/>
    <x v="1"/>
    <n v="740"/>
    <n v="3848"/>
    <n v="2072"/>
    <n v="3848"/>
  </r>
  <r>
    <s v="FASHION VIEWS"/>
    <n v="19.5"/>
    <n v="48"/>
    <n v="134"/>
    <x v="1"/>
    <x v="1"/>
    <x v="1"/>
    <n v="2613"/>
    <n v="6432"/>
    <n v="3752"/>
    <n v="6432"/>
  </r>
  <r>
    <s v="FASHION VIEWS"/>
    <n v="8.9"/>
    <n v="45.6"/>
    <n v="65"/>
    <x v="1"/>
    <x v="1"/>
    <x v="1"/>
    <n v="578.5"/>
    <n v="2964"/>
    <n v="1664"/>
    <n v="2964"/>
  </r>
  <r>
    <s v="FASHION VIEWS"/>
    <n v="6.5"/>
    <n v="34"/>
    <n v="128"/>
    <x v="1"/>
    <x v="1"/>
    <x v="1"/>
    <n v="832"/>
    <n v="4352"/>
    <n v="2304"/>
    <n v="4352"/>
  </r>
  <r>
    <s v="FASHION VIEWS"/>
    <n v="10"/>
    <n v="48"/>
    <n v="132"/>
    <x v="1"/>
    <x v="1"/>
    <x v="1"/>
    <n v="1320"/>
    <n v="6336"/>
    <n v="4224"/>
    <n v="6336"/>
  </r>
  <r>
    <s v="FASHION VIEWS"/>
    <n v="9.1999999999999993"/>
    <n v="45.6"/>
    <n v="53"/>
    <x v="1"/>
    <x v="1"/>
    <x v="1"/>
    <n v="487.59999999999997"/>
    <n v="2416.8000000000002"/>
    <n v="1484"/>
    <n v="2416.8000000000002"/>
  </r>
  <r>
    <s v="FASHION VIEWS"/>
    <n v="7.5"/>
    <n v="42"/>
    <n v="45"/>
    <x v="1"/>
    <x v="1"/>
    <x v="1"/>
    <n v="337.5"/>
    <n v="1890"/>
    <n v="810"/>
    <n v="1890"/>
  </r>
  <r>
    <s v="FASHION VIEWS"/>
    <n v="9.5"/>
    <n v="50"/>
    <n v="62"/>
    <x v="1"/>
    <x v="1"/>
    <x v="2"/>
    <n v="589"/>
    <n v="3100"/>
    <n v="1612"/>
    <n v="3100"/>
  </r>
  <r>
    <s v="FASHION VIEWS"/>
    <n v="13"/>
    <n v="64"/>
    <n v="57"/>
    <x v="1"/>
    <x v="1"/>
    <x v="2"/>
    <n v="741"/>
    <n v="3648"/>
    <n v="2280"/>
    <n v="3648"/>
  </r>
  <r>
    <s v="FASHION VIEWS"/>
    <n v="17"/>
    <n v="48"/>
    <n v="67"/>
    <x v="1"/>
    <x v="1"/>
    <x v="2"/>
    <n v="1139"/>
    <n v="3216"/>
    <n v="1608"/>
    <n v="3216"/>
  </r>
  <r>
    <s v="MARELLE"/>
    <n v="11.399999999999999"/>
    <n v="58.4"/>
    <n v="66"/>
    <x v="1"/>
    <x v="1"/>
    <x v="2"/>
    <n v="752.39999999999986"/>
    <n v="3854.4"/>
    <n v="2164.7999999999997"/>
    <n v="3854.4"/>
  </r>
  <r>
    <s v="FASHION VIEWS"/>
    <n v="39"/>
    <n v="52"/>
    <n v="94"/>
    <x v="1"/>
    <x v="1"/>
    <x v="2"/>
    <n v="3666"/>
    <n v="4888"/>
    <n v="2632"/>
    <n v="4888"/>
  </r>
  <r>
    <s v="FASHION VIEWS"/>
    <n v="39.5"/>
    <n v="54"/>
    <n v="82"/>
    <x v="1"/>
    <x v="1"/>
    <x v="2"/>
    <n v="3239"/>
    <n v="4428"/>
    <n v="2460"/>
    <n v="4428"/>
  </r>
  <r>
    <s v="FASHION VIEWS"/>
    <n v="39.5"/>
    <n v="54"/>
    <n v="86"/>
    <x v="1"/>
    <x v="1"/>
    <x v="2"/>
    <n v="3397"/>
    <n v="4644"/>
    <n v="2580"/>
    <n v="4644"/>
  </r>
  <r>
    <s v="FASHION VIEWS"/>
    <n v="40"/>
    <n v="56"/>
    <n v="24"/>
    <x v="1"/>
    <x v="1"/>
    <x v="2"/>
    <n v="960"/>
    <n v="1344"/>
    <n v="768"/>
    <n v="1344"/>
  </r>
  <r>
    <s v="FASHION VIEWS"/>
    <n v="9"/>
    <n v="48"/>
    <n v="56"/>
    <x v="1"/>
    <x v="1"/>
    <x v="2"/>
    <n v="504"/>
    <n v="2688"/>
    <n v="1344"/>
    <n v="2688"/>
  </r>
  <r>
    <s v="FASHION VIEWS"/>
    <n v="9.5"/>
    <n v="50"/>
    <n v="47"/>
    <x v="1"/>
    <x v="1"/>
    <x v="2"/>
    <n v="446.5"/>
    <n v="2350"/>
    <n v="1222"/>
    <n v="2350"/>
  </r>
  <r>
    <s v="FASHION VIEWS"/>
    <n v="10"/>
    <n v="52"/>
    <n v="69"/>
    <x v="1"/>
    <x v="1"/>
    <x v="2"/>
    <n v="690"/>
    <n v="3588"/>
    <n v="1932"/>
    <n v="3588"/>
  </r>
  <r>
    <s v="FASHION VIEWS"/>
    <n v="17.8"/>
    <n v="82.4"/>
    <n v="170"/>
    <x v="1"/>
    <x v="1"/>
    <x v="2"/>
    <n v="3026"/>
    <n v="14008.000000000002"/>
    <n v="10200"/>
    <n v="14008.000000000002"/>
  </r>
  <r>
    <s v="FASHION VIEWS"/>
    <n v="13.3"/>
    <n v="63.2"/>
    <n v="140"/>
    <x v="1"/>
    <x v="1"/>
    <x v="2"/>
    <n v="1862"/>
    <n v="8848"/>
    <n v="6048"/>
    <n v="8848"/>
  </r>
  <r>
    <s v="FASHION VIEWS"/>
    <n v="13.3"/>
    <n v="63.2"/>
    <n v="54"/>
    <x v="1"/>
    <x v="1"/>
    <x v="2"/>
    <n v="718.2"/>
    <n v="3412.8"/>
    <n v="2332.8000000000002"/>
    <n v="3412.8"/>
  </r>
  <r>
    <s v="FASHION VIEWS"/>
    <n v="6.5"/>
    <n v="34"/>
    <n v="70"/>
    <x v="1"/>
    <x v="1"/>
    <x v="2"/>
    <n v="455"/>
    <n v="2380"/>
    <n v="1260"/>
    <n v="2380"/>
  </r>
  <r>
    <s v="MARELLE"/>
    <n v="11"/>
    <n v="54"/>
    <n v="91"/>
    <x v="1"/>
    <x v="1"/>
    <x v="2"/>
    <n v="1001"/>
    <n v="4914"/>
    <n v="3094"/>
    <n v="4914"/>
  </r>
  <r>
    <s v="FASHION VIEWS"/>
    <n v="9.5"/>
    <n v="48"/>
    <n v="217"/>
    <x v="1"/>
    <x v="1"/>
    <x v="2"/>
    <n v="2061.5"/>
    <n v="10416"/>
    <n v="6076"/>
    <n v="10416"/>
  </r>
  <r>
    <s v="FASHION VIEWS"/>
    <n v="9"/>
    <n v="46"/>
    <n v="107"/>
    <x v="1"/>
    <x v="1"/>
    <x v="2"/>
    <n v="963"/>
    <n v="4922"/>
    <n v="2782"/>
    <n v="4922"/>
  </r>
  <r>
    <s v="FASHION VIEWS"/>
    <n v="12.5"/>
    <n v="62"/>
    <n v="224"/>
    <x v="1"/>
    <x v="1"/>
    <x v="2"/>
    <n v="2800"/>
    <n v="13888"/>
    <n v="8512"/>
    <n v="13888"/>
  </r>
  <r>
    <s v="FASHION VIEWS"/>
    <n v="8.5"/>
    <n v="44"/>
    <n v="38"/>
    <x v="1"/>
    <x v="1"/>
    <x v="2"/>
    <n v="323"/>
    <n v="1672"/>
    <n v="912"/>
    <n v="1672"/>
  </r>
  <r>
    <s v="MARELLE"/>
    <n v="9.6999999999999993"/>
    <n v="49.6"/>
    <n v="42"/>
    <x v="1"/>
    <x v="1"/>
    <x v="2"/>
    <n v="407.4"/>
    <n v="2083.2000000000003"/>
    <n v="1176"/>
    <n v="2083.2000000000003"/>
  </r>
  <r>
    <s v="MARELLE"/>
    <n v="8.1999999999999993"/>
    <n v="41.6"/>
    <n v="137"/>
    <x v="1"/>
    <x v="1"/>
    <x v="2"/>
    <n v="1123.3999999999999"/>
    <n v="5699.2"/>
    <n v="3288"/>
    <n v="5699.2"/>
  </r>
  <r>
    <s v="MARELLE"/>
    <n v="15.8"/>
    <n v="74.400000000000006"/>
    <n v="102"/>
    <x v="1"/>
    <x v="1"/>
    <x v="2"/>
    <n v="1611.6000000000001"/>
    <n v="7588.8"/>
    <n v="5304"/>
    <n v="7588.8"/>
  </r>
  <r>
    <s v="AVECMUA"/>
    <n v="14.5"/>
    <n v="68"/>
    <n v="32"/>
    <x v="1"/>
    <x v="1"/>
    <x v="2"/>
    <n v="464"/>
    <n v="2176"/>
    <n v="1536"/>
    <n v="2176"/>
  </r>
  <r>
    <s v="AVECMUA"/>
    <n v="14.5"/>
    <n v="68"/>
    <n v="32"/>
    <x v="1"/>
    <x v="1"/>
    <x v="2"/>
    <n v="464"/>
    <n v="2176"/>
    <n v="1536"/>
    <n v="2176"/>
  </r>
  <r>
    <s v="AVECMUA"/>
    <n v="8"/>
    <n v="40"/>
    <n v="64"/>
    <x v="1"/>
    <x v="1"/>
    <x v="2"/>
    <n v="512"/>
    <n v="2560"/>
    <n v="1536"/>
    <n v="2560"/>
  </r>
  <r>
    <s v="AVECMUA"/>
    <n v="8"/>
    <n v="40"/>
    <n v="32"/>
    <x v="1"/>
    <x v="1"/>
    <x v="2"/>
    <n v="256"/>
    <n v="1280"/>
    <n v="768"/>
    <n v="1280"/>
  </r>
  <r>
    <s v="MARELLE"/>
    <n v="10.199999999999999"/>
    <n v="51.6"/>
    <n v="192"/>
    <x v="1"/>
    <x v="1"/>
    <x v="2"/>
    <n v="1958.3999999999999"/>
    <n v="9907.2000000000007"/>
    <n v="5760"/>
    <n v="9907.2000000000007"/>
  </r>
  <r>
    <s v="MARELLE"/>
    <n v="15.5"/>
    <n v="72"/>
    <n v="62"/>
    <x v="1"/>
    <x v="1"/>
    <x v="2"/>
    <n v="961"/>
    <n v="4464"/>
    <n v="3224"/>
    <n v="4464"/>
  </r>
  <r>
    <s v="MARELLE"/>
    <n v="15.5"/>
    <n v="72"/>
    <n v="62"/>
    <x v="1"/>
    <x v="1"/>
    <x v="2"/>
    <n v="961"/>
    <n v="4464"/>
    <n v="3224"/>
    <n v="4464"/>
  </r>
  <r>
    <s v="MARELLE"/>
    <n v="9.6999999999999993"/>
    <n v="47.6"/>
    <n v="64"/>
    <x v="1"/>
    <x v="1"/>
    <x v="2"/>
    <n v="620.79999999999995"/>
    <n v="3046.4"/>
    <n v="1920"/>
    <n v="3046.4"/>
  </r>
  <r>
    <s v="FASHION VIEWS"/>
    <n v="10.5"/>
    <n v="54"/>
    <n v="54"/>
    <x v="1"/>
    <x v="1"/>
    <x v="2"/>
    <n v="567"/>
    <n v="2916"/>
    <n v="1620"/>
    <n v="2916"/>
  </r>
  <r>
    <s v="MARELLE"/>
    <n v="21.7"/>
    <n v="140.80000000000001"/>
    <n v="186"/>
    <x v="1"/>
    <x v="1"/>
    <x v="10"/>
    <n v="4036.2"/>
    <n v="26188.800000000003"/>
    <n v="6100.7999999999993"/>
    <n v="26188.800000000003"/>
  </r>
  <r>
    <s v="MARELLE"/>
    <n v="15.5"/>
    <n v="72"/>
    <n v="62"/>
    <x v="1"/>
    <x v="1"/>
    <x v="10"/>
    <n v="961"/>
    <n v="4464"/>
    <n v="3224"/>
    <n v="4464"/>
  </r>
  <r>
    <s v="MARELLE"/>
    <n v="8.8000000000000007"/>
    <n v="43.2"/>
    <n v="248"/>
    <x v="1"/>
    <x v="1"/>
    <x v="10"/>
    <n v="2182.4"/>
    <n v="10713.6"/>
    <n v="6745.5999999999995"/>
    <n v="10713.6"/>
  </r>
  <r>
    <s v="MARELLE"/>
    <n v="10.199999999999999"/>
    <n v="51.6"/>
    <n v="248"/>
    <x v="1"/>
    <x v="1"/>
    <x v="10"/>
    <n v="2529.6"/>
    <n v="12796.800000000001"/>
    <n v="7440"/>
    <n v="12796.800000000001"/>
  </r>
  <r>
    <s v="KISSY KISSY"/>
    <n v="22"/>
    <n v="60"/>
    <n v="8"/>
    <x v="1"/>
    <x v="0"/>
    <x v="11"/>
    <n v="176"/>
    <n v="480"/>
    <n v="288"/>
    <n v="480"/>
  </r>
  <r>
    <s v="KISSY KISSY"/>
    <n v="22"/>
    <n v="60"/>
    <n v="8"/>
    <x v="1"/>
    <x v="0"/>
    <x v="11"/>
    <n v="176"/>
    <n v="480"/>
    <n v="288"/>
    <n v="480"/>
  </r>
  <r>
    <s v="KISSY KISSY"/>
    <n v="22"/>
    <n v="60"/>
    <n v="8"/>
    <x v="1"/>
    <x v="0"/>
    <x v="11"/>
    <n v="176"/>
    <n v="480"/>
    <n v="288"/>
    <n v="480"/>
  </r>
  <r>
    <s v="KISSY KISSY"/>
    <n v="22"/>
    <n v="60"/>
    <n v="8"/>
    <x v="1"/>
    <x v="0"/>
    <x v="11"/>
    <n v="176"/>
    <n v="480"/>
    <n v="288"/>
    <n v="480"/>
  </r>
  <r>
    <s v="KISSY KISSY"/>
    <n v="22"/>
    <n v="60"/>
    <n v="8"/>
    <x v="1"/>
    <x v="0"/>
    <x v="11"/>
    <n v="176"/>
    <n v="480"/>
    <n v="288"/>
    <n v="480"/>
  </r>
  <r>
    <s v="KISSY KISSY"/>
    <n v="14.5"/>
    <n v="46"/>
    <n v="8"/>
    <x v="1"/>
    <x v="0"/>
    <x v="11"/>
    <n v="116"/>
    <n v="368"/>
    <n v="176"/>
    <n v="368"/>
  </r>
  <r>
    <s v="KISSY KISSY"/>
    <n v="10"/>
    <n v="26"/>
    <n v="8"/>
    <x v="1"/>
    <x v="0"/>
    <x v="11"/>
    <n v="80"/>
    <n v="208"/>
    <n v="112"/>
    <n v="208"/>
  </r>
  <r>
    <s v="KISSY KISSY"/>
    <n v="9"/>
    <n v="22"/>
    <n v="8"/>
    <x v="1"/>
    <x v="0"/>
    <x v="11"/>
    <n v="72"/>
    <n v="176"/>
    <n v="80"/>
    <n v="176"/>
  </r>
  <r>
    <s v="KISSY KISSY"/>
    <n v="9"/>
    <n v="22"/>
    <n v="8"/>
    <x v="1"/>
    <x v="0"/>
    <x v="11"/>
    <n v="72"/>
    <n v="176"/>
    <n v="80"/>
    <n v="176"/>
  </r>
  <r>
    <s v="MFC"/>
    <n v="7"/>
    <n v="36"/>
    <n v="32"/>
    <x v="1"/>
    <x v="1"/>
    <x v="11"/>
    <n v="224"/>
    <n v="1152"/>
    <n v="640"/>
    <n v="1152"/>
  </r>
  <r>
    <s v="MFC"/>
    <n v="8"/>
    <n v="40"/>
    <n v="32"/>
    <x v="1"/>
    <x v="1"/>
    <x v="11"/>
    <n v="256"/>
    <n v="1280"/>
    <n v="768"/>
    <n v="1280"/>
  </r>
  <r>
    <s v="MFC"/>
    <n v="9.5"/>
    <n v="48"/>
    <n v="41"/>
    <x v="1"/>
    <x v="1"/>
    <x v="11"/>
    <n v="389.5"/>
    <n v="1968"/>
    <n v="1148"/>
    <n v="1968"/>
  </r>
  <r>
    <s v="FASHION VIEWS"/>
    <n v="16.5"/>
    <n v="78"/>
    <n v="122"/>
    <x v="1"/>
    <x v="1"/>
    <x v="3"/>
    <n v="2013"/>
    <n v="9516"/>
    <n v="6588"/>
    <n v="9516"/>
  </r>
  <r>
    <s v="FASHION VIEWS"/>
    <n v="16"/>
    <n v="76"/>
    <n v="52"/>
    <x v="1"/>
    <x v="1"/>
    <x v="3"/>
    <n v="832"/>
    <n v="3952"/>
    <n v="2704"/>
    <n v="3952"/>
  </r>
  <r>
    <s v="FASHION VIEWS"/>
    <n v="7.7"/>
    <n v="42.8"/>
    <n v="44"/>
    <x v="1"/>
    <x v="1"/>
    <x v="3"/>
    <n v="338.8"/>
    <n v="1883.1999999999998"/>
    <n v="827.2"/>
    <n v="1883.1999999999998"/>
  </r>
  <r>
    <s v="FASHION VIEWS"/>
    <n v="18.5"/>
    <n v="88"/>
    <n v="193"/>
    <x v="1"/>
    <x v="1"/>
    <x v="3"/>
    <n v="3570.5"/>
    <n v="16984"/>
    <n v="11580"/>
    <n v="16984"/>
  </r>
  <r>
    <s v="FASHION VIEWS"/>
    <n v="17"/>
    <n v="80"/>
    <n v="66"/>
    <x v="1"/>
    <x v="1"/>
    <x v="3"/>
    <n v="1122"/>
    <n v="5280"/>
    <n v="3696"/>
    <n v="5280"/>
  </r>
  <r>
    <s v="FASHION VIEWS"/>
    <n v="13"/>
    <n v="64"/>
    <n v="37"/>
    <x v="1"/>
    <x v="1"/>
    <x v="3"/>
    <n v="481"/>
    <n v="2368"/>
    <n v="1480"/>
    <n v="2368"/>
  </r>
  <r>
    <s v="FASHION VIEWS"/>
    <n v="10.199999999999999"/>
    <n v="54.8"/>
    <n v="135"/>
    <x v="1"/>
    <x v="1"/>
    <x v="3"/>
    <n v="1377"/>
    <n v="7398"/>
    <n v="3618"/>
    <n v="7398"/>
  </r>
  <r>
    <s v="FASHION VIEWS"/>
    <n v="7.8"/>
    <n v="40.4"/>
    <n v="86"/>
    <x v="1"/>
    <x v="1"/>
    <x v="3"/>
    <n v="670.8"/>
    <n v="3474.4"/>
    <n v="1892"/>
    <n v="3474.4"/>
  </r>
  <r>
    <s v="FASHION VIEWS"/>
    <n v="7.8"/>
    <n v="40.4"/>
    <n v="31"/>
    <x v="1"/>
    <x v="1"/>
    <x v="3"/>
    <n v="241.79999999999998"/>
    <n v="1252.3999999999999"/>
    <n v="682"/>
    <n v="1252.3999999999999"/>
  </r>
  <r>
    <s v="LIVLY"/>
    <n v="12.5"/>
    <n v="56"/>
    <n v="135"/>
    <x v="1"/>
    <x v="1"/>
    <x v="11"/>
    <n v="1687.5"/>
    <n v="7560"/>
    <n v="4320"/>
    <n v="7560"/>
  </r>
  <r>
    <s v="BABY BOX"/>
    <n v="14.5"/>
    <n v="46"/>
    <n v="45"/>
    <x v="1"/>
    <x v="0"/>
    <x v="11"/>
    <n v="652.5"/>
    <n v="2070"/>
    <n v="990"/>
    <n v="2070"/>
  </r>
  <r>
    <s v="BABY BOX"/>
    <n v="14"/>
    <n v="44"/>
    <n v="50"/>
    <x v="1"/>
    <x v="0"/>
    <x v="11"/>
    <n v="700"/>
    <n v="2200"/>
    <n v="1000"/>
    <n v="2200"/>
  </r>
  <r>
    <s v="BABY BOX"/>
    <n v="14.5"/>
    <n v="46"/>
    <n v="9"/>
    <x v="1"/>
    <x v="0"/>
    <x v="11"/>
    <n v="130.5"/>
    <n v="414"/>
    <n v="198"/>
    <n v="414"/>
  </r>
  <r>
    <s v="BABY BOX"/>
    <n v="14"/>
    <n v="44"/>
    <n v="10"/>
    <x v="1"/>
    <x v="0"/>
    <x v="11"/>
    <n v="140"/>
    <n v="440"/>
    <n v="200"/>
    <n v="440"/>
  </r>
  <r>
    <s v="FASHION VIEWS"/>
    <n v="13.5"/>
    <n v="42"/>
    <n v="42"/>
    <x v="1"/>
    <x v="1"/>
    <x v="3"/>
    <n v="567"/>
    <n v="1764"/>
    <n v="756"/>
    <n v="1764"/>
  </r>
  <r>
    <s v="KISSY KISSY"/>
    <n v="22.5"/>
    <n v="62"/>
    <n v="298"/>
    <x v="1"/>
    <x v="0"/>
    <x v="4"/>
    <n v="6705"/>
    <n v="18476"/>
    <n v="11324"/>
    <n v="18476"/>
  </r>
  <r>
    <s v="KISSY KISSY"/>
    <n v="23.8"/>
    <n v="66.400000000000006"/>
    <n v="152"/>
    <x v="1"/>
    <x v="0"/>
    <x v="4"/>
    <n v="3617.6"/>
    <n v="10092.800000000001"/>
    <n v="6688"/>
    <n v="10092.800000000001"/>
  </r>
  <r>
    <s v="KISSY KISSY"/>
    <n v="22.8"/>
    <n v="56.4"/>
    <n v="210"/>
    <x v="1"/>
    <x v="0"/>
    <x v="4"/>
    <n v="4788"/>
    <n v="11844"/>
    <n v="7980"/>
    <n v="11844"/>
  </r>
  <r>
    <s v="KISSY KISSY"/>
    <n v="21.8"/>
    <n v="52.4"/>
    <n v="160"/>
    <x v="1"/>
    <x v="0"/>
    <x v="4"/>
    <n v="3488"/>
    <n v="8384"/>
    <n v="5440"/>
    <n v="8384"/>
  </r>
  <r>
    <s v="KISSY KISSY"/>
    <n v="21.7"/>
    <n v="55.6"/>
    <n v="274"/>
    <x v="1"/>
    <x v="0"/>
    <x v="4"/>
    <n v="5945.8"/>
    <n v="15234.4"/>
    <n v="8220"/>
    <n v="15234.4"/>
  </r>
  <r>
    <s v="KISSY KISSY"/>
    <n v="24.7"/>
    <n v="67.599999999999994"/>
    <n v="298"/>
    <x v="1"/>
    <x v="0"/>
    <x v="4"/>
    <n v="7360.5999999999995"/>
    <n v="20144.8"/>
    <n v="12516"/>
    <n v="20144.8"/>
  </r>
  <r>
    <s v="KISSY KISSY"/>
    <n v="24.7"/>
    <n v="67.599999999999994"/>
    <n v="268"/>
    <x v="1"/>
    <x v="0"/>
    <x v="4"/>
    <n v="6619.5999999999995"/>
    <n v="18116.8"/>
    <n v="11256"/>
    <n v="18116.8"/>
  </r>
  <r>
    <s v="KISSY KISSY"/>
    <n v="9.6999999999999993"/>
    <n v="23.6"/>
    <n v="86"/>
    <x v="1"/>
    <x v="0"/>
    <x v="4"/>
    <n v="834.19999999999993"/>
    <n v="2029.6000000000001"/>
    <n v="860"/>
    <n v="2029.6000000000001"/>
  </r>
  <r>
    <s v="KISSY KISSY"/>
    <n v="10.5"/>
    <n v="30"/>
    <n v="90"/>
    <x v="1"/>
    <x v="0"/>
    <x v="4"/>
    <n v="945"/>
    <n v="2700"/>
    <n v="900"/>
    <n v="2700"/>
  </r>
  <r>
    <s v="KISSY KISSY"/>
    <n v="22.3"/>
    <n v="66.400000000000006"/>
    <n v="226"/>
    <x v="1"/>
    <x v="0"/>
    <x v="4"/>
    <n v="5039.8"/>
    <n v="15006.400000000001"/>
    <n v="9944"/>
    <n v="15006.400000000001"/>
  </r>
  <r>
    <s v="KISSY KISSY"/>
    <n v="27.3"/>
    <n v="62.4"/>
    <n v="234"/>
    <x v="1"/>
    <x v="0"/>
    <x v="4"/>
    <n v="6388.2"/>
    <n v="14601.6"/>
    <n v="10296"/>
    <n v="14601.6"/>
  </r>
  <r>
    <s v="KISSY KISSY"/>
    <n v="24.8"/>
    <n v="52.4"/>
    <n v="100"/>
    <x v="1"/>
    <x v="0"/>
    <x v="4"/>
    <n v="2480"/>
    <n v="5240"/>
    <n v="3400"/>
    <n v="5240"/>
  </r>
  <r>
    <s v="KISSY KISSY"/>
    <n v="26.7"/>
    <n v="63.6"/>
    <n v="164"/>
    <x v="1"/>
    <x v="0"/>
    <x v="4"/>
    <n v="4378.8"/>
    <n v="10430.4"/>
    <n v="6232"/>
    <n v="10430.4"/>
  </r>
  <r>
    <s v="KISSY KISSY"/>
    <n v="21"/>
    <n v="62"/>
    <n v="122"/>
    <x v="1"/>
    <x v="0"/>
    <x v="4"/>
    <n v="2562"/>
    <n v="7564"/>
    <n v="4636"/>
    <n v="7564"/>
  </r>
  <r>
    <s v="KISSY KISSY"/>
    <n v="10.5"/>
    <n v="30"/>
    <n v="35"/>
    <x v="1"/>
    <x v="0"/>
    <x v="4"/>
    <n v="367.5"/>
    <n v="1050"/>
    <n v="350"/>
    <n v="1050"/>
  </r>
  <r>
    <s v="KISSY KISSY"/>
    <n v="10.5"/>
    <n v="30"/>
    <n v="52"/>
    <x v="1"/>
    <x v="0"/>
    <x v="4"/>
    <n v="546"/>
    <n v="1560"/>
    <n v="520"/>
    <n v="1560"/>
  </r>
  <r>
    <s v="KISSY KISSY"/>
    <n v="9.6999999999999993"/>
    <n v="23.6"/>
    <n v="8"/>
    <x v="1"/>
    <x v="0"/>
    <x v="4"/>
    <n v="77.599999999999994"/>
    <n v="188.8"/>
    <n v="80"/>
    <n v="188.8"/>
  </r>
  <r>
    <s v="FASHION VIEWS"/>
    <n v="13.5"/>
    <n v="68"/>
    <n v="120"/>
    <x v="1"/>
    <x v="1"/>
    <x v="4"/>
    <n v="1620"/>
    <n v="8160"/>
    <n v="4800"/>
    <n v="8160"/>
  </r>
  <r>
    <s v="FASHION VIEWS"/>
    <n v="10"/>
    <n v="52"/>
    <n v="170"/>
    <x v="1"/>
    <x v="1"/>
    <x v="4"/>
    <n v="1700"/>
    <n v="8840"/>
    <n v="4760"/>
    <n v="8840"/>
  </r>
  <r>
    <s v="FASHION VIEWS"/>
    <n v="9.5"/>
    <n v="50"/>
    <n v="56"/>
    <x v="1"/>
    <x v="1"/>
    <x v="4"/>
    <n v="532"/>
    <n v="2800"/>
    <n v="1456"/>
    <n v="2800"/>
  </r>
  <r>
    <s v="FASHION VIEWS"/>
    <n v="7.5"/>
    <n v="42"/>
    <n v="98"/>
    <x v="1"/>
    <x v="1"/>
    <x v="4"/>
    <n v="735"/>
    <n v="4116"/>
    <n v="1764"/>
    <n v="4116"/>
  </r>
  <r>
    <s v="FASHION VIEWS"/>
    <n v="7"/>
    <n v="40"/>
    <n v="116"/>
    <x v="1"/>
    <x v="1"/>
    <x v="4"/>
    <n v="812"/>
    <n v="4640"/>
    <n v="1856"/>
    <n v="4640"/>
  </r>
  <r>
    <s v="FASHION VIEWS"/>
    <n v="8.5"/>
    <n v="42"/>
    <n v="101"/>
    <x v="1"/>
    <x v="1"/>
    <x v="4"/>
    <n v="858.5"/>
    <n v="4242"/>
    <n v="2626"/>
    <n v="4242"/>
  </r>
  <r>
    <s v="FASHION VIEWS"/>
    <n v="13.3"/>
    <n v="67.2"/>
    <n v="121"/>
    <x v="1"/>
    <x v="1"/>
    <x v="4"/>
    <n v="1609.3000000000002"/>
    <n v="8131.2000000000007"/>
    <n v="4743.2000000000007"/>
    <n v="8131.2000000000007"/>
  </r>
  <r>
    <s v="FASHION VIEWS"/>
    <n v="18"/>
    <n v="84"/>
    <n v="105"/>
    <x v="1"/>
    <x v="1"/>
    <x v="4"/>
    <n v="1890"/>
    <n v="8820"/>
    <n v="6300"/>
    <n v="8820"/>
  </r>
  <r>
    <s v="FASHION VIEWS"/>
    <n v="17"/>
    <n v="80"/>
    <n v="17"/>
    <x v="1"/>
    <x v="1"/>
    <x v="4"/>
    <n v="289"/>
    <n v="1360"/>
    <n v="952"/>
    <n v="1360"/>
  </r>
  <r>
    <s v="FASHION VIEWS"/>
    <n v="7.2"/>
    <n v="36.799999999999997"/>
    <n v="200"/>
    <x v="1"/>
    <x v="1"/>
    <x v="4"/>
    <n v="1440"/>
    <n v="7359.9999999999991"/>
    <n v="4160"/>
    <n v="7359.9999999999991"/>
  </r>
  <r>
    <s v="FASHION VIEWS"/>
    <n v="14"/>
    <n v="70"/>
    <n v="129"/>
    <x v="1"/>
    <x v="1"/>
    <x v="4"/>
    <n v="1806"/>
    <n v="9030"/>
    <n v="5418"/>
    <n v="9030"/>
  </r>
  <r>
    <s v="FASHION VIEWS"/>
    <n v="14"/>
    <n v="70"/>
    <n v="76"/>
    <x v="1"/>
    <x v="1"/>
    <x v="4"/>
    <n v="1064"/>
    <n v="5320"/>
    <n v="3192"/>
    <n v="5320"/>
  </r>
  <r>
    <s v="FASHION VIEWS"/>
    <n v="11.3"/>
    <n v="59.2"/>
    <n v="60"/>
    <x v="1"/>
    <x v="1"/>
    <x v="4"/>
    <n v="678"/>
    <n v="3552"/>
    <n v="1872"/>
    <n v="3552"/>
  </r>
  <r>
    <s v="MARELLE"/>
    <n v="37.4"/>
    <n v="49.6"/>
    <n v="52"/>
    <x v="1"/>
    <x v="1"/>
    <x v="5"/>
    <n v="1944.8"/>
    <n v="2579.2000000000003"/>
    <n v="1331.2"/>
    <n v="2579.2000000000003"/>
  </r>
  <r>
    <s v="FASHION VIEWS"/>
    <n v="13.2"/>
    <n v="65.599999999999994"/>
    <n v="188"/>
    <x v="1"/>
    <x v="1"/>
    <x v="5"/>
    <n v="2481.6"/>
    <n v="12332.8"/>
    <n v="7520"/>
    <n v="12332.8"/>
  </r>
  <r>
    <s v="FASHION VIEWS"/>
    <n v="15.5"/>
    <n v="74"/>
    <n v="70"/>
    <x v="1"/>
    <x v="1"/>
    <x v="5"/>
    <n v="1085"/>
    <n v="5180"/>
    <n v="3500"/>
    <n v="5180"/>
  </r>
  <r>
    <s v="FASHION VIEWS"/>
    <n v="15"/>
    <n v="72"/>
    <n v="82"/>
    <x v="1"/>
    <x v="1"/>
    <x v="5"/>
    <n v="1230"/>
    <n v="5904"/>
    <n v="3936"/>
    <n v="5904"/>
  </r>
  <r>
    <s v="FASHION VIEWS"/>
    <n v="15"/>
    <n v="72"/>
    <n v="0"/>
    <x v="1"/>
    <x v="1"/>
    <x v="5"/>
    <n v="0"/>
    <n v="0"/>
    <n v="0"/>
    <n v="0"/>
  </r>
  <r>
    <s v="MARELLE"/>
    <n v="16.5"/>
    <n v="76"/>
    <n v="31"/>
    <x v="1"/>
    <x v="1"/>
    <x v="5"/>
    <n v="511.5"/>
    <n v="2356"/>
    <n v="1736"/>
    <n v="2356"/>
  </r>
  <r>
    <s v="MARELLE"/>
    <n v="16.5"/>
    <n v="76"/>
    <n v="10"/>
    <x v="1"/>
    <x v="1"/>
    <x v="5"/>
    <n v="165"/>
    <n v="760"/>
    <n v="560"/>
    <n v="760"/>
  </r>
  <r>
    <s v="MARELLE"/>
    <n v="16"/>
    <n v="76"/>
    <n v="51"/>
    <x v="1"/>
    <x v="1"/>
    <x v="5"/>
    <n v="816"/>
    <n v="3876"/>
    <n v="2652"/>
    <n v="3876"/>
  </r>
  <r>
    <s v="MARELLE"/>
    <n v="16"/>
    <n v="76"/>
    <n v="56"/>
    <x v="1"/>
    <x v="1"/>
    <x v="5"/>
    <n v="896"/>
    <n v="4256"/>
    <n v="2912"/>
    <n v="4256"/>
  </r>
  <r>
    <s v="MARELLE"/>
    <n v="8.9"/>
    <n v="45.2"/>
    <n v="66"/>
    <x v="1"/>
    <x v="1"/>
    <x v="5"/>
    <n v="587.4"/>
    <n v="2983.2000000000003"/>
    <n v="1716"/>
    <n v="2983.2000000000003"/>
  </r>
  <r>
    <s v="MARELLE"/>
    <n v="9"/>
    <n v="48"/>
    <n v="92"/>
    <x v="1"/>
    <x v="1"/>
    <x v="5"/>
    <n v="828"/>
    <n v="4416"/>
    <n v="2208"/>
    <n v="4416"/>
  </r>
  <r>
    <s v="MARELLE"/>
    <n v="16"/>
    <n v="76"/>
    <n v="51"/>
    <x v="1"/>
    <x v="1"/>
    <x v="5"/>
    <n v="816"/>
    <n v="3876"/>
    <n v="2652"/>
    <n v="3876"/>
  </r>
  <r>
    <s v="FASHION VIEWS"/>
    <n v="5.5"/>
    <n v="30"/>
    <n v="60"/>
    <x v="1"/>
    <x v="1"/>
    <x v="5"/>
    <n v="330"/>
    <n v="1800"/>
    <n v="840"/>
    <n v="1800"/>
  </r>
  <r>
    <s v="MARELLE"/>
    <n v="16"/>
    <n v="76"/>
    <n v="11"/>
    <x v="1"/>
    <x v="0"/>
    <x v="5"/>
    <n v="176"/>
    <n v="836"/>
    <n v="572"/>
    <n v="836"/>
  </r>
  <r>
    <s v="FASHION VIEWS"/>
    <n v="37.700000000000003"/>
    <n v="44"/>
    <n v="98"/>
    <x v="1"/>
    <x v="1"/>
    <x v="6"/>
    <n v="3694.6000000000004"/>
    <n v="4312"/>
    <n v="2508.8000000000002"/>
    <n v="4312"/>
  </r>
  <r>
    <s v="FASHION VIEWS"/>
    <n v="48"/>
    <n v="60"/>
    <n v="22"/>
    <x v="1"/>
    <x v="1"/>
    <x v="6"/>
    <n v="1056"/>
    <n v="1320"/>
    <n v="792"/>
    <n v="1320"/>
  </r>
  <r>
    <s v="FASHION VIEWS"/>
    <n v="17.5"/>
    <n v="50"/>
    <n v="54"/>
    <x v="1"/>
    <x v="1"/>
    <x v="6"/>
    <n v="945"/>
    <n v="2700"/>
    <n v="1404"/>
    <n v="2700"/>
  </r>
  <r>
    <s v="FASHION VIEWS"/>
    <n v="18"/>
    <n v="52"/>
    <n v="39"/>
    <x v="1"/>
    <x v="1"/>
    <x v="6"/>
    <n v="702"/>
    <n v="2028"/>
    <n v="1092"/>
    <n v="2028"/>
  </r>
  <r>
    <s v="FASHION VIEWS"/>
    <n v="17"/>
    <n v="48"/>
    <n v="50"/>
    <x v="1"/>
    <x v="1"/>
    <x v="6"/>
    <n v="850"/>
    <n v="2400"/>
    <n v="1200"/>
    <n v="2400"/>
  </r>
  <r>
    <s v="FASHION VIEWS"/>
    <n v="15.3"/>
    <n v="50"/>
    <n v="34"/>
    <x v="1"/>
    <x v="1"/>
    <x v="6"/>
    <n v="520.20000000000005"/>
    <n v="1700"/>
    <n v="884"/>
    <n v="1700"/>
  </r>
  <r>
    <s v="MARELLE"/>
    <n v="9.8000000000000007"/>
    <n v="51.2"/>
    <n v="124"/>
    <x v="1"/>
    <x v="1"/>
    <x v="6"/>
    <n v="1215.2"/>
    <n v="6348.8"/>
    <n v="3372.7999999999997"/>
    <n v="6348.8"/>
  </r>
  <r>
    <s v="MARELLE"/>
    <n v="10.5"/>
    <n v="54"/>
    <n v="124"/>
    <x v="1"/>
    <x v="1"/>
    <x v="6"/>
    <n v="1302"/>
    <n v="6696"/>
    <n v="3720"/>
    <n v="6696"/>
  </r>
  <r>
    <s v="MARELLE"/>
    <n v="23.5"/>
    <n v="70"/>
    <n v="22"/>
    <x v="1"/>
    <x v="0"/>
    <x v="6"/>
    <n v="517"/>
    <n v="1540"/>
    <n v="1012"/>
    <n v="1540"/>
  </r>
  <r>
    <s v="MARELLE"/>
    <n v="19.5"/>
    <n v="46"/>
    <n v="11"/>
    <x v="1"/>
    <x v="0"/>
    <x v="6"/>
    <n v="214.5"/>
    <n v="506"/>
    <n v="242"/>
    <n v="506"/>
  </r>
  <r>
    <s v="MARELLE"/>
    <n v="11.5"/>
    <n v="30"/>
    <n v="11"/>
    <x v="1"/>
    <x v="0"/>
    <x v="6"/>
    <n v="126.5"/>
    <n v="330"/>
    <n v="154"/>
    <n v="330"/>
  </r>
  <r>
    <s v="MARELLE"/>
    <n v="11.5"/>
    <n v="30"/>
    <n v="11"/>
    <x v="1"/>
    <x v="0"/>
    <x v="6"/>
    <n v="126.5"/>
    <n v="330"/>
    <n v="154"/>
    <n v="330"/>
  </r>
  <r>
    <s v="MARELLE"/>
    <n v="14.5"/>
    <n v="46"/>
    <n v="11"/>
    <x v="1"/>
    <x v="0"/>
    <x v="6"/>
    <n v="159.5"/>
    <n v="506"/>
    <n v="242"/>
    <n v="506"/>
  </r>
  <r>
    <s v="MARELLE"/>
    <n v="11.5"/>
    <n v="30"/>
    <n v="11"/>
    <x v="1"/>
    <x v="0"/>
    <x v="6"/>
    <n v="126.5"/>
    <n v="330"/>
    <n v="154"/>
    <n v="330"/>
  </r>
  <r>
    <s v="MARELLE"/>
    <n v="11.5"/>
    <n v="30"/>
    <n v="11"/>
    <x v="1"/>
    <x v="0"/>
    <x v="6"/>
    <n v="126.5"/>
    <n v="330"/>
    <n v="154"/>
    <n v="330"/>
  </r>
  <r>
    <s v="MFC"/>
    <n v="14"/>
    <n v="68"/>
    <n v="18"/>
    <x v="1"/>
    <x v="1"/>
    <x v="6"/>
    <n v="252"/>
    <n v="1224"/>
    <n v="792"/>
    <n v="1224"/>
  </r>
  <r>
    <s v="MFC"/>
    <n v="14"/>
    <n v="68"/>
    <n v="18"/>
    <x v="1"/>
    <x v="1"/>
    <x v="6"/>
    <n v="252"/>
    <n v="1224"/>
    <n v="792"/>
    <n v="1224"/>
  </r>
  <r>
    <s v="MFC"/>
    <n v="15"/>
    <n v="72"/>
    <n v="18"/>
    <x v="1"/>
    <x v="1"/>
    <x v="6"/>
    <n v="270"/>
    <n v="1296"/>
    <n v="864"/>
    <n v="1296"/>
  </r>
  <r>
    <s v="MFC"/>
    <n v="15"/>
    <n v="72"/>
    <n v="9"/>
    <x v="1"/>
    <x v="1"/>
    <x v="6"/>
    <n v="135"/>
    <n v="648"/>
    <n v="432"/>
    <n v="648"/>
  </r>
  <r>
    <s v="MARELLE"/>
    <n v="24.6"/>
    <n v="50.4"/>
    <n v="84"/>
    <x v="1"/>
    <x v="1"/>
    <x v="6"/>
    <n v="2066.4"/>
    <n v="4233.5999999999995"/>
    <n v="2217.6"/>
    <n v="4233.5999999999995"/>
  </r>
  <r>
    <s v="MARELLE"/>
    <n v="13"/>
    <n v="64"/>
    <n v="52"/>
    <x v="1"/>
    <x v="1"/>
    <x v="6"/>
    <n v="676"/>
    <n v="3328"/>
    <n v="2080"/>
    <n v="3328"/>
  </r>
  <r>
    <s v="MARELLE"/>
    <n v="10.5"/>
    <n v="54"/>
    <n v="52"/>
    <x v="1"/>
    <x v="1"/>
    <x v="6"/>
    <n v="546"/>
    <n v="2808"/>
    <n v="1560"/>
    <n v="2808"/>
  </r>
  <r>
    <s v="MARELLE"/>
    <n v="11.5"/>
    <n v="58"/>
    <n v="67"/>
    <x v="1"/>
    <x v="1"/>
    <x v="6"/>
    <n v="770.5"/>
    <n v="3886"/>
    <n v="2278"/>
    <n v="3886"/>
  </r>
  <r>
    <s v="MARELLE"/>
    <n v="9"/>
    <n v="48"/>
    <n v="104"/>
    <x v="1"/>
    <x v="1"/>
    <x v="6"/>
    <n v="936"/>
    <n v="4992"/>
    <n v="2496"/>
    <n v="4992"/>
  </r>
  <r>
    <s v="FASHION VIEWS"/>
    <n v="13.5"/>
    <n v="66"/>
    <n v="216"/>
    <x v="1"/>
    <x v="1"/>
    <x v="6"/>
    <n v="2916"/>
    <n v="14256"/>
    <n v="9072"/>
    <n v="14256"/>
  </r>
  <r>
    <s v="FASHION VIEWS"/>
    <n v="10.5"/>
    <n v="54"/>
    <n v="160"/>
    <x v="1"/>
    <x v="1"/>
    <x v="6"/>
    <n v="1680"/>
    <n v="8640"/>
    <n v="4800"/>
    <n v="8640"/>
  </r>
  <r>
    <s v="MARELLE"/>
    <n v="9.5"/>
    <n v="50"/>
    <n v="124"/>
    <x v="1"/>
    <x v="1"/>
    <x v="6"/>
    <n v="1178"/>
    <n v="6200"/>
    <n v="3224"/>
    <n v="6200"/>
  </r>
  <r>
    <s v="MARELLE"/>
    <n v="10.5"/>
    <n v="56"/>
    <n v="82"/>
    <x v="1"/>
    <x v="1"/>
    <x v="6"/>
    <n v="861"/>
    <n v="4592"/>
    <n v="2296"/>
    <n v="4592"/>
  </r>
  <r>
    <s v="FASHION VIEWS"/>
    <n v="42.8"/>
    <n v="63.2"/>
    <n v="70"/>
    <x v="1"/>
    <x v="1"/>
    <x v="7"/>
    <n v="2996"/>
    <n v="4424"/>
    <n v="2744"/>
    <n v="4424"/>
  </r>
  <r>
    <s v="MARELLE"/>
    <n v="9.1999999999999993"/>
    <n v="45.6"/>
    <n v="152"/>
    <x v="1"/>
    <x v="1"/>
    <x v="7"/>
    <n v="1398.3999999999999"/>
    <n v="6931.2"/>
    <n v="4256"/>
    <n v="6931.2"/>
  </r>
  <r>
    <s v="MARELLE"/>
    <n v="16.5"/>
    <n v="76"/>
    <n v="44"/>
    <x v="1"/>
    <x v="1"/>
    <x v="7"/>
    <n v="726"/>
    <n v="3344"/>
    <n v="2464"/>
    <n v="3344"/>
  </r>
  <r>
    <s v="MARELLE"/>
    <n v="16.5"/>
    <n v="76"/>
    <n v="55"/>
    <x v="1"/>
    <x v="1"/>
    <x v="7"/>
    <n v="907.5"/>
    <n v="4180"/>
    <n v="3080"/>
    <n v="4180"/>
  </r>
  <r>
    <s v="FASHION VIEWS"/>
    <n v="16"/>
    <n v="76"/>
    <n v="62"/>
    <x v="1"/>
    <x v="1"/>
    <x v="7"/>
    <n v="992"/>
    <n v="4712"/>
    <n v="3224"/>
    <n v="4712"/>
  </r>
  <r>
    <s v="FASHION VIEWS"/>
    <n v="16"/>
    <n v="76"/>
    <n v="37"/>
    <x v="1"/>
    <x v="1"/>
    <x v="7"/>
    <n v="592"/>
    <n v="2812"/>
    <n v="1924"/>
    <n v="2812"/>
  </r>
  <r>
    <s v="FASHION VIEWS"/>
    <n v="12"/>
    <n v="62"/>
    <n v="65"/>
    <x v="1"/>
    <x v="1"/>
    <x v="7"/>
    <n v="780"/>
    <n v="4030"/>
    <n v="2210"/>
    <n v="4030"/>
  </r>
  <r>
    <s v="FASHION VIEWS"/>
    <n v="13.5"/>
    <n v="66"/>
    <n v="76"/>
    <x v="1"/>
    <x v="1"/>
    <x v="7"/>
    <n v="1026"/>
    <n v="5016"/>
    <n v="3192"/>
    <n v="5016"/>
  </r>
  <r>
    <s v="FASHION VIEWS"/>
    <n v="15"/>
    <n v="74"/>
    <n v="82"/>
    <x v="1"/>
    <x v="1"/>
    <x v="7"/>
    <n v="1230"/>
    <n v="6068"/>
    <n v="3772"/>
    <n v="6068"/>
  </r>
  <r>
    <s v="FASHION VIEWS"/>
    <n v="15.5"/>
    <n v="76"/>
    <n v="155"/>
    <x v="1"/>
    <x v="1"/>
    <x v="7"/>
    <n v="2402.5"/>
    <n v="11780"/>
    <n v="7440"/>
    <n v="11780"/>
  </r>
  <r>
    <s v="FASHION VIEWS"/>
    <n v="14"/>
    <n v="68"/>
    <n v="147"/>
    <x v="1"/>
    <x v="1"/>
    <x v="7"/>
    <n v="2058"/>
    <n v="9996"/>
    <n v="6468"/>
    <n v="9996"/>
  </r>
  <r>
    <s v="FASHION VIEWS"/>
    <n v="14.5"/>
    <n v="70"/>
    <n v="147"/>
    <x v="1"/>
    <x v="1"/>
    <x v="7"/>
    <n v="2131.5"/>
    <n v="10290"/>
    <n v="6762"/>
    <n v="10290"/>
  </r>
  <r>
    <s v="MARELLE"/>
    <n v="15"/>
    <n v="74"/>
    <n v="134"/>
    <x v="1"/>
    <x v="1"/>
    <x v="7"/>
    <n v="2010"/>
    <n v="9916"/>
    <n v="6164"/>
    <n v="9916"/>
  </r>
  <r>
    <s v="MARELLE"/>
    <n v="9.5"/>
    <n v="48"/>
    <n v="94"/>
    <x v="1"/>
    <x v="1"/>
    <x v="7"/>
    <n v="893"/>
    <n v="4512"/>
    <n v="2632"/>
    <n v="4512"/>
  </r>
  <r>
    <s v="MARELLE"/>
    <n v="9.1999999999999993"/>
    <n v="45.6"/>
    <n v="124"/>
    <x v="1"/>
    <x v="1"/>
    <x v="7"/>
    <n v="1140.8"/>
    <n v="5654.4000000000005"/>
    <n v="3472"/>
    <n v="5654.4000000000005"/>
  </r>
  <r>
    <s v="MARELLE"/>
    <n v="16"/>
    <n v="76"/>
    <n v="35"/>
    <x v="1"/>
    <x v="1"/>
    <x v="7"/>
    <n v="560"/>
    <n v="2660"/>
    <n v="1820"/>
    <n v="2660"/>
  </r>
  <r>
    <s v="MARELLE"/>
    <n v="18"/>
    <n v="84"/>
    <n v="6"/>
    <x v="1"/>
    <x v="1"/>
    <x v="7"/>
    <n v="108"/>
    <n v="504"/>
    <n v="360"/>
    <n v="504"/>
  </r>
  <r>
    <s v="MARELLE"/>
    <n v="17"/>
    <n v="80"/>
    <n v="36"/>
    <x v="1"/>
    <x v="1"/>
    <x v="7"/>
    <n v="612"/>
    <n v="2880"/>
    <n v="2016"/>
    <n v="2880"/>
  </r>
  <r>
    <s v="FASHION VIEWS"/>
    <n v="14"/>
    <n v="68"/>
    <n v="117"/>
    <x v="1"/>
    <x v="1"/>
    <x v="8"/>
    <n v="1638"/>
    <n v="7956"/>
    <n v="5148"/>
    <n v="7956"/>
  </r>
  <r>
    <s v="FASHION VIEWS"/>
    <n v="13.5"/>
    <n v="66"/>
    <n v="90"/>
    <x v="1"/>
    <x v="1"/>
    <x v="8"/>
    <n v="1215"/>
    <n v="5940"/>
    <n v="3780"/>
    <n v="5940"/>
  </r>
  <r>
    <s v="FASHION VIEWS"/>
    <n v="9.5"/>
    <n v="48"/>
    <n v="59"/>
    <x v="1"/>
    <x v="1"/>
    <x v="8"/>
    <n v="560.5"/>
    <n v="2832"/>
    <n v="1652"/>
    <n v="2832"/>
  </r>
  <r>
    <s v="FASHION VIEWS"/>
    <n v="9"/>
    <n v="46"/>
    <n v="130"/>
    <x v="1"/>
    <x v="1"/>
    <x v="8"/>
    <n v="1170"/>
    <n v="5980"/>
    <n v="3380"/>
    <n v="5980"/>
  </r>
  <r>
    <s v="LIVLY"/>
    <n v="35"/>
    <n v="84"/>
    <n v="148"/>
    <x v="1"/>
    <x v="1"/>
    <x v="8"/>
    <n v="5180"/>
    <n v="12432"/>
    <n v="8880"/>
    <n v="12432"/>
  </r>
  <r>
    <s v="LIVLY"/>
    <n v="32"/>
    <n v="80"/>
    <n v="130"/>
    <x v="1"/>
    <x v="1"/>
    <x v="8"/>
    <n v="4160"/>
    <n v="10400"/>
    <n v="7280"/>
    <n v="10400"/>
  </r>
  <r>
    <s v="LIVLY"/>
    <n v="35"/>
    <n v="96"/>
    <n v="138"/>
    <x v="1"/>
    <x v="1"/>
    <x v="8"/>
    <n v="4830"/>
    <n v="13248"/>
    <n v="8832"/>
    <n v="13248"/>
  </r>
  <r>
    <s v="LIVLY"/>
    <n v="32"/>
    <n v="80"/>
    <n v="138"/>
    <x v="1"/>
    <x v="1"/>
    <x v="8"/>
    <n v="4416"/>
    <n v="11040"/>
    <n v="7728"/>
    <n v="11040"/>
  </r>
  <r>
    <s v="LIVLY"/>
    <n v="32"/>
    <n v="80"/>
    <n v="108"/>
    <x v="1"/>
    <x v="1"/>
    <x v="8"/>
    <n v="3456"/>
    <n v="8640"/>
    <n v="6048"/>
    <n v="8640"/>
  </r>
  <r>
    <s v="BABY BOX"/>
    <n v="17"/>
    <n v="32"/>
    <n v="120"/>
    <x v="1"/>
    <x v="0"/>
    <x v="8"/>
    <n v="2040"/>
    <n v="3840"/>
    <n v="1920"/>
    <n v="3840"/>
  </r>
  <r>
    <s v="FASHION VIEWS"/>
    <n v="18.5"/>
    <n v="88"/>
    <n v="0"/>
    <x v="1"/>
    <x v="1"/>
    <x v="9"/>
    <n v="0"/>
    <n v="0"/>
    <n v="0"/>
    <n v="0"/>
  </r>
  <r>
    <s v="FASHION VIEWS"/>
    <n v="14"/>
    <n v="68"/>
    <n v="0"/>
    <x v="1"/>
    <x v="1"/>
    <x v="9"/>
    <n v="0"/>
    <n v="0"/>
    <n v="0"/>
    <n v="0"/>
  </r>
  <r>
    <s v="FASHION VIEWS"/>
    <n v="10"/>
    <n v="52"/>
    <n v="0"/>
    <x v="1"/>
    <x v="1"/>
    <x v="9"/>
    <n v="0"/>
    <n v="0"/>
    <n v="0"/>
    <n v="0"/>
  </r>
  <r>
    <s v="FASHION VIEWS"/>
    <n v="10"/>
    <n v="52"/>
    <n v="0"/>
    <x v="1"/>
    <x v="1"/>
    <x v="9"/>
    <n v="0"/>
    <n v="0"/>
    <n v="0"/>
    <n v="0"/>
  </r>
  <r>
    <s v="FASHION VIEWS"/>
    <n v="27"/>
    <n v="176"/>
    <n v="0"/>
    <x v="1"/>
    <x v="1"/>
    <x v="9"/>
    <n v="0"/>
    <n v="0"/>
    <n v="0"/>
    <n v="0"/>
  </r>
  <r>
    <s v="MARELLE"/>
    <n v="16.5"/>
    <n v="76"/>
    <n v="0"/>
    <x v="1"/>
    <x v="1"/>
    <x v="9"/>
    <n v="0"/>
    <n v="0"/>
    <n v="0"/>
    <n v="0"/>
  </r>
  <r>
    <s v="MARELLE"/>
    <n v="16.5"/>
    <n v="76"/>
    <n v="0"/>
    <x v="1"/>
    <x v="1"/>
    <x v="9"/>
    <n v="0"/>
    <n v="0"/>
    <n v="0"/>
    <n v="0"/>
  </r>
  <r>
    <s v="MARELLE"/>
    <n v="42"/>
    <n v="64"/>
    <n v="0"/>
    <x v="1"/>
    <x v="1"/>
    <x v="9"/>
    <n v="0"/>
    <n v="0"/>
    <n v="0"/>
    <n v="0"/>
  </r>
  <r>
    <s v="FASHION VIEWS"/>
    <n v="36"/>
    <n v="48"/>
    <n v="0"/>
    <x v="1"/>
    <x v="1"/>
    <x v="9"/>
    <n v="0"/>
    <n v="0"/>
    <n v="0"/>
    <n v="0"/>
  </r>
  <r>
    <s v="FASHION VIEWS"/>
    <n v="11.5"/>
    <n v="50"/>
    <n v="0"/>
    <x v="1"/>
    <x v="1"/>
    <x v="9"/>
    <n v="0"/>
    <n v="0"/>
    <n v="0"/>
    <n v="0"/>
  </r>
  <r>
    <s v="MARELLE"/>
    <n v="7.5"/>
    <n v="34"/>
    <n v="0"/>
    <x v="1"/>
    <x v="1"/>
    <x v="9"/>
    <n v="0"/>
    <n v="0"/>
    <n v="0"/>
    <n v="0"/>
  </r>
  <r>
    <s v="MARELLE"/>
    <n v="7.5"/>
    <n v="34"/>
    <n v="0"/>
    <x v="1"/>
    <x v="1"/>
    <x v="9"/>
    <n v="0"/>
    <n v="0"/>
    <n v="0"/>
    <n v="0"/>
  </r>
  <r>
    <s v="MARELLE"/>
    <n v="7.5"/>
    <n v="34"/>
    <n v="0"/>
    <x v="1"/>
    <x v="1"/>
    <x v="9"/>
    <n v="0"/>
    <n v="0"/>
    <n v="0"/>
    <n v="0"/>
  </r>
  <r>
    <s v="MARELLE"/>
    <n v="11"/>
    <n v="48"/>
    <n v="0"/>
    <x v="1"/>
    <x v="1"/>
    <x v="9"/>
    <n v="0"/>
    <n v="0"/>
    <n v="0"/>
    <n v="0"/>
  </r>
  <r>
    <s v="MARELLE"/>
    <n v="15"/>
    <n v="64"/>
    <n v="0"/>
    <x v="1"/>
    <x v="1"/>
    <x v="9"/>
    <n v="0"/>
    <n v="0"/>
    <n v="0"/>
    <n v="0"/>
  </r>
  <r>
    <s v="FASHION VIEWS"/>
    <n v="14"/>
    <n v="60"/>
    <n v="0"/>
    <x v="1"/>
    <x v="1"/>
    <x v="9"/>
    <n v="0"/>
    <n v="0"/>
    <n v="0"/>
    <n v="0"/>
  </r>
  <r>
    <s v="FASHION VIEWS"/>
    <n v="15"/>
    <n v="64"/>
    <n v="0"/>
    <x v="1"/>
    <x v="1"/>
    <x v="9"/>
    <n v="0"/>
    <n v="0"/>
    <n v="0"/>
    <n v="0"/>
  </r>
  <r>
    <s v="FASHION VIEWS"/>
    <n v="18"/>
    <n v="84"/>
    <n v="0"/>
    <x v="1"/>
    <x v="1"/>
    <x v="9"/>
    <n v="0"/>
    <n v="0"/>
    <n v="0"/>
    <n v="0"/>
  </r>
  <r>
    <s v="FASHION VIEWS"/>
    <n v="8"/>
    <n v="36"/>
    <n v="0"/>
    <x v="1"/>
    <x v="1"/>
    <x v="9"/>
    <n v="0"/>
    <n v="0"/>
    <n v="0"/>
    <n v="0"/>
  </r>
  <r>
    <s v="FASHION VIEWS"/>
    <n v="17.5"/>
    <n v="84"/>
    <n v="0"/>
    <x v="1"/>
    <x v="1"/>
    <x v="9"/>
    <n v="0"/>
    <n v="0"/>
    <n v="0"/>
    <n v="0"/>
  </r>
  <r>
    <m/>
    <m/>
    <m/>
    <m/>
    <x v="2"/>
    <x v="2"/>
    <x v="12"/>
    <m/>
    <m/>
    <m/>
    <m/>
  </r>
  <r>
    <m/>
    <m/>
    <m/>
    <m/>
    <x v="2"/>
    <x v="2"/>
    <x v="12"/>
    <m/>
    <m/>
    <m/>
    <m/>
  </r>
  <r>
    <m/>
    <m/>
    <m/>
    <m/>
    <x v="2"/>
    <x v="2"/>
    <x v="12"/>
    <m/>
    <m/>
    <m/>
    <m/>
  </r>
  <r>
    <m/>
    <m/>
    <m/>
    <m/>
    <x v="2"/>
    <x v="2"/>
    <x v="12"/>
    <m/>
    <m/>
    <m/>
    <m/>
  </r>
  <r>
    <m/>
    <m/>
    <m/>
    <m/>
    <x v="2"/>
    <x v="2"/>
    <x v="12"/>
    <m/>
    <m/>
    <m/>
    <m/>
  </r>
  <r>
    <m/>
    <m/>
    <m/>
    <m/>
    <x v="2"/>
    <x v="2"/>
    <x v="12"/>
    <m/>
    <m/>
    <m/>
    <m/>
  </r>
  <r>
    <m/>
    <m/>
    <m/>
    <m/>
    <x v="2"/>
    <x v="2"/>
    <x v="12"/>
    <m/>
    <m/>
    <m/>
    <m/>
  </r>
  <r>
    <m/>
    <m/>
    <m/>
    <m/>
    <x v="2"/>
    <x v="2"/>
    <x v="12"/>
    <m/>
    <m/>
    <m/>
    <m/>
  </r>
  <r>
    <m/>
    <m/>
    <m/>
    <m/>
    <x v="2"/>
    <x v="2"/>
    <x v="12"/>
    <m/>
    <m/>
    <m/>
    <m/>
  </r>
  <r>
    <m/>
    <m/>
    <m/>
    <m/>
    <x v="2"/>
    <x v="2"/>
    <x v="12"/>
    <m/>
    <m/>
    <m/>
    <m/>
  </r>
  <r>
    <s v="KISSY KISSY"/>
    <n v="24.5"/>
    <n v="142"/>
    <n v="244"/>
    <x v="3"/>
    <x v="0"/>
    <x v="0"/>
    <n v="5978"/>
    <n v="34648"/>
    <n v="9272"/>
    <n v="15128"/>
  </r>
  <r>
    <s v="KISSY KISSY"/>
    <n v="20.5"/>
    <n v="112.66666666666667"/>
    <n v="230"/>
    <x v="3"/>
    <x v="0"/>
    <x v="0"/>
    <n v="4715"/>
    <n v="25913.333333333336"/>
    <n v="8740"/>
    <n v="10580"/>
  </r>
  <r>
    <s v="KISSY KISSY"/>
    <n v="23.5"/>
    <n v="136"/>
    <n v="116"/>
    <x v="3"/>
    <x v="0"/>
    <x v="0"/>
    <n v="2726"/>
    <n v="15776"/>
    <n v="4176"/>
    <n v="6496"/>
  </r>
  <r>
    <s v="KISSY KISSY"/>
    <n v="15"/>
    <n v="104"/>
    <n v="248"/>
    <x v="3"/>
    <x v="0"/>
    <x v="0"/>
    <n v="3720"/>
    <n v="25792"/>
    <n v="0"/>
    <n v="5952"/>
  </r>
  <r>
    <s v="KISSY KISSY"/>
    <n v="9.8000000000000007"/>
    <n v="43.2"/>
    <n v="96"/>
    <x v="3"/>
    <x v="0"/>
    <x v="0"/>
    <n v="940.80000000000007"/>
    <n v="4147.2000000000007"/>
    <n v="3379.2000000000003"/>
    <n v="4147.2000000000007"/>
  </r>
  <r>
    <s v="KISSY KISSY"/>
    <n v="21"/>
    <n v="126.66666666666667"/>
    <n v="63"/>
    <x v="3"/>
    <x v="0"/>
    <x v="0"/>
    <n v="1323"/>
    <n v="7980"/>
    <n v="1512"/>
    <n v="2520"/>
  </r>
  <r>
    <s v="KISSY KISSY"/>
    <n v="9"/>
    <n v="62.666666666666671"/>
    <n v="59"/>
    <x v="3"/>
    <x v="0"/>
    <x v="0"/>
    <n v="531"/>
    <n v="3697.3333333333335"/>
    <n v="0"/>
    <n v="944"/>
  </r>
  <r>
    <s v="KISSY KISSY"/>
    <n v="8"/>
    <n v="56"/>
    <n v="76"/>
    <x v="3"/>
    <x v="0"/>
    <x v="0"/>
    <n v="608"/>
    <n v="4256"/>
    <n v="0"/>
    <n v="1216"/>
  </r>
  <r>
    <s v="KISSY KISSY"/>
    <n v="6.5"/>
    <n v="38"/>
    <n v="39"/>
    <x v="3"/>
    <x v="0"/>
    <x v="0"/>
    <n v="253.5"/>
    <n v="1482"/>
    <n v="390"/>
    <n v="702"/>
  </r>
  <r>
    <s v="LIVLY"/>
    <n v="2.5"/>
    <n v="18"/>
    <n v="0"/>
    <x v="3"/>
    <x v="1"/>
    <x v="0"/>
    <n v="0"/>
    <n v="0"/>
    <n v="0"/>
    <n v="0"/>
  </r>
  <r>
    <s v="LIVLY"/>
    <n v="2.5"/>
    <n v="18"/>
    <n v="0"/>
    <x v="3"/>
    <x v="1"/>
    <x v="0"/>
    <n v="0"/>
    <n v="0"/>
    <n v="0"/>
    <n v="0"/>
  </r>
  <r>
    <s v="LIVLY"/>
    <n v="2.5"/>
    <n v="18"/>
    <n v="0"/>
    <x v="3"/>
    <x v="1"/>
    <x v="0"/>
    <n v="0"/>
    <n v="0"/>
    <n v="0"/>
    <n v="0"/>
  </r>
  <r>
    <s v="LIVLY"/>
    <n v="2.5"/>
    <n v="18"/>
    <n v="0"/>
    <x v="3"/>
    <x v="1"/>
    <x v="0"/>
    <n v="0"/>
    <n v="0"/>
    <n v="0"/>
    <n v="0"/>
  </r>
  <r>
    <s v="LIVLY"/>
    <n v="2.5"/>
    <n v="18"/>
    <n v="0"/>
    <x v="3"/>
    <x v="1"/>
    <x v="0"/>
    <n v="0"/>
    <n v="0"/>
    <n v="0"/>
    <n v="0"/>
  </r>
  <r>
    <s v="LIVLY"/>
    <n v="2.5"/>
    <n v="18"/>
    <n v="0"/>
    <x v="3"/>
    <x v="1"/>
    <x v="0"/>
    <n v="0"/>
    <n v="0"/>
    <n v="0"/>
    <n v="0"/>
  </r>
  <r>
    <s v="ARMSTRONG"/>
    <n v="1"/>
    <n v="8"/>
    <n v="0"/>
    <x v="3"/>
    <x v="3"/>
    <x v="1"/>
    <n v="0"/>
    <n v="0"/>
    <n v="0"/>
    <n v="0"/>
  </r>
  <r>
    <s v="ARMSTRONG"/>
    <n v="11"/>
    <n v="74.666666666666671"/>
    <n v="0"/>
    <x v="3"/>
    <x v="3"/>
    <x v="1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TablaDinámica3" cacheId="4" applyNumberFormats="0" applyBorderFormats="0" applyFontFormats="0" applyPatternFormats="0" applyAlignmentFormats="0" applyWidthHeightFormats="1" dataCaption="Valores" updatedVersion="7" minRefreshableVersion="3" useAutoFormatting="1" colGrandTotals="0" itemPrintTitles="1" createdVersion="7" indent="0" outline="1" outlineData="1" multipleFieldFilters="0" chartFormat="12" rowHeaderCaption="Clientes">
  <location ref="B5:D25" firstHeaderRow="0" firstDataRow="1" firstDataCol="1"/>
  <pivotFields count="9">
    <pivotField axis="axisRow" showAll="0">
      <items count="15">
        <item x="12"/>
        <item x="10"/>
        <item x="6"/>
        <item x="9"/>
        <item x="7"/>
        <item x="2"/>
        <item x="1"/>
        <item x="0"/>
        <item x="4"/>
        <item x="8"/>
        <item x="3"/>
        <item x="5"/>
        <item m="1" x="13"/>
        <item h="1" x="11"/>
        <item t="default"/>
      </items>
    </pivotField>
    <pivotField showAll="0"/>
    <pivotField showAll="0"/>
    <pivotField dataField="1" showAll="0"/>
    <pivotField axis="axisRow" showAll="0">
      <items count="5">
        <item x="0"/>
        <item x="1"/>
        <item h="1" x="3"/>
        <item h="1" x="2"/>
        <item t="default"/>
      </items>
    </pivotField>
    <pivotField showAll="0"/>
    <pivotField showAll="0"/>
    <pivotField showAll="0"/>
    <pivotField dataField="1" showAll="0"/>
  </pivotFields>
  <rowFields count="2">
    <field x="4"/>
    <field x="0"/>
  </rowFields>
  <rowItems count="20">
    <i>
      <x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 v="1"/>
    </i>
    <i r="1">
      <x v="2"/>
    </i>
    <i r="1">
      <x v="3"/>
    </i>
    <i r="1">
      <x v="6"/>
    </i>
    <i r="1">
      <x v="7"/>
    </i>
    <i r="1">
      <x v="9"/>
    </i>
    <i r="1">
      <x v="10"/>
    </i>
    <i r="1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 Producida" fld="3" baseField="0" baseItem="6"/>
    <dataField name="Total Minutos " fld="8" baseField="0" baseItem="0" numFmtId="1"/>
  </dataFields>
  <formats count="13">
    <format dxfId="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">
      <pivotArea outline="0" collapsedLevelsAreSubtotals="1" fieldPosition="0"/>
    </format>
    <format dxfId="28">
      <pivotArea collapsedLevelsAreSubtotals="1" fieldPosition="0">
        <references count="1">
          <reference field="4" count="1">
            <x v="0"/>
          </reference>
        </references>
      </pivotArea>
    </format>
    <format dxfId="27">
      <pivotArea collapsedLevelsAreSubtotals="1" fieldPosition="0">
        <references count="2">
          <reference field="0" count="10">
            <x v="2"/>
            <x v="4"/>
            <x v="5"/>
            <x v="6"/>
            <x v="7"/>
            <x v="8"/>
            <x v="9"/>
            <x v="10"/>
            <x v="11"/>
            <x v="12"/>
          </reference>
          <reference field="4" count="1" selected="0">
            <x v="0"/>
          </reference>
        </references>
      </pivotArea>
    </format>
    <format dxfId="26">
      <pivotArea dataOnly="0" labelOnly="1" fieldPosition="0">
        <references count="1">
          <reference field="4" count="1">
            <x v="0"/>
          </reference>
        </references>
      </pivotArea>
    </format>
    <format dxfId="25">
      <pivotArea dataOnly="0" labelOnly="1" fieldPosition="0">
        <references count="2">
          <reference field="0" count="10">
            <x v="2"/>
            <x v="4"/>
            <x v="5"/>
            <x v="6"/>
            <x v="7"/>
            <x v="8"/>
            <x v="9"/>
            <x v="10"/>
            <x v="11"/>
            <x v="12"/>
          </reference>
          <reference field="4" count="1" selected="0">
            <x v="0"/>
          </reference>
        </references>
      </pivotArea>
    </format>
    <format dxfId="24">
      <pivotArea collapsedLevelsAreSubtotals="1" fieldPosition="0">
        <references count="1">
          <reference field="4" count="1">
            <x v="1"/>
          </reference>
        </references>
      </pivotArea>
    </format>
    <format dxfId="23">
      <pivotArea dataOnly="0" labelOnly="1" fieldPosition="0">
        <references count="1">
          <reference field="4" count="1">
            <x v="1"/>
          </reference>
        </references>
      </pivotArea>
    </format>
    <format dxfId="22">
      <pivotArea collapsedLevelsAreSubtotals="1" fieldPosition="0">
        <references count="1">
          <reference field="4" count="1">
            <x v="0"/>
          </reference>
        </references>
      </pivotArea>
    </format>
    <format dxfId="21">
      <pivotArea dataOnly="0" labelOnly="1" fieldPosition="0">
        <references count="1">
          <reference field="4" count="1">
            <x v="0"/>
          </reference>
        </references>
      </pivotArea>
    </format>
    <format dxfId="20">
      <pivotArea dataOnly="0" fieldPosition="0">
        <references count="1">
          <reference field="4" count="1">
            <x v="1"/>
          </reference>
        </references>
      </pivotArea>
    </format>
    <format dxfId="19">
      <pivotArea dataOnly="0" fieldPosition="0">
        <references count="1">
          <reference field="0" count="9">
            <x v="2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8">
      <pivotArea dataOnly="0" fieldPosition="0">
        <references count="1">
          <reference field="0" count="8">
            <x v="1"/>
            <x v="2"/>
            <x v="3"/>
            <x v="6"/>
            <x v="7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Dinámica11" cacheId="4" applyNumberFormats="0" applyBorderFormats="0" applyFontFormats="0" applyPatternFormats="0" applyAlignmentFormats="0" applyWidthHeightFormats="1" dataCaption="Valores" updatedVersion="7" minRefreshableVersion="3" useAutoFormatting="1" colGrandTotals="0" itemPrintTitles="1" createdVersion="7" indent="0" outline="1" outlineData="1" multipleFieldFilters="0" chartFormat="8" rowHeaderCaption="Tipo de prenda">
  <location ref="H27:I31" firstHeaderRow="1" firstDataRow="1" firstDataCol="1"/>
  <pivotFields count="9">
    <pivotField showAll="0"/>
    <pivotField showAll="0"/>
    <pivotField showAll="0"/>
    <pivotField dataField="1" showAll="0"/>
    <pivotField axis="axisRow" showAll="0">
      <items count="5">
        <item h="1" x="0"/>
        <item x="1"/>
        <item h="1" x="3"/>
        <item h="1" x="2"/>
        <item t="default"/>
      </items>
    </pivotField>
    <pivotField axis="axisRow" showAll="0">
      <items count="9">
        <item x="0"/>
        <item m="1" x="4"/>
        <item x="3"/>
        <item m="1" x="6"/>
        <item m="1" x="7"/>
        <item x="1"/>
        <item h="1" x="2"/>
        <item m="1" x="5"/>
        <item t="default"/>
      </items>
    </pivotField>
    <pivotField showAll="0"/>
    <pivotField showAll="0"/>
    <pivotField showAll="0"/>
  </pivotFields>
  <rowFields count="2">
    <field x="4"/>
    <field x="5"/>
  </rowFields>
  <rowItems count="4">
    <i>
      <x v="1"/>
    </i>
    <i r="1">
      <x/>
    </i>
    <i r="1">
      <x v="5"/>
    </i>
    <i t="grand">
      <x/>
    </i>
  </rowItems>
  <colItems count="1">
    <i/>
  </colItems>
  <dataFields count="1">
    <dataField name="Suma de Export" fld="3" baseField="0" baseItem="0"/>
  </dataFields>
  <formats count="1">
    <format dxfId="10">
      <pivotArea outline="0" collapsedLevelsAreSubtotals="1" fieldPosition="0"/>
    </format>
  </formats>
  <chartFormats count="3">
    <chartFormat chart="7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5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7" format="16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TablaDinámica4" cacheId="4" applyNumberFormats="0" applyBorderFormats="0" applyFontFormats="0" applyPatternFormats="0" applyAlignmentFormats="0" applyWidthHeightFormats="1" dataCaption="Valores" updatedVersion="7" minRefreshableVersion="3" useAutoFormatting="1" colGrandTotals="0" itemPrintTitles="1" createdVersion="7" indent="0" outline="1" outlineData="1" multipleFieldFilters="0" chartFormat="4" rowHeaderCaption="Tipo de prenda">
  <location ref="B5:D12" firstHeaderRow="0" firstDataRow="1" firstDataCol="1"/>
  <pivotFields count="9">
    <pivotField showAll="0"/>
    <pivotField showAll="0"/>
    <pivotField showAll="0"/>
    <pivotField dataField="1" showAll="0"/>
    <pivotField axis="axisRow" showAll="0">
      <items count="5">
        <item x="0"/>
        <item x="1"/>
        <item h="1" x="3"/>
        <item h="1" x="2"/>
        <item t="default"/>
      </items>
    </pivotField>
    <pivotField axis="axisRow" showAll="0">
      <items count="9">
        <item x="0"/>
        <item m="1" x="4"/>
        <item x="3"/>
        <item m="1" x="6"/>
        <item m="1" x="7"/>
        <item x="1"/>
        <item h="1" x="2"/>
        <item m="1" x="5"/>
        <item t="default"/>
      </items>
    </pivotField>
    <pivotField showAll="0"/>
    <pivotField showAll="0"/>
    <pivotField dataField="1" showAll="0"/>
  </pivotFields>
  <rowFields count="2">
    <field x="4"/>
    <field x="5"/>
  </rowFields>
  <rowItems count="7">
    <i>
      <x/>
    </i>
    <i r="1">
      <x/>
    </i>
    <i r="1">
      <x v="5"/>
    </i>
    <i>
      <x v="1"/>
    </i>
    <i r="1">
      <x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Cant Prendas" fld="3" baseField="5" baseItem="3" numFmtId="3"/>
    <dataField name="Total Minutos " fld="8" baseField="0" baseItem="0" numFmtId="1"/>
  </dataFields>
  <formats count="7">
    <format dxfId="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">
      <pivotArea outline="0" fieldPosition="0">
        <references count="1">
          <reference field="4294967294" count="1">
            <x v="0"/>
          </reference>
        </references>
      </pivotArea>
    </format>
    <format dxfId="15">
      <pivotArea outline="0" collapsedLevelsAreSubtotals="1" fieldPosition="0"/>
    </format>
    <format dxfId="14">
      <pivotArea dataOnly="0" fieldPosition="0">
        <references count="1">
          <reference field="4" count="1">
            <x v="0"/>
          </reference>
        </references>
      </pivotArea>
    </format>
    <format dxfId="13">
      <pivotArea dataOnly="0" fieldPosition="0">
        <references count="1">
          <reference field="4" count="1">
            <x v="0"/>
          </reference>
        </references>
      </pivotArea>
    </format>
    <format dxfId="12">
      <pivotArea collapsedLevelsAreSubtotals="1" fieldPosition="0">
        <references count="1">
          <reference field="4" count="1">
            <x v="1"/>
          </reference>
        </references>
      </pivotArea>
    </format>
    <format dxfId="11">
      <pivotArea dataOnly="0" labelOnly="1" fieldPosition="0">
        <references count="1">
          <reference field="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TablaDinámica5" cacheId="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Año/Mes">
  <location ref="B5:D30" firstHeaderRow="0" firstDataRow="1" firstDataCol="1"/>
  <pivotFields count="11">
    <pivotField showAll="0"/>
    <pivotField showAll="0"/>
    <pivotField showAll="0"/>
    <pivotField dataField="1" showAll="0"/>
    <pivotField axis="axisRow" showAll="0">
      <items count="5">
        <item x="0"/>
        <item x="1"/>
        <item h="1" x="3"/>
        <item h="1" x="2"/>
        <item t="default"/>
      </items>
    </pivotField>
    <pivotField showAll="0"/>
    <pivotField axis="axisRow" showAll="0">
      <items count="14">
        <item x="0"/>
        <item x="1"/>
        <item x="2"/>
        <item x="10"/>
        <item x="11"/>
        <item x="3"/>
        <item x="4"/>
        <item x="5"/>
        <item x="6"/>
        <item x="7"/>
        <item x="8"/>
        <item x="9"/>
        <item x="12"/>
        <item t="default"/>
      </items>
    </pivotField>
    <pivotField showAll="0"/>
    <pivotField showAll="0"/>
    <pivotField showAll="0"/>
    <pivotField dataField="1" showAll="0"/>
  </pivotFields>
  <rowFields count="2">
    <field x="4"/>
    <field x="6"/>
  </rowFields>
  <rowItems count="25">
    <i>
      <x/>
    </i>
    <i r="1">
      <x/>
    </i>
    <i r="1">
      <x v="1"/>
    </i>
    <i r="1">
      <x v="2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.Producido" fld="3" baseField="6" baseItem="7"/>
    <dataField name="Total Minutos." fld="10" baseField="0" baseItem="0"/>
  </dataFields>
  <formats count="5">
    <format dxfId="9">
      <pivotArea outline="0" collapsedLevelsAreSubtotals="1" fieldPosition="0"/>
    </format>
    <format dxfId="8">
      <pivotArea collapsedLevelsAreSubtotals="1" fieldPosition="0">
        <references count="1">
          <reference field="4" count="1">
            <x v="0"/>
          </reference>
        </references>
      </pivotArea>
    </format>
    <format dxfId="7">
      <pivotArea dataOnly="0" labelOnly="1" fieldPosition="0">
        <references count="1">
          <reference field="4" count="1">
            <x v="0"/>
          </reference>
        </references>
      </pivotArea>
    </format>
    <format dxfId="6">
      <pivotArea collapsedLevelsAreSubtotals="1" fieldPosition="0">
        <references count="1">
          <reference field="4" count="1">
            <x v="1"/>
          </reference>
        </references>
      </pivotArea>
    </format>
    <format dxfId="5">
      <pivotArea dataOnly="0" labelOnly="1" fieldPosition="0">
        <references count="1">
          <reference field="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TablaDinámica6" cacheId="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2" rowHeaderCaption="Año/Mes">
  <location ref="B7:D30" firstHeaderRow="0" firstDataRow="1" firstDataCol="1" rowPageCount="1" colPageCount="1"/>
  <pivotFields count="11">
    <pivotField showAll="0"/>
    <pivotField showAll="0"/>
    <pivotField showAll="0"/>
    <pivotField dataField="1" showAll="0"/>
    <pivotField axis="axisRow" showAll="0">
      <items count="5">
        <item x="0"/>
        <item x="1"/>
        <item h="1" x="3"/>
        <item h="1" x="2"/>
        <item t="default"/>
      </items>
    </pivotField>
    <pivotField name="Tipo Prenda" axis="axisPage" multipleItemSelectionAllowed="1" showAll="0">
      <items count="9">
        <item h="1" x="0"/>
        <item h="1" m="1" x="4"/>
        <item h="1" x="3"/>
        <item h="1" m="1" x="6"/>
        <item h="1" m="1" x="7"/>
        <item x="1"/>
        <item h="1" x="2"/>
        <item h="1" m="1" x="5"/>
        <item t="default"/>
      </items>
    </pivotField>
    <pivotField axis="axisRow" showAll="0">
      <items count="14">
        <item x="0"/>
        <item x="1"/>
        <item x="2"/>
        <item x="10"/>
        <item x="11"/>
        <item x="3"/>
        <item x="4"/>
        <item x="5"/>
        <item x="6"/>
        <item x="7"/>
        <item x="8"/>
        <item x="9"/>
        <item x="12"/>
        <item t="default"/>
      </items>
    </pivotField>
    <pivotField showAll="0"/>
    <pivotField showAll="0"/>
    <pivotField showAll="0"/>
    <pivotField dataField="1" showAll="0"/>
  </pivotFields>
  <rowFields count="2">
    <field x="4"/>
    <field x="6"/>
  </rowFields>
  <rowItems count="23">
    <i>
      <x/>
    </i>
    <i r="1">
      <x v="1"/>
    </i>
    <i r="1">
      <x v="2"/>
    </i>
    <i r="1">
      <x v="5"/>
    </i>
    <i r="1">
      <x v="6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Cantidad Producido" fld="3" baseField="6" baseItem="2"/>
    <dataField name="Total Minutos." fld="10" baseField="0" baseItem="0"/>
  </dataFields>
  <formats count="5">
    <format dxfId="4">
      <pivotArea outline="0" collapsedLevelsAreSubtotals="1" fieldPosition="0"/>
    </format>
    <format dxfId="3">
      <pivotArea collapsedLevelsAreSubtotals="1" fieldPosition="0">
        <references count="1">
          <reference field="4" count="1">
            <x v="0"/>
          </reference>
        </references>
      </pivotArea>
    </format>
    <format dxfId="2">
      <pivotArea dataOnly="0" labelOnly="1" fieldPosition="0">
        <references count="1">
          <reference field="4" count="1">
            <x v="0"/>
          </reference>
        </references>
      </pivotArea>
    </format>
    <format dxfId="1">
      <pivotArea collapsedLevelsAreSubtotals="1" fieldPosition="0">
        <references count="1">
          <reference field="4" count="1">
            <x v="1"/>
          </reference>
        </references>
      </pivotArea>
    </format>
    <format dxfId="0">
      <pivotArea dataOnly="0" labelOnly="1" fieldPosition="0">
        <references count="1">
          <reference field="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BE1B-CD5C-4F77-AF68-25361E6B4075}">
  <sheetPr codeName="Hoja28"/>
  <dimension ref="A1:J25"/>
  <sheetViews>
    <sheetView workbookViewId="0">
      <selection activeCell="E12" sqref="E12"/>
    </sheetView>
  </sheetViews>
  <sheetFormatPr baseColWidth="10" defaultRowHeight="14.4" x14ac:dyDescent="0.3"/>
  <cols>
    <col min="2" max="2" width="18.109375" bestFit="1" customWidth="1"/>
    <col min="3" max="3" width="13.88671875" bestFit="1" customWidth="1"/>
    <col min="4" max="4" width="13.109375" bestFit="1" customWidth="1"/>
  </cols>
  <sheetData>
    <row r="1" spans="1:10" x14ac:dyDescent="0.3">
      <c r="A1" s="417" t="s">
        <v>1999</v>
      </c>
      <c r="B1" s="417"/>
      <c r="C1" s="417"/>
      <c r="D1" s="417"/>
      <c r="E1" s="417"/>
      <c r="F1" s="417"/>
      <c r="G1" s="417"/>
      <c r="H1" s="417"/>
      <c r="I1" s="417"/>
      <c r="J1" s="417"/>
    </row>
    <row r="2" spans="1:10" x14ac:dyDescent="0.3">
      <c r="A2" s="417"/>
      <c r="B2" s="417"/>
      <c r="C2" s="417"/>
      <c r="D2" s="417"/>
      <c r="E2" s="417"/>
      <c r="F2" s="417"/>
      <c r="G2" s="417"/>
      <c r="H2" s="417"/>
      <c r="I2" s="417"/>
      <c r="J2" s="417"/>
    </row>
    <row r="4" spans="1:10" x14ac:dyDescent="0.3">
      <c r="B4" t="s">
        <v>1984</v>
      </c>
    </row>
    <row r="5" spans="1:10" x14ac:dyDescent="0.3">
      <c r="B5" s="364" t="s">
        <v>1966</v>
      </c>
      <c r="C5" t="s">
        <v>1992</v>
      </c>
      <c r="D5" t="s">
        <v>1972</v>
      </c>
      <c r="E5" s="405" t="s">
        <v>1985</v>
      </c>
    </row>
    <row r="6" spans="1:10" x14ac:dyDescent="0.3">
      <c r="B6" s="412">
        <v>2020</v>
      </c>
      <c r="C6" s="413">
        <v>11169</v>
      </c>
      <c r="D6" s="413">
        <v>716684</v>
      </c>
      <c r="E6" s="406">
        <f>GETPIVOTDATA("Cant Producida",$B$5,"Año",2020)/10</f>
        <v>1116.9000000000001</v>
      </c>
    </row>
    <row r="7" spans="1:10" x14ac:dyDescent="0.3">
      <c r="B7" s="414" t="s">
        <v>1617</v>
      </c>
      <c r="C7" s="415">
        <v>497</v>
      </c>
      <c r="D7" s="415">
        <v>36132</v>
      </c>
      <c r="E7" s="407"/>
    </row>
    <row r="8" spans="1:10" x14ac:dyDescent="0.3">
      <c r="B8" s="414" t="s">
        <v>1847</v>
      </c>
      <c r="C8" s="415">
        <v>123</v>
      </c>
      <c r="D8" s="415">
        <v>4141.2</v>
      </c>
      <c r="E8" s="407"/>
    </row>
    <row r="9" spans="1:10" x14ac:dyDescent="0.3">
      <c r="B9" s="414" t="s">
        <v>1846</v>
      </c>
      <c r="C9" s="415">
        <v>144</v>
      </c>
      <c r="D9" s="415">
        <v>11808</v>
      </c>
      <c r="E9" s="407"/>
    </row>
    <row r="10" spans="1:10" x14ac:dyDescent="0.3">
      <c r="B10" s="414" t="s">
        <v>1615</v>
      </c>
      <c r="C10" s="415">
        <v>4892</v>
      </c>
      <c r="D10" s="415">
        <v>360973.2</v>
      </c>
      <c r="E10" s="407"/>
    </row>
    <row r="11" spans="1:10" x14ac:dyDescent="0.3">
      <c r="B11" s="414" t="s">
        <v>1616</v>
      </c>
      <c r="C11" s="415">
        <v>2984</v>
      </c>
      <c r="D11" s="415">
        <v>158528</v>
      </c>
      <c r="E11" s="407"/>
    </row>
    <row r="12" spans="1:10" x14ac:dyDescent="0.3">
      <c r="B12" s="414" t="s">
        <v>1845</v>
      </c>
      <c r="C12" s="415">
        <v>58</v>
      </c>
      <c r="D12" s="415">
        <v>3480</v>
      </c>
      <c r="E12" s="407"/>
    </row>
    <row r="13" spans="1:10" x14ac:dyDescent="0.3">
      <c r="B13" s="414" t="s">
        <v>1830</v>
      </c>
      <c r="C13" s="415">
        <v>140</v>
      </c>
      <c r="D13" s="415">
        <v>9520</v>
      </c>
      <c r="E13" s="407"/>
    </row>
    <row r="14" spans="1:10" x14ac:dyDescent="0.3">
      <c r="B14" s="414" t="s">
        <v>1618</v>
      </c>
      <c r="C14" s="415">
        <v>1924</v>
      </c>
      <c r="D14" s="415">
        <v>111283.6</v>
      </c>
      <c r="E14" s="407"/>
      <c r="G14" t="s">
        <v>1994</v>
      </c>
    </row>
    <row r="15" spans="1:10" x14ac:dyDescent="0.3">
      <c r="B15" s="414" t="s">
        <v>1621</v>
      </c>
      <c r="C15" s="415">
        <v>407</v>
      </c>
      <c r="D15" s="415">
        <v>20818</v>
      </c>
      <c r="E15" s="407"/>
    </row>
    <row r="16" spans="1:10" x14ac:dyDescent="0.3">
      <c r="B16" s="412">
        <v>2021</v>
      </c>
      <c r="C16" s="413">
        <v>22215</v>
      </c>
      <c r="D16" s="413">
        <v>1272508</v>
      </c>
      <c r="E16" s="416">
        <f>+GETPIVOTDATA("Cant Producida",$B$5,"Año",2021)/11</f>
        <v>2019.5454545454545</v>
      </c>
      <c r="G16" t="s">
        <v>1977</v>
      </c>
      <c r="H16" t="s">
        <v>1979</v>
      </c>
      <c r="I16" t="s">
        <v>1978</v>
      </c>
    </row>
    <row r="17" spans="2:9" x14ac:dyDescent="0.3">
      <c r="B17" s="414" t="s">
        <v>1620</v>
      </c>
      <c r="C17" s="415">
        <v>160</v>
      </c>
      <c r="D17" s="415">
        <v>8192</v>
      </c>
      <c r="E17" s="408"/>
      <c r="G17" t="s">
        <v>1620</v>
      </c>
      <c r="H17" s="400">
        <f t="shared" ref="H17:H25" si="0">+I17/$I$25</f>
        <v>7.2023407607472428E-3</v>
      </c>
      <c r="I17" s="366">
        <f t="shared" ref="I17:I24" si="1">+C17</f>
        <v>160</v>
      </c>
    </row>
    <row r="18" spans="2:9" x14ac:dyDescent="0.3">
      <c r="B18" s="414" t="s">
        <v>1617</v>
      </c>
      <c r="C18" s="415">
        <v>234</v>
      </c>
      <c r="D18" s="415">
        <v>8964</v>
      </c>
      <c r="G18" t="s">
        <v>1617</v>
      </c>
      <c r="H18" s="400">
        <f t="shared" si="0"/>
        <v>1.0533423362592843E-2</v>
      </c>
      <c r="I18" s="366">
        <f t="shared" si="1"/>
        <v>234</v>
      </c>
    </row>
    <row r="19" spans="2:9" x14ac:dyDescent="0.3">
      <c r="B19" s="414" t="s">
        <v>1623</v>
      </c>
      <c r="C19" s="415">
        <v>224</v>
      </c>
      <c r="D19" s="415">
        <v>13752</v>
      </c>
      <c r="G19" t="s">
        <v>1623</v>
      </c>
      <c r="H19" s="400">
        <f t="shared" si="0"/>
        <v>1.008327706504614E-2</v>
      </c>
      <c r="I19" s="366">
        <f t="shared" si="1"/>
        <v>224</v>
      </c>
    </row>
    <row r="20" spans="2:9" x14ac:dyDescent="0.3">
      <c r="B20" s="414" t="s">
        <v>1615</v>
      </c>
      <c r="C20" s="415">
        <v>7440</v>
      </c>
      <c r="D20" s="415">
        <v>438708.4</v>
      </c>
      <c r="G20" t="s">
        <v>1615</v>
      </c>
      <c r="H20" s="400">
        <f t="shared" si="0"/>
        <v>0.3349088453747468</v>
      </c>
      <c r="I20" s="366">
        <f t="shared" si="1"/>
        <v>7440</v>
      </c>
    </row>
    <row r="21" spans="2:9" x14ac:dyDescent="0.3">
      <c r="B21" s="414" t="s">
        <v>1616</v>
      </c>
      <c r="C21" s="415">
        <v>8521</v>
      </c>
      <c r="D21" s="415">
        <v>450255.19999999995</v>
      </c>
      <c r="G21" t="s">
        <v>1616</v>
      </c>
      <c r="H21" s="400">
        <f t="shared" si="0"/>
        <v>0.38356966013954535</v>
      </c>
      <c r="I21" s="366">
        <f t="shared" si="1"/>
        <v>8521</v>
      </c>
    </row>
    <row r="22" spans="2:9" x14ac:dyDescent="0.3">
      <c r="B22" s="414" t="s">
        <v>1830</v>
      </c>
      <c r="C22" s="415">
        <v>797</v>
      </c>
      <c r="D22" s="415">
        <v>63320</v>
      </c>
      <c r="G22" t="s">
        <v>1830</v>
      </c>
      <c r="H22" s="400">
        <f t="shared" si="0"/>
        <v>3.5876659914472205E-2</v>
      </c>
      <c r="I22" s="366">
        <f t="shared" si="1"/>
        <v>797</v>
      </c>
    </row>
    <row r="23" spans="2:9" x14ac:dyDescent="0.3">
      <c r="B23" s="414" t="s">
        <v>1618</v>
      </c>
      <c r="C23" s="415">
        <v>4671</v>
      </c>
      <c r="D23" s="415">
        <v>280524.40000000002</v>
      </c>
      <c r="G23" t="s">
        <v>1618</v>
      </c>
      <c r="H23" s="400">
        <f t="shared" si="0"/>
        <v>0.21026333558406482</v>
      </c>
      <c r="I23" s="366">
        <f t="shared" si="1"/>
        <v>4671</v>
      </c>
    </row>
    <row r="24" spans="2:9" x14ac:dyDescent="0.3">
      <c r="B24" s="414" t="s">
        <v>1621</v>
      </c>
      <c r="C24" s="415">
        <v>168</v>
      </c>
      <c r="D24" s="415">
        <v>8792</v>
      </c>
      <c r="G24" t="s">
        <v>1621</v>
      </c>
      <c r="H24" s="400">
        <f t="shared" si="0"/>
        <v>7.5624577987846052E-3</v>
      </c>
      <c r="I24" s="366">
        <f t="shared" si="1"/>
        <v>168</v>
      </c>
    </row>
    <row r="25" spans="2:9" x14ac:dyDescent="0.3">
      <c r="B25" s="49" t="s">
        <v>1964</v>
      </c>
      <c r="C25" s="366">
        <v>33384</v>
      </c>
      <c r="D25" s="366">
        <v>1989192</v>
      </c>
      <c r="G25" t="s">
        <v>1980</v>
      </c>
      <c r="H25" s="400">
        <f t="shared" si="0"/>
        <v>1</v>
      </c>
      <c r="I25">
        <f>SUM(I17:I24)</f>
        <v>22215</v>
      </c>
    </row>
  </sheetData>
  <mergeCells count="1">
    <mergeCell ref="A1:J2"/>
  </mergeCell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E1B0F-D531-4666-900F-6A473FF98A9A}">
  <dimension ref="B2:J32"/>
  <sheetViews>
    <sheetView tabSelected="1" topLeftCell="A10" workbookViewId="0">
      <selection activeCell="I35" sqref="I35"/>
    </sheetView>
  </sheetViews>
  <sheetFormatPr baseColWidth="10" defaultRowHeight="14.4" x14ac:dyDescent="0.3"/>
  <cols>
    <col min="2" max="2" width="17" bestFit="1" customWidth="1"/>
    <col min="3" max="3" width="12.109375" bestFit="1" customWidth="1"/>
    <col min="4" max="4" width="13.109375" bestFit="1" customWidth="1"/>
    <col min="8" max="8" width="17" bestFit="1" customWidth="1"/>
    <col min="9" max="9" width="14.21875" bestFit="1" customWidth="1"/>
  </cols>
  <sheetData>
    <row r="2" spans="2:10" x14ac:dyDescent="0.3">
      <c r="B2" s="417" t="s">
        <v>1995</v>
      </c>
      <c r="C2" s="417"/>
      <c r="D2" s="417"/>
      <c r="E2" s="417"/>
      <c r="F2" s="417"/>
      <c r="G2" s="417"/>
      <c r="H2" s="417"/>
      <c r="I2" s="417"/>
      <c r="J2" s="417"/>
    </row>
    <row r="3" spans="2:10" x14ac:dyDescent="0.3">
      <c r="B3" s="417"/>
      <c r="C3" s="417"/>
      <c r="D3" s="417"/>
      <c r="E3" s="417"/>
      <c r="F3" s="417"/>
      <c r="G3" s="417"/>
      <c r="H3" s="417"/>
      <c r="I3" s="417"/>
      <c r="J3" s="417"/>
    </row>
    <row r="4" spans="2:10" x14ac:dyDescent="0.3">
      <c r="B4" t="s">
        <v>1984</v>
      </c>
    </row>
    <row r="5" spans="2:10" x14ac:dyDescent="0.3">
      <c r="B5" s="364" t="s">
        <v>1967</v>
      </c>
      <c r="C5" t="s">
        <v>1993</v>
      </c>
      <c r="D5" t="s">
        <v>1972</v>
      </c>
    </row>
    <row r="6" spans="2:10" x14ac:dyDescent="0.3">
      <c r="B6" s="410">
        <v>2020</v>
      </c>
      <c r="C6" s="411">
        <v>11169</v>
      </c>
      <c r="D6" s="411">
        <v>716683.99999999988</v>
      </c>
      <c r="F6" s="400"/>
      <c r="G6" t="s">
        <v>1983</v>
      </c>
      <c r="H6" s="409" t="s">
        <v>1982</v>
      </c>
      <c r="I6" s="409" t="s">
        <v>1981</v>
      </c>
      <c r="J6" t="s">
        <v>1988</v>
      </c>
    </row>
    <row r="7" spans="2:10" x14ac:dyDescent="0.3">
      <c r="B7" s="365" t="s">
        <v>1848</v>
      </c>
      <c r="C7" s="366">
        <v>3972</v>
      </c>
      <c r="D7" s="366">
        <v>217390.79999999996</v>
      </c>
      <c r="F7" s="400"/>
      <c r="G7" t="s">
        <v>1848</v>
      </c>
      <c r="H7" s="366">
        <f>+C7</f>
        <v>3972</v>
      </c>
      <c r="I7" s="366">
        <f>+C10</f>
        <v>9078</v>
      </c>
      <c r="J7" s="400">
        <f>(I7-H7)/H7</f>
        <v>1.2854984894259818</v>
      </c>
    </row>
    <row r="8" spans="2:10" x14ac:dyDescent="0.3">
      <c r="B8" s="365" t="s">
        <v>1881</v>
      </c>
      <c r="C8" s="366">
        <v>7197</v>
      </c>
      <c r="D8" s="366">
        <v>499293.19999999995</v>
      </c>
      <c r="F8" s="400"/>
      <c r="G8" t="s">
        <v>1881</v>
      </c>
      <c r="H8" s="366">
        <f>+C8</f>
        <v>7197</v>
      </c>
      <c r="I8" s="366">
        <f>+C11</f>
        <v>13137</v>
      </c>
      <c r="J8" s="400">
        <f>(I8-H8)/H8</f>
        <v>0.82534389328887037</v>
      </c>
    </row>
    <row r="9" spans="2:10" x14ac:dyDescent="0.3">
      <c r="B9" s="410">
        <v>2021</v>
      </c>
      <c r="C9" s="411">
        <v>22215</v>
      </c>
      <c r="D9" s="411">
        <v>1272508</v>
      </c>
      <c r="F9" s="400"/>
    </row>
    <row r="10" spans="2:10" x14ac:dyDescent="0.3">
      <c r="B10" s="365" t="s">
        <v>1848</v>
      </c>
      <c r="C10" s="366">
        <v>9078</v>
      </c>
      <c r="D10" s="366">
        <v>477679.19999999995</v>
      </c>
      <c r="F10" s="400"/>
      <c r="H10">
        <f>SUM(H7:H9)</f>
        <v>11169</v>
      </c>
      <c r="I10">
        <f>SUM(I7:I9)</f>
        <v>22215</v>
      </c>
      <c r="J10" s="400">
        <f>(I10-H10)/H10</f>
        <v>0.98898737577222673</v>
      </c>
    </row>
    <row r="11" spans="2:10" x14ac:dyDescent="0.3">
      <c r="B11" s="365" t="s">
        <v>1881</v>
      </c>
      <c r="C11" s="366">
        <v>13137</v>
      </c>
      <c r="D11" s="366">
        <v>794828.80000000005</v>
      </c>
      <c r="F11" s="400"/>
    </row>
    <row r="12" spans="2:10" x14ac:dyDescent="0.3">
      <c r="B12" s="49" t="s">
        <v>1964</v>
      </c>
      <c r="C12" s="366">
        <v>33384</v>
      </c>
      <c r="D12" s="366">
        <v>1989191.9999999998</v>
      </c>
    </row>
    <row r="18" spans="2:10" x14ac:dyDescent="0.3">
      <c r="B18" s="49"/>
      <c r="C18" s="366"/>
      <c r="D18" s="366"/>
      <c r="E18" s="366"/>
    </row>
    <row r="19" spans="2:10" x14ac:dyDescent="0.3">
      <c r="B19" s="49"/>
      <c r="C19" s="366"/>
      <c r="D19" s="366"/>
      <c r="E19" s="366"/>
    </row>
    <row r="20" spans="2:10" x14ac:dyDescent="0.3">
      <c r="B20" s="49"/>
      <c r="C20" s="366"/>
      <c r="D20" s="366"/>
      <c r="E20" s="366"/>
    </row>
    <row r="21" spans="2:10" x14ac:dyDescent="0.3">
      <c r="B21" s="49"/>
      <c r="C21" s="366"/>
      <c r="D21" s="366"/>
      <c r="E21" s="366"/>
    </row>
    <row r="22" spans="2:10" x14ac:dyDescent="0.3">
      <c r="B22" s="49"/>
      <c r="C22" s="366"/>
      <c r="D22" s="366"/>
      <c r="E22" s="366"/>
    </row>
    <row r="23" spans="2:10" x14ac:dyDescent="0.3">
      <c r="B23" s="49"/>
      <c r="C23" s="366"/>
      <c r="D23" s="366"/>
      <c r="E23" s="366"/>
    </row>
    <row r="24" spans="2:10" x14ac:dyDescent="0.3">
      <c r="B24" s="49"/>
      <c r="C24" s="366"/>
      <c r="D24" s="366"/>
      <c r="E24" s="366"/>
    </row>
    <row r="25" spans="2:10" x14ac:dyDescent="0.3">
      <c r="B25" s="49"/>
      <c r="C25" s="366"/>
      <c r="D25" s="366"/>
      <c r="E25" s="366"/>
    </row>
    <row r="26" spans="2:10" x14ac:dyDescent="0.3">
      <c r="B26" s="49"/>
      <c r="C26" s="366"/>
      <c r="D26" s="366"/>
      <c r="E26" s="366"/>
    </row>
    <row r="27" spans="2:10" x14ac:dyDescent="0.3">
      <c r="B27" s="49"/>
      <c r="C27" s="366"/>
      <c r="D27" s="366"/>
      <c r="E27" s="366"/>
      <c r="H27" s="364" t="s">
        <v>1967</v>
      </c>
      <c r="I27" t="s">
        <v>1971</v>
      </c>
    </row>
    <row r="28" spans="2:10" x14ac:dyDescent="0.3">
      <c r="B28" s="49"/>
      <c r="C28" s="366"/>
      <c r="D28" s="366"/>
      <c r="E28" s="366"/>
      <c r="H28" s="49">
        <v>2021</v>
      </c>
      <c r="I28" s="366">
        <v>22215</v>
      </c>
    </row>
    <row r="29" spans="2:10" x14ac:dyDescent="0.3">
      <c r="B29" s="49"/>
      <c r="C29" s="366"/>
      <c r="D29" s="366"/>
      <c r="E29" s="366"/>
      <c r="H29" s="365" t="s">
        <v>1848</v>
      </c>
      <c r="I29" s="366">
        <v>9078</v>
      </c>
    </row>
    <row r="30" spans="2:10" x14ac:dyDescent="0.3">
      <c r="B30" s="49"/>
      <c r="C30" s="366"/>
      <c r="D30" s="366"/>
      <c r="E30" s="366"/>
      <c r="H30" s="365" t="s">
        <v>1881</v>
      </c>
      <c r="I30" s="366">
        <v>13137</v>
      </c>
    </row>
    <row r="31" spans="2:10" x14ac:dyDescent="0.3">
      <c r="B31" s="49"/>
      <c r="C31" s="366"/>
      <c r="D31" s="366"/>
      <c r="E31" s="366"/>
      <c r="H31" s="49" t="s">
        <v>1964</v>
      </c>
      <c r="I31" s="366">
        <v>22215</v>
      </c>
      <c r="J31">
        <f>+GETPIVOTDATA("Export",$H$27,"Año",2021,"Tipo Producto","ROPA DORMIR")/GETPIVOTDATA("Export",$H$27)</f>
        <v>0.59135719108710327</v>
      </c>
    </row>
    <row r="32" spans="2:10" x14ac:dyDescent="0.3">
      <c r="B32" s="49"/>
      <c r="C32" s="366"/>
      <c r="D32" s="366"/>
      <c r="E32" s="366"/>
    </row>
  </sheetData>
  <mergeCells count="1">
    <mergeCell ref="B2:J3"/>
  </mergeCell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50D4-4D60-4F78-A6D8-304263DFC1DB}">
  <dimension ref="B2:K30"/>
  <sheetViews>
    <sheetView workbookViewId="0">
      <selection activeCell="I18" sqref="I18"/>
    </sheetView>
  </sheetViews>
  <sheetFormatPr baseColWidth="10" defaultRowHeight="14.4" x14ac:dyDescent="0.3"/>
  <cols>
    <col min="2" max="2" width="11.88671875" bestFit="1" customWidth="1"/>
    <col min="3" max="3" width="14.109375" bestFit="1" customWidth="1"/>
    <col min="4" max="4" width="13.21875" bestFit="1" customWidth="1"/>
  </cols>
  <sheetData>
    <row r="2" spans="2:10" x14ac:dyDescent="0.3">
      <c r="B2" s="417" t="s">
        <v>1996</v>
      </c>
      <c r="C2" s="417"/>
      <c r="D2" s="417"/>
      <c r="E2" s="417"/>
      <c r="F2" s="417"/>
      <c r="G2" s="417"/>
      <c r="H2" s="417"/>
      <c r="I2" s="417"/>
      <c r="J2" s="417"/>
    </row>
    <row r="3" spans="2:10" x14ac:dyDescent="0.3">
      <c r="B3" s="417"/>
      <c r="C3" s="417"/>
      <c r="D3" s="417"/>
      <c r="E3" s="417"/>
      <c r="F3" s="417"/>
      <c r="G3" s="417"/>
      <c r="H3" s="417"/>
      <c r="I3" s="417"/>
      <c r="J3" s="417"/>
    </row>
    <row r="4" spans="2:10" x14ac:dyDescent="0.3">
      <c r="B4" t="s">
        <v>1984</v>
      </c>
    </row>
    <row r="5" spans="2:10" x14ac:dyDescent="0.3">
      <c r="B5" s="364" t="s">
        <v>1968</v>
      </c>
      <c r="C5" t="s">
        <v>2000</v>
      </c>
      <c r="D5" t="s">
        <v>1990</v>
      </c>
      <c r="H5" s="21">
        <f t="shared" ref="H5:H17" si="0">+B17</f>
        <v>2021</v>
      </c>
      <c r="I5" s="21" t="s">
        <v>1970</v>
      </c>
      <c r="J5" s="21" t="s">
        <v>1991</v>
      </c>
    </row>
    <row r="6" spans="2:10" x14ac:dyDescent="0.3">
      <c r="B6" s="410">
        <v>2020</v>
      </c>
      <c r="C6" s="411">
        <v>11169</v>
      </c>
      <c r="D6" s="411">
        <v>716684</v>
      </c>
      <c r="F6" s="402">
        <f>+D6/10</f>
        <v>71668.399999999994</v>
      </c>
      <c r="H6" s="1">
        <f t="shared" si="0"/>
        <v>1</v>
      </c>
      <c r="I6" s="396">
        <f>+D18</f>
        <v>260194.8</v>
      </c>
      <c r="J6" s="396">
        <v>100000</v>
      </c>
    </row>
    <row r="7" spans="2:10" x14ac:dyDescent="0.3">
      <c r="B7" s="365">
        <v>1</v>
      </c>
      <c r="C7" s="366">
        <v>1493</v>
      </c>
      <c r="D7" s="366">
        <v>75439.199999999997</v>
      </c>
      <c r="H7" s="1">
        <f t="shared" si="0"/>
        <v>2</v>
      </c>
      <c r="I7" s="396">
        <f t="shared" ref="I7:I16" si="1">+D19</f>
        <v>172384</v>
      </c>
      <c r="J7" s="396">
        <f t="shared" ref="J7:J16" si="2">+J6</f>
        <v>100000</v>
      </c>
    </row>
    <row r="8" spans="2:10" x14ac:dyDescent="0.3">
      <c r="B8" s="365">
        <v>2</v>
      </c>
      <c r="C8" s="366">
        <v>662</v>
      </c>
      <c r="D8" s="366">
        <v>52788</v>
      </c>
      <c r="H8" s="1">
        <f t="shared" si="0"/>
        <v>3</v>
      </c>
      <c r="I8" s="396">
        <f t="shared" si="1"/>
        <v>150570</v>
      </c>
      <c r="J8" s="396">
        <f t="shared" si="2"/>
        <v>100000</v>
      </c>
    </row>
    <row r="9" spans="2:10" x14ac:dyDescent="0.3">
      <c r="B9" s="365">
        <v>3</v>
      </c>
      <c r="C9" s="366">
        <v>126</v>
      </c>
      <c r="D9" s="366">
        <v>6552</v>
      </c>
      <c r="H9" s="1">
        <f t="shared" si="0"/>
        <v>4</v>
      </c>
      <c r="I9" s="396">
        <f t="shared" si="1"/>
        <v>54163.200000000004</v>
      </c>
      <c r="J9" s="396">
        <f t="shared" si="2"/>
        <v>100000</v>
      </c>
    </row>
    <row r="10" spans="2:10" x14ac:dyDescent="0.3">
      <c r="B10" s="365">
        <v>6</v>
      </c>
      <c r="C10" s="366">
        <v>2071</v>
      </c>
      <c r="D10" s="366">
        <v>161361.60000000001</v>
      </c>
      <c r="H10" s="1">
        <f t="shared" si="0"/>
        <v>5</v>
      </c>
      <c r="I10" s="396">
        <f t="shared" si="1"/>
        <v>20412</v>
      </c>
      <c r="J10" s="396">
        <f t="shared" si="2"/>
        <v>100000</v>
      </c>
    </row>
    <row r="11" spans="2:10" x14ac:dyDescent="0.3">
      <c r="B11" s="365">
        <v>7</v>
      </c>
      <c r="C11" s="366">
        <v>1388</v>
      </c>
      <c r="D11" s="366">
        <v>80684.399999999994</v>
      </c>
      <c r="H11" s="1">
        <f t="shared" si="0"/>
        <v>6</v>
      </c>
      <c r="I11" s="396">
        <f t="shared" si="1"/>
        <v>53872</v>
      </c>
      <c r="J11" s="396">
        <f t="shared" si="2"/>
        <v>100000</v>
      </c>
    </row>
    <row r="12" spans="2:10" x14ac:dyDescent="0.3">
      <c r="B12" s="365">
        <v>8</v>
      </c>
      <c r="C12" s="366">
        <v>1256</v>
      </c>
      <c r="D12" s="366">
        <v>68388</v>
      </c>
      <c r="H12" s="1">
        <f t="shared" si="0"/>
        <v>7</v>
      </c>
      <c r="I12" s="396">
        <f t="shared" si="1"/>
        <v>239034.80000000002</v>
      </c>
      <c r="J12" s="396">
        <f t="shared" si="2"/>
        <v>100000</v>
      </c>
    </row>
    <row r="13" spans="2:10" x14ac:dyDescent="0.3">
      <c r="B13" s="365">
        <v>9</v>
      </c>
      <c r="C13" s="366">
        <v>1270</v>
      </c>
      <c r="D13" s="366">
        <v>82093.2</v>
      </c>
      <c r="H13" s="1">
        <f t="shared" si="0"/>
        <v>8</v>
      </c>
      <c r="I13" s="396">
        <f t="shared" si="1"/>
        <v>51155.199999999997</v>
      </c>
      <c r="J13" s="396">
        <f t="shared" si="2"/>
        <v>100000</v>
      </c>
    </row>
    <row r="14" spans="2:10" x14ac:dyDescent="0.3">
      <c r="B14" s="365">
        <v>10</v>
      </c>
      <c r="C14" s="366">
        <v>1423</v>
      </c>
      <c r="D14" s="366">
        <v>92954.4</v>
      </c>
      <c r="H14" s="1">
        <f t="shared" si="0"/>
        <v>9</v>
      </c>
      <c r="I14" s="396">
        <f t="shared" si="1"/>
        <v>88704.4</v>
      </c>
      <c r="J14" s="396">
        <f t="shared" si="2"/>
        <v>100000</v>
      </c>
    </row>
    <row r="15" spans="2:10" x14ac:dyDescent="0.3">
      <c r="B15" s="365">
        <v>11</v>
      </c>
      <c r="C15" s="366">
        <v>827</v>
      </c>
      <c r="D15" s="366">
        <v>53159.200000000004</v>
      </c>
      <c r="H15" s="1">
        <f t="shared" si="0"/>
        <v>10</v>
      </c>
      <c r="I15" s="396">
        <f t="shared" si="1"/>
        <v>99709.599999999991</v>
      </c>
      <c r="J15" s="396">
        <f t="shared" si="2"/>
        <v>100000</v>
      </c>
    </row>
    <row r="16" spans="2:10" x14ac:dyDescent="0.3">
      <c r="B16" s="365">
        <v>12</v>
      </c>
      <c r="C16" s="366">
        <v>653</v>
      </c>
      <c r="D16" s="366">
        <v>43264</v>
      </c>
      <c r="H16" s="1">
        <f t="shared" si="0"/>
        <v>11</v>
      </c>
      <c r="I16" s="396">
        <f t="shared" si="1"/>
        <v>82308</v>
      </c>
      <c r="J16" s="396">
        <f t="shared" si="2"/>
        <v>100000</v>
      </c>
    </row>
    <row r="17" spans="2:11" x14ac:dyDescent="0.3">
      <c r="B17" s="410">
        <v>2021</v>
      </c>
      <c r="C17" s="411">
        <v>22215</v>
      </c>
      <c r="D17" s="411">
        <v>1272508</v>
      </c>
      <c r="F17" s="402">
        <f>+D17/11</f>
        <v>115682.54545454546</v>
      </c>
      <c r="H17" s="1">
        <f t="shared" si="0"/>
        <v>12</v>
      </c>
      <c r="I17" s="396"/>
      <c r="J17" s="396"/>
    </row>
    <row r="18" spans="2:11" x14ac:dyDescent="0.3">
      <c r="B18" s="365">
        <v>1</v>
      </c>
      <c r="C18" s="366">
        <v>4895</v>
      </c>
      <c r="D18" s="366">
        <v>260194.8</v>
      </c>
      <c r="H18" t="s">
        <v>1976</v>
      </c>
      <c r="I18" s="366">
        <f>AVERAGE(I6:I16)</f>
        <v>115682.54545454546</v>
      </c>
      <c r="J18" s="366">
        <f>AVERAGE(J6:J16)</f>
        <v>100000</v>
      </c>
      <c r="K18" s="401">
        <f>+I18/J18</f>
        <v>1.1568254545454546</v>
      </c>
    </row>
    <row r="19" spans="2:11" x14ac:dyDescent="0.3">
      <c r="B19" s="365">
        <v>2</v>
      </c>
      <c r="C19" s="366">
        <v>3344</v>
      </c>
      <c r="D19" s="366">
        <v>172384</v>
      </c>
    </row>
    <row r="20" spans="2:11" x14ac:dyDescent="0.3">
      <c r="B20" s="365">
        <v>3</v>
      </c>
      <c r="C20" s="366">
        <v>2696</v>
      </c>
      <c r="D20" s="366">
        <v>150570</v>
      </c>
    </row>
    <row r="21" spans="2:11" x14ac:dyDescent="0.3">
      <c r="B21" s="365">
        <v>4</v>
      </c>
      <c r="C21" s="366">
        <v>744</v>
      </c>
      <c r="D21" s="366">
        <v>54163.200000000004</v>
      </c>
    </row>
    <row r="22" spans="2:11" x14ac:dyDescent="0.3">
      <c r="B22" s="365">
        <v>5</v>
      </c>
      <c r="C22" s="366">
        <v>426</v>
      </c>
      <c r="D22" s="366">
        <v>20412</v>
      </c>
    </row>
    <row r="23" spans="2:11" x14ac:dyDescent="0.3">
      <c r="B23" s="365">
        <v>6</v>
      </c>
      <c r="C23" s="366">
        <v>808</v>
      </c>
      <c r="D23" s="366">
        <v>53872</v>
      </c>
    </row>
    <row r="24" spans="2:11" x14ac:dyDescent="0.3">
      <c r="B24" s="365">
        <v>7</v>
      </c>
      <c r="C24" s="366">
        <v>4146</v>
      </c>
      <c r="D24" s="366">
        <v>239034.80000000002</v>
      </c>
    </row>
    <row r="25" spans="2:11" x14ac:dyDescent="0.3">
      <c r="B25" s="365">
        <v>8</v>
      </c>
      <c r="C25" s="366">
        <v>820</v>
      </c>
      <c r="D25" s="366">
        <v>51155.199999999997</v>
      </c>
    </row>
    <row r="26" spans="2:11" x14ac:dyDescent="0.3">
      <c r="B26" s="365">
        <v>9</v>
      </c>
      <c r="C26" s="366">
        <v>1637</v>
      </c>
      <c r="D26" s="366">
        <v>88704.4</v>
      </c>
    </row>
    <row r="27" spans="2:11" x14ac:dyDescent="0.3">
      <c r="B27" s="365">
        <v>10</v>
      </c>
      <c r="C27" s="366">
        <v>1521</v>
      </c>
      <c r="D27" s="366">
        <v>99709.599999999991</v>
      </c>
    </row>
    <row r="28" spans="2:11" x14ac:dyDescent="0.3">
      <c r="B28" s="365">
        <v>11</v>
      </c>
      <c r="C28" s="366">
        <v>1178</v>
      </c>
      <c r="D28" s="366">
        <v>82308</v>
      </c>
    </row>
    <row r="29" spans="2:11" x14ac:dyDescent="0.3">
      <c r="B29" s="365">
        <v>12</v>
      </c>
      <c r="C29" s="366">
        <v>0</v>
      </c>
      <c r="D29" s="366">
        <v>0</v>
      </c>
    </row>
    <row r="30" spans="2:11" x14ac:dyDescent="0.3">
      <c r="B30" s="49" t="s">
        <v>1964</v>
      </c>
      <c r="C30" s="366">
        <v>33384</v>
      </c>
      <c r="D30" s="366">
        <v>1989192</v>
      </c>
    </row>
  </sheetData>
  <mergeCells count="1">
    <mergeCell ref="B2:J3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2C66F-4126-4A94-8B8C-0F0888F31898}">
  <dimension ref="B2:K30"/>
  <sheetViews>
    <sheetView topLeftCell="A13" workbookViewId="0">
      <selection activeCell="F8" sqref="F8"/>
    </sheetView>
  </sheetViews>
  <sheetFormatPr baseColWidth="10" defaultRowHeight="14.4" x14ac:dyDescent="0.3"/>
  <cols>
    <col min="2" max="2" width="11.88671875" bestFit="1" customWidth="1"/>
    <col min="3" max="3" width="17.77734375" bestFit="1" customWidth="1"/>
    <col min="4" max="4" width="13.21875" bestFit="1" customWidth="1"/>
  </cols>
  <sheetData>
    <row r="2" spans="2:10" x14ac:dyDescent="0.3">
      <c r="B2" s="417" t="s">
        <v>1997</v>
      </c>
      <c r="C2" s="417"/>
      <c r="D2" s="417"/>
      <c r="E2" s="417"/>
      <c r="F2" s="417"/>
      <c r="G2" s="417"/>
      <c r="H2" s="417"/>
      <c r="I2" s="417"/>
      <c r="J2" s="417"/>
    </row>
    <row r="3" spans="2:10" x14ac:dyDescent="0.3">
      <c r="B3" s="417"/>
      <c r="C3" s="417"/>
      <c r="D3" s="417"/>
      <c r="E3" s="417"/>
      <c r="F3" s="417"/>
      <c r="G3" s="417"/>
      <c r="H3" s="417"/>
      <c r="I3" s="417"/>
      <c r="J3" s="417"/>
    </row>
    <row r="4" spans="2:10" x14ac:dyDescent="0.3">
      <c r="B4" t="s">
        <v>1998</v>
      </c>
    </row>
    <row r="5" spans="2:10" x14ac:dyDescent="0.3">
      <c r="B5" s="364" t="s">
        <v>1975</v>
      </c>
      <c r="C5" t="s">
        <v>1881</v>
      </c>
    </row>
    <row r="6" spans="2:10" x14ac:dyDescent="0.3">
      <c r="H6" t="s">
        <v>1989</v>
      </c>
    </row>
    <row r="7" spans="2:10" x14ac:dyDescent="0.3">
      <c r="B7" s="364" t="s">
        <v>1968</v>
      </c>
      <c r="C7" t="s">
        <v>2001</v>
      </c>
      <c r="D7" t="s">
        <v>1990</v>
      </c>
    </row>
    <row r="8" spans="2:10" x14ac:dyDescent="0.3">
      <c r="B8" s="410">
        <v>2020</v>
      </c>
      <c r="C8" s="411">
        <v>7197</v>
      </c>
      <c r="D8" s="411">
        <v>499293.19999999995</v>
      </c>
      <c r="F8" s="402">
        <f>+D8/8</f>
        <v>62411.649999999994</v>
      </c>
      <c r="H8" s="21">
        <f t="shared" ref="H8:H19" si="0">+B17</f>
        <v>2021</v>
      </c>
      <c r="I8" s="21" t="s">
        <v>1970</v>
      </c>
      <c r="J8" s="21" t="s">
        <v>1991</v>
      </c>
    </row>
    <row r="9" spans="2:10" x14ac:dyDescent="0.3">
      <c r="B9" s="365">
        <v>2</v>
      </c>
      <c r="C9" s="366">
        <v>662</v>
      </c>
      <c r="D9" s="366">
        <v>52788</v>
      </c>
      <c r="H9" s="1">
        <f t="shared" si="0"/>
        <v>1</v>
      </c>
      <c r="I9" s="396">
        <f>+D18</f>
        <v>90676.400000000009</v>
      </c>
      <c r="J9" s="396">
        <f>'Tipo de Prenda'!$J$31*'Min. Mes'!$J$6</f>
        <v>59135.719108710327</v>
      </c>
    </row>
    <row r="10" spans="2:10" x14ac:dyDescent="0.3">
      <c r="B10" s="365">
        <v>3</v>
      </c>
      <c r="C10" s="366">
        <v>126</v>
      </c>
      <c r="D10" s="366">
        <v>6552</v>
      </c>
      <c r="H10" s="1">
        <f t="shared" si="0"/>
        <v>2</v>
      </c>
      <c r="I10" s="396">
        <f t="shared" ref="I10:I19" si="1">+D19</f>
        <v>43886.8</v>
      </c>
      <c r="J10" s="396">
        <f>'Tipo de Prenda'!$J$31*'Min. Mes'!$J$6</f>
        <v>59135.719108710327</v>
      </c>
    </row>
    <row r="11" spans="2:10" x14ac:dyDescent="0.3">
      <c r="B11" s="365">
        <v>6</v>
      </c>
      <c r="C11" s="366">
        <v>2013</v>
      </c>
      <c r="D11" s="366">
        <v>157881.60000000001</v>
      </c>
      <c r="H11" s="1">
        <f t="shared" si="0"/>
        <v>3</v>
      </c>
      <c r="I11" s="396">
        <f t="shared" si="1"/>
        <v>150570</v>
      </c>
      <c r="J11" s="396">
        <f>'Tipo de Prenda'!$J$31*'Min. Mes'!$J$6</f>
        <v>59135.719108710327</v>
      </c>
    </row>
    <row r="12" spans="2:10" x14ac:dyDescent="0.3">
      <c r="B12" s="365">
        <v>7</v>
      </c>
      <c r="C12" s="366">
        <v>964</v>
      </c>
      <c r="D12" s="366">
        <v>59110</v>
      </c>
      <c r="H12" s="1">
        <f t="shared" si="0"/>
        <v>4</v>
      </c>
      <c r="I12" s="396">
        <f t="shared" si="1"/>
        <v>54163.200000000004</v>
      </c>
      <c r="J12" s="396">
        <f>'Tipo de Prenda'!$J$31*'Min. Mes'!$J$6</f>
        <v>59135.719108710327</v>
      </c>
    </row>
    <row r="13" spans="2:10" x14ac:dyDescent="0.3">
      <c r="B13" s="365">
        <v>9</v>
      </c>
      <c r="C13" s="366">
        <v>1270</v>
      </c>
      <c r="D13" s="366">
        <v>82093.2</v>
      </c>
      <c r="H13" s="1">
        <f t="shared" si="0"/>
        <v>5</v>
      </c>
      <c r="I13" s="396">
        <f t="shared" si="1"/>
        <v>11960</v>
      </c>
      <c r="J13" s="396">
        <f>'Tipo de Prenda'!$J$31*'Min. Mes'!$J$6</f>
        <v>59135.719108710327</v>
      </c>
    </row>
    <row r="14" spans="2:10" x14ac:dyDescent="0.3">
      <c r="B14" s="365">
        <v>10</v>
      </c>
      <c r="C14" s="366">
        <v>1423</v>
      </c>
      <c r="D14" s="366">
        <v>92954.4</v>
      </c>
      <c r="H14" s="1">
        <f t="shared" si="0"/>
        <v>6</v>
      </c>
      <c r="I14" s="396">
        <f t="shared" si="1"/>
        <v>53872</v>
      </c>
      <c r="J14" s="396">
        <f>'Tipo de Prenda'!$J$31*'Min. Mes'!$J$6</f>
        <v>59135.719108710327</v>
      </c>
    </row>
    <row r="15" spans="2:10" x14ac:dyDescent="0.3">
      <c r="B15" s="365">
        <v>11</v>
      </c>
      <c r="C15" s="366">
        <v>207</v>
      </c>
      <c r="D15" s="366">
        <v>12886</v>
      </c>
      <c r="H15" s="1">
        <f t="shared" si="0"/>
        <v>7</v>
      </c>
      <c r="I15" s="396">
        <f t="shared" si="1"/>
        <v>76371.199999999997</v>
      </c>
      <c r="J15" s="396">
        <f>'Tipo de Prenda'!$J$31*'Min. Mes'!$J$6</f>
        <v>59135.719108710327</v>
      </c>
    </row>
    <row r="16" spans="2:10" x14ac:dyDescent="0.3">
      <c r="B16" s="365">
        <v>12</v>
      </c>
      <c r="C16" s="366">
        <v>532</v>
      </c>
      <c r="D16" s="366">
        <v>35028</v>
      </c>
      <c r="H16" s="1">
        <f t="shared" si="0"/>
        <v>8</v>
      </c>
      <c r="I16" s="396">
        <f t="shared" si="1"/>
        <v>50319.199999999997</v>
      </c>
      <c r="J16" s="396">
        <f>'Tipo de Prenda'!$J$31*'Min. Mes'!$J$6</f>
        <v>59135.719108710327</v>
      </c>
    </row>
    <row r="17" spans="2:11" x14ac:dyDescent="0.3">
      <c r="B17" s="410">
        <v>2021</v>
      </c>
      <c r="C17" s="411">
        <v>13137</v>
      </c>
      <c r="D17" s="411">
        <v>794828.80000000005</v>
      </c>
      <c r="F17" s="403">
        <f>+D17/11</f>
        <v>72257.163636363635</v>
      </c>
      <c r="H17" s="1">
        <f t="shared" si="0"/>
        <v>9</v>
      </c>
      <c r="I17" s="396">
        <f t="shared" si="1"/>
        <v>84832.4</v>
      </c>
      <c r="J17" s="396">
        <f>'Tipo de Prenda'!$J$31*'Min. Mes'!$J$6</f>
        <v>59135.719108710327</v>
      </c>
    </row>
    <row r="18" spans="2:11" x14ac:dyDescent="0.3">
      <c r="B18" s="365">
        <v>1</v>
      </c>
      <c r="C18" s="366">
        <v>1488</v>
      </c>
      <c r="D18" s="366">
        <v>90676.400000000009</v>
      </c>
      <c r="H18" s="1">
        <f t="shared" si="0"/>
        <v>10</v>
      </c>
      <c r="I18" s="396">
        <f t="shared" si="1"/>
        <v>99709.599999999991</v>
      </c>
      <c r="J18" s="396">
        <f>'Tipo de Prenda'!$J$31*'Min. Mes'!$J$6</f>
        <v>59135.719108710327</v>
      </c>
    </row>
    <row r="19" spans="2:11" x14ac:dyDescent="0.3">
      <c r="B19" s="365">
        <v>2</v>
      </c>
      <c r="C19" s="366">
        <v>855</v>
      </c>
      <c r="D19" s="366">
        <v>43886.8</v>
      </c>
      <c r="H19" s="1">
        <f t="shared" si="0"/>
        <v>11</v>
      </c>
      <c r="I19" s="396">
        <f t="shared" si="1"/>
        <v>78468</v>
      </c>
      <c r="J19" s="396">
        <f>'Tipo de Prenda'!$J$31*'Min. Mes'!$J$6</f>
        <v>59135.719108710327</v>
      </c>
    </row>
    <row r="20" spans="2:11" x14ac:dyDescent="0.3">
      <c r="B20" s="365">
        <v>3</v>
      </c>
      <c r="C20" s="366">
        <v>2696</v>
      </c>
      <c r="D20" s="366">
        <v>150570</v>
      </c>
      <c r="H20" t="s">
        <v>1976</v>
      </c>
      <c r="I20" s="366">
        <f>AVERAGE(I9:I19)</f>
        <v>72257.163636363635</v>
      </c>
      <c r="J20" s="366">
        <f>AVERAGE(J9:J19)</f>
        <v>59135.719108710306</v>
      </c>
      <c r="K20" s="401">
        <f>+I20/J20</f>
        <v>1.2218869530195775</v>
      </c>
    </row>
    <row r="21" spans="2:11" x14ac:dyDescent="0.3">
      <c r="B21" s="365">
        <v>4</v>
      </c>
      <c r="C21" s="366">
        <v>744</v>
      </c>
      <c r="D21" s="366">
        <v>54163.200000000004</v>
      </c>
    </row>
    <row r="22" spans="2:11" x14ac:dyDescent="0.3">
      <c r="B22" s="365">
        <v>5</v>
      </c>
      <c r="C22" s="366">
        <v>240</v>
      </c>
      <c r="D22" s="366">
        <v>11960</v>
      </c>
    </row>
    <row r="23" spans="2:11" x14ac:dyDescent="0.3">
      <c r="B23" s="365">
        <v>6</v>
      </c>
      <c r="C23" s="366">
        <v>808</v>
      </c>
      <c r="D23" s="366">
        <v>53872</v>
      </c>
    </row>
    <row r="24" spans="2:11" x14ac:dyDescent="0.3">
      <c r="B24" s="365">
        <v>7</v>
      </c>
      <c r="C24" s="366">
        <v>1369</v>
      </c>
      <c r="D24" s="366">
        <v>76371.199999999997</v>
      </c>
    </row>
    <row r="25" spans="2:11" x14ac:dyDescent="0.3">
      <c r="B25" s="365">
        <v>8</v>
      </c>
      <c r="C25" s="366">
        <v>809</v>
      </c>
      <c r="D25" s="366">
        <v>50319.199999999997</v>
      </c>
    </row>
    <row r="26" spans="2:11" x14ac:dyDescent="0.3">
      <c r="B26" s="365">
        <v>9</v>
      </c>
      <c r="C26" s="366">
        <v>1549</v>
      </c>
      <c r="D26" s="366">
        <v>84832.4</v>
      </c>
    </row>
    <row r="27" spans="2:11" x14ac:dyDescent="0.3">
      <c r="B27" s="365">
        <v>10</v>
      </c>
      <c r="C27" s="366">
        <v>1521</v>
      </c>
      <c r="D27" s="366">
        <v>99709.599999999991</v>
      </c>
    </row>
    <row r="28" spans="2:11" x14ac:dyDescent="0.3">
      <c r="B28" s="365">
        <v>11</v>
      </c>
      <c r="C28" s="366">
        <v>1058</v>
      </c>
      <c r="D28" s="366">
        <v>78468</v>
      </c>
    </row>
    <row r="29" spans="2:11" x14ac:dyDescent="0.3">
      <c r="B29" s="365">
        <v>12</v>
      </c>
      <c r="C29" s="366">
        <v>0</v>
      </c>
      <c r="D29" s="366">
        <v>0</v>
      </c>
    </row>
    <row r="30" spans="2:11" x14ac:dyDescent="0.3">
      <c r="B30" s="49" t="s">
        <v>1964</v>
      </c>
      <c r="C30" s="366">
        <v>20334</v>
      </c>
      <c r="D30" s="366">
        <v>1294122</v>
      </c>
    </row>
  </sheetData>
  <mergeCells count="1">
    <mergeCell ref="B2:J3"/>
  </mergeCell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P523"/>
  <sheetViews>
    <sheetView topLeftCell="A64" zoomScaleNormal="100" workbookViewId="0">
      <selection activeCell="I29" sqref="I29"/>
    </sheetView>
  </sheetViews>
  <sheetFormatPr baseColWidth="10" defaultRowHeight="14.4" x14ac:dyDescent="0.3"/>
  <cols>
    <col min="1" max="1" width="1.6640625" customWidth="1"/>
    <col min="2" max="2" width="12.5546875" customWidth="1"/>
    <col min="3" max="3" width="14.5546875" customWidth="1"/>
    <col min="4" max="4" width="13.88671875" customWidth="1"/>
    <col min="5" max="5" width="10.33203125" customWidth="1"/>
    <col min="6" max="6" width="8.5546875" customWidth="1"/>
    <col min="7" max="7" width="13" bestFit="1" customWidth="1"/>
    <col min="8" max="8" width="9.33203125" customWidth="1"/>
    <col min="9" max="9" width="11.88671875" customWidth="1"/>
    <col min="10" max="10" width="12" customWidth="1"/>
    <col min="11" max="11" width="12.109375" customWidth="1"/>
    <col min="12" max="12" width="20.5546875" bestFit="1" customWidth="1"/>
    <col min="13" max="13" width="17" bestFit="1" customWidth="1"/>
    <col min="14" max="14" width="10.44140625" bestFit="1" customWidth="1"/>
    <col min="15" max="15" width="18.33203125" bestFit="1" customWidth="1"/>
  </cols>
  <sheetData>
    <row r="2" spans="2:12" x14ac:dyDescent="0.3">
      <c r="B2" s="363" t="str">
        <f>+DATAOPS!C5</f>
        <v>CLIENTE</v>
      </c>
      <c r="C2" s="363" t="str">
        <f>+DATAOPS!M5</f>
        <v>Cfab</v>
      </c>
      <c r="D2" s="363" t="str">
        <f>+DATAOPS!R5</f>
        <v>Tot Min</v>
      </c>
      <c r="E2" s="363" t="str">
        <f>+DATAOPS!W5</f>
        <v>Export</v>
      </c>
      <c r="F2" s="363" t="s">
        <v>1963</v>
      </c>
      <c r="G2" s="363" t="str">
        <f>+DATAOPS!D5</f>
        <v>Tipo Producto</v>
      </c>
      <c r="H2" s="363" t="s">
        <v>1965</v>
      </c>
      <c r="I2" s="363" t="s">
        <v>1969</v>
      </c>
      <c r="J2" s="363" t="s">
        <v>1970</v>
      </c>
      <c r="K2" s="363" t="s">
        <v>1973</v>
      </c>
      <c r="L2" s="363" t="s">
        <v>1974</v>
      </c>
    </row>
    <row r="3" spans="2:12" x14ac:dyDescent="0.3">
      <c r="B3" s="1" t="str">
        <f>+DATAOPS!C6</f>
        <v>KISSY KISSY</v>
      </c>
      <c r="C3" s="1">
        <f>+DATAOPS!M6</f>
        <v>21</v>
      </c>
      <c r="D3" s="1">
        <f>+DATAOPS!N6+DATAOPS!O6+DATAOPS!Q6</f>
        <v>60</v>
      </c>
      <c r="E3" s="1">
        <f>+DATAOPS!W6</f>
        <v>115</v>
      </c>
      <c r="F3" s="1">
        <f>+DATAOPS!AA6</f>
        <v>2020</v>
      </c>
      <c r="G3" s="1" t="str">
        <f>+DATAOPS!D6</f>
        <v>BEBES</v>
      </c>
      <c r="H3" s="1">
        <f>+DATAOPS!AB6</f>
        <v>1</v>
      </c>
      <c r="I3" s="1">
        <f>+C3*E3</f>
        <v>2415</v>
      </c>
      <c r="J3" s="1">
        <f>+D3*E3</f>
        <v>6900</v>
      </c>
      <c r="K3" s="1">
        <f>+DATAOPS!O6*E3</f>
        <v>4140</v>
      </c>
      <c r="L3" s="1">
        <f>+(DATAOPS!N6+DATAOPS!O6+DATAOPS!Q6)*E3</f>
        <v>6900</v>
      </c>
    </row>
    <row r="4" spans="2:12" x14ac:dyDescent="0.3">
      <c r="B4" s="1" t="str">
        <f>+DATAOPS!C7</f>
        <v>KISSY KISSY</v>
      </c>
      <c r="C4" s="1">
        <f>+DATAOPS!M7</f>
        <v>28</v>
      </c>
      <c r="D4" s="1">
        <f>+DATAOPS!N7+DATAOPS!O7+DATAOPS!Q7</f>
        <v>60</v>
      </c>
      <c r="E4" s="1">
        <f>+DATAOPS!W7</f>
        <v>109</v>
      </c>
      <c r="F4" s="1">
        <f>+DATAOPS!AA7</f>
        <v>2020</v>
      </c>
      <c r="G4" s="1" t="str">
        <f>+DATAOPS!D7</f>
        <v>BEBES</v>
      </c>
      <c r="H4" s="1">
        <f>+DATAOPS!AB7</f>
        <v>1</v>
      </c>
      <c r="I4" s="1">
        <f t="shared" ref="I4:I66" si="0">+C4*E4</f>
        <v>3052</v>
      </c>
      <c r="J4" s="1">
        <f t="shared" ref="J4:J66" si="1">+D4*E4</f>
        <v>6540</v>
      </c>
      <c r="K4" s="1">
        <f>+DATAOPS!O7*E4</f>
        <v>3924</v>
      </c>
      <c r="L4" s="1">
        <f>+(DATAOPS!N7+DATAOPS!O7+DATAOPS!Q7)*E4</f>
        <v>6540</v>
      </c>
    </row>
    <row r="5" spans="2:12" x14ac:dyDescent="0.3">
      <c r="B5" s="1" t="str">
        <f>+DATAOPS!C8</f>
        <v>KISSY KISSY</v>
      </c>
      <c r="C5" s="1">
        <f>+DATAOPS!M8</f>
        <v>27</v>
      </c>
      <c r="D5" s="1">
        <f>+DATAOPS!N8+DATAOPS!O8+DATAOPS!Q8</f>
        <v>56</v>
      </c>
      <c r="E5" s="1">
        <f>+DATAOPS!W8</f>
        <v>71</v>
      </c>
      <c r="F5" s="1">
        <f>+DATAOPS!AA8</f>
        <v>2020</v>
      </c>
      <c r="G5" s="1" t="str">
        <f>+DATAOPS!D8</f>
        <v>BEBES</v>
      </c>
      <c r="H5" s="1">
        <f>+DATAOPS!AB8</f>
        <v>1</v>
      </c>
      <c r="I5" s="1">
        <f t="shared" si="0"/>
        <v>1917</v>
      </c>
      <c r="J5" s="1">
        <f t="shared" si="1"/>
        <v>3976</v>
      </c>
      <c r="K5" s="1">
        <f>+DATAOPS!O8*E5</f>
        <v>2272</v>
      </c>
      <c r="L5" s="1">
        <f>+(DATAOPS!N8+DATAOPS!O8+DATAOPS!Q8)*E5</f>
        <v>3976</v>
      </c>
    </row>
    <row r="6" spans="2:12" x14ac:dyDescent="0.3">
      <c r="B6" s="1" t="str">
        <f>+DATAOPS!C9</f>
        <v>KISSY KISSY</v>
      </c>
      <c r="C6" s="1">
        <f>+DATAOPS!M9</f>
        <v>19.5</v>
      </c>
      <c r="D6" s="1">
        <f>+DATAOPS!N9+DATAOPS!O9+DATAOPS!Q9</f>
        <v>56</v>
      </c>
      <c r="E6" s="1">
        <f>+DATAOPS!W9</f>
        <v>83</v>
      </c>
      <c r="F6" s="1">
        <f>+DATAOPS!AA9</f>
        <v>2020</v>
      </c>
      <c r="G6" s="1" t="str">
        <f>+DATAOPS!D9</f>
        <v>BEBES</v>
      </c>
      <c r="H6" s="1">
        <f>+DATAOPS!AB9</f>
        <v>1</v>
      </c>
      <c r="I6" s="1">
        <f t="shared" si="0"/>
        <v>1618.5</v>
      </c>
      <c r="J6" s="1">
        <f t="shared" si="1"/>
        <v>4648</v>
      </c>
      <c r="K6" s="1">
        <f>+DATAOPS!O9*E6</f>
        <v>2656</v>
      </c>
      <c r="L6" s="1">
        <f>+(DATAOPS!N9+DATAOPS!O9+DATAOPS!Q9)*E6</f>
        <v>4648</v>
      </c>
    </row>
    <row r="7" spans="2:12" x14ac:dyDescent="0.3">
      <c r="B7" s="1" t="str">
        <f>+DATAOPS!C10</f>
        <v>KISSY KISSY</v>
      </c>
      <c r="C7" s="1">
        <f>+DATAOPS!M10</f>
        <v>21</v>
      </c>
      <c r="D7" s="1">
        <f>+DATAOPS!N10+DATAOPS!O10+DATAOPS!Q10</f>
        <v>60</v>
      </c>
      <c r="E7" s="1">
        <f>+DATAOPS!W10</f>
        <v>111</v>
      </c>
      <c r="F7" s="1">
        <f>+DATAOPS!AA10</f>
        <v>2020</v>
      </c>
      <c r="G7" s="1" t="str">
        <f>+DATAOPS!D10</f>
        <v>BEBES</v>
      </c>
      <c r="H7" s="1">
        <f>+DATAOPS!AB10</f>
        <v>1</v>
      </c>
      <c r="I7" s="1">
        <f t="shared" si="0"/>
        <v>2331</v>
      </c>
      <c r="J7" s="1">
        <f t="shared" si="1"/>
        <v>6660</v>
      </c>
      <c r="K7" s="1">
        <f>+DATAOPS!O10*E7</f>
        <v>3996</v>
      </c>
      <c r="L7" s="1">
        <f>+(DATAOPS!N10+DATAOPS!O10+DATAOPS!Q10)*E7</f>
        <v>6660</v>
      </c>
    </row>
    <row r="8" spans="2:12" x14ac:dyDescent="0.3">
      <c r="B8" s="1" t="str">
        <f>+DATAOPS!C11</f>
        <v>KISSY KISSY</v>
      </c>
      <c r="C8" s="1">
        <f>+DATAOPS!M11</f>
        <v>20.5</v>
      </c>
      <c r="D8" s="1">
        <f>+DATAOPS!N11+DATAOPS!O11+DATAOPS!Q11</f>
        <v>58</v>
      </c>
      <c r="E8" s="1">
        <f>+DATAOPS!W11</f>
        <v>47</v>
      </c>
      <c r="F8" s="1">
        <f>+DATAOPS!AA11</f>
        <v>2020</v>
      </c>
      <c r="G8" s="1" t="str">
        <f>+DATAOPS!D11</f>
        <v>BEBES</v>
      </c>
      <c r="H8" s="1">
        <f>+DATAOPS!AB11</f>
        <v>1</v>
      </c>
      <c r="I8" s="1">
        <f t="shared" si="0"/>
        <v>963.5</v>
      </c>
      <c r="J8" s="1">
        <f t="shared" si="1"/>
        <v>2726</v>
      </c>
      <c r="K8" s="1">
        <f>+DATAOPS!O11*E8</f>
        <v>1598</v>
      </c>
      <c r="L8" s="1">
        <f>+(DATAOPS!N11+DATAOPS!O11+DATAOPS!Q11)*E8</f>
        <v>2726</v>
      </c>
    </row>
    <row r="9" spans="2:12" x14ac:dyDescent="0.3">
      <c r="B9" s="1" t="str">
        <f>+DATAOPS!C12</f>
        <v>KISSY KISSY</v>
      </c>
      <c r="C9" s="1">
        <f>+DATAOPS!M12</f>
        <v>22</v>
      </c>
      <c r="D9" s="1">
        <f>+DATAOPS!N12+DATAOPS!O12+DATAOPS!Q12</f>
        <v>64</v>
      </c>
      <c r="E9" s="1">
        <f>+DATAOPS!W12</f>
        <v>95</v>
      </c>
      <c r="F9" s="1">
        <f>+DATAOPS!AA12</f>
        <v>2020</v>
      </c>
      <c r="G9" s="1" t="str">
        <f>+DATAOPS!D12</f>
        <v>BEBES</v>
      </c>
      <c r="H9" s="1">
        <f>+DATAOPS!AB12</f>
        <v>1</v>
      </c>
      <c r="I9" s="1">
        <f t="shared" si="0"/>
        <v>2090</v>
      </c>
      <c r="J9" s="1">
        <f t="shared" si="1"/>
        <v>6080</v>
      </c>
      <c r="K9" s="1">
        <f>+DATAOPS!O12*E9</f>
        <v>3800</v>
      </c>
      <c r="L9" s="1">
        <f>+(DATAOPS!N12+DATAOPS!O12+DATAOPS!Q12)*E9</f>
        <v>6080</v>
      </c>
    </row>
    <row r="10" spans="2:12" x14ac:dyDescent="0.3">
      <c r="B10" s="1" t="str">
        <f>+DATAOPS!C13</f>
        <v>KISSY KISSY</v>
      </c>
      <c r="C10" s="1">
        <f>+DATAOPS!M13</f>
        <v>19.5</v>
      </c>
      <c r="D10" s="1">
        <f>+DATAOPS!N13+DATAOPS!O13+DATAOPS!Q13</f>
        <v>54</v>
      </c>
      <c r="E10" s="1">
        <f>+DATAOPS!W13</f>
        <v>57</v>
      </c>
      <c r="F10" s="1">
        <f>+DATAOPS!AA13</f>
        <v>2020</v>
      </c>
      <c r="G10" s="1" t="str">
        <f>+DATAOPS!D13</f>
        <v>BEBES</v>
      </c>
      <c r="H10" s="1">
        <f>+DATAOPS!AB13</f>
        <v>1</v>
      </c>
      <c r="I10" s="1">
        <f t="shared" si="0"/>
        <v>1111.5</v>
      </c>
      <c r="J10" s="1">
        <f t="shared" si="1"/>
        <v>3078</v>
      </c>
      <c r="K10" s="1">
        <f>+DATAOPS!O13*E10</f>
        <v>1710</v>
      </c>
      <c r="L10" s="1">
        <f>+(DATAOPS!N13+DATAOPS!O13+DATAOPS!Q13)*E10</f>
        <v>3078</v>
      </c>
    </row>
    <row r="11" spans="2:12" x14ac:dyDescent="0.3">
      <c r="B11" s="1" t="str">
        <f>+DATAOPS!C14</f>
        <v>KISSY KISSY</v>
      </c>
      <c r="C11" s="1">
        <f>+DATAOPS!M14</f>
        <v>9</v>
      </c>
      <c r="D11" s="1">
        <f>+DATAOPS!N14+DATAOPS!O14+DATAOPS!Q14</f>
        <v>20</v>
      </c>
      <c r="E11" s="1">
        <f>+DATAOPS!W14</f>
        <v>82</v>
      </c>
      <c r="F11" s="1">
        <f>+DATAOPS!AA14</f>
        <v>2020</v>
      </c>
      <c r="G11" s="1" t="str">
        <f>+DATAOPS!D14</f>
        <v>BEBES</v>
      </c>
      <c r="H11" s="1">
        <f>+DATAOPS!AB14</f>
        <v>1</v>
      </c>
      <c r="I11" s="1">
        <f t="shared" si="0"/>
        <v>738</v>
      </c>
      <c r="J11" s="1">
        <f t="shared" si="1"/>
        <v>1640</v>
      </c>
      <c r="K11" s="1">
        <f>+DATAOPS!O14*E11</f>
        <v>656</v>
      </c>
      <c r="L11" s="1">
        <f>+(DATAOPS!N14+DATAOPS!O14+DATAOPS!Q14)*E11</f>
        <v>1640</v>
      </c>
    </row>
    <row r="12" spans="2:12" x14ac:dyDescent="0.3">
      <c r="B12" s="1" t="str">
        <f>+DATAOPS!C15</f>
        <v>KISSY KISSY</v>
      </c>
      <c r="C12" s="1">
        <f>+DATAOPS!M15</f>
        <v>9.1999999999999993</v>
      </c>
      <c r="D12" s="1">
        <f>+DATAOPS!N15+DATAOPS!O15+DATAOPS!Q15</f>
        <v>20.8</v>
      </c>
      <c r="E12" s="1">
        <f>+DATAOPS!W15</f>
        <v>80</v>
      </c>
      <c r="F12" s="1">
        <f>+DATAOPS!AA15</f>
        <v>2020</v>
      </c>
      <c r="G12" s="1" t="str">
        <f>+DATAOPS!D15</f>
        <v>BEBES</v>
      </c>
      <c r="H12" s="1">
        <f>+DATAOPS!AB15</f>
        <v>1</v>
      </c>
      <c r="I12" s="1">
        <f t="shared" si="0"/>
        <v>736</v>
      </c>
      <c r="J12" s="1">
        <f t="shared" si="1"/>
        <v>1664</v>
      </c>
      <c r="K12" s="1">
        <f>+DATAOPS!O15*E12</f>
        <v>704</v>
      </c>
      <c r="L12" s="1">
        <f>+(DATAOPS!N15+DATAOPS!O15+DATAOPS!Q15)*E12</f>
        <v>1664</v>
      </c>
    </row>
    <row r="13" spans="2:12" x14ac:dyDescent="0.3">
      <c r="B13" s="1" t="str">
        <f>+DATAOPS!C16</f>
        <v>KISSY KISSY</v>
      </c>
      <c r="C13" s="1">
        <f>+DATAOPS!M16</f>
        <v>13.7</v>
      </c>
      <c r="D13" s="1">
        <f>+DATAOPS!N16+DATAOPS!O16+DATAOPS!Q16</f>
        <v>42.8</v>
      </c>
      <c r="E13" s="1">
        <f>+DATAOPS!W16</f>
        <v>80</v>
      </c>
      <c r="F13" s="1">
        <f>+DATAOPS!AA16</f>
        <v>2020</v>
      </c>
      <c r="G13" s="1" t="str">
        <f>+DATAOPS!D16</f>
        <v>BEBES</v>
      </c>
      <c r="H13" s="1">
        <f>+DATAOPS!AB16</f>
        <v>1</v>
      </c>
      <c r="I13" s="1">
        <f t="shared" si="0"/>
        <v>1096</v>
      </c>
      <c r="J13" s="1">
        <f t="shared" si="1"/>
        <v>3424</v>
      </c>
      <c r="K13" s="1">
        <f>+DATAOPS!O16*E13</f>
        <v>1504</v>
      </c>
      <c r="L13" s="1">
        <f>+(DATAOPS!N16+DATAOPS!O16+DATAOPS!Q16)*E13</f>
        <v>3424</v>
      </c>
    </row>
    <row r="14" spans="2:12" x14ac:dyDescent="0.3">
      <c r="B14" s="1" t="str">
        <f>+DATAOPS!C17</f>
        <v>KISSY KISSY</v>
      </c>
      <c r="C14" s="1">
        <f>+DATAOPS!M17</f>
        <v>20.5</v>
      </c>
      <c r="D14" s="1">
        <f>+DATAOPS!N17+DATAOPS!O17+DATAOPS!Q17</f>
        <v>60</v>
      </c>
      <c r="E14" s="1">
        <f>+DATAOPS!W17</f>
        <v>107</v>
      </c>
      <c r="F14" s="1">
        <f>+DATAOPS!AA17</f>
        <v>2020</v>
      </c>
      <c r="G14" s="1" t="str">
        <f>+DATAOPS!D17</f>
        <v>BEBES</v>
      </c>
      <c r="H14" s="1">
        <f>+DATAOPS!AB17</f>
        <v>1</v>
      </c>
      <c r="I14" s="1">
        <f t="shared" si="0"/>
        <v>2193.5</v>
      </c>
      <c r="J14" s="1">
        <f t="shared" si="1"/>
        <v>6420</v>
      </c>
      <c r="K14" s="1">
        <f>+DATAOPS!O17*E14</f>
        <v>3852</v>
      </c>
      <c r="L14" s="1">
        <f>+(DATAOPS!N17+DATAOPS!O17+DATAOPS!Q17)*E14</f>
        <v>6420</v>
      </c>
    </row>
    <row r="15" spans="2:12" x14ac:dyDescent="0.3">
      <c r="B15" s="1" t="str">
        <f>+DATAOPS!C18</f>
        <v>KISSY KISSY</v>
      </c>
      <c r="C15" s="1">
        <f>+DATAOPS!M18</f>
        <v>20.5</v>
      </c>
      <c r="D15" s="1">
        <f>+DATAOPS!N18+DATAOPS!O18+DATAOPS!Q18</f>
        <v>60</v>
      </c>
      <c r="E15" s="1">
        <f>+DATAOPS!W18</f>
        <v>45</v>
      </c>
      <c r="F15" s="1">
        <f>+DATAOPS!AA18</f>
        <v>2020</v>
      </c>
      <c r="G15" s="1" t="str">
        <f>+DATAOPS!D18</f>
        <v>BEBES</v>
      </c>
      <c r="H15" s="1">
        <f>+DATAOPS!AB18</f>
        <v>1</v>
      </c>
      <c r="I15" s="1">
        <f t="shared" si="0"/>
        <v>922.5</v>
      </c>
      <c r="J15" s="1">
        <f t="shared" si="1"/>
        <v>2700</v>
      </c>
      <c r="K15" s="1">
        <f>+DATAOPS!O18*E15</f>
        <v>1620</v>
      </c>
      <c r="L15" s="1">
        <f>+(DATAOPS!N18+DATAOPS!O18+DATAOPS!Q18)*E15</f>
        <v>2700</v>
      </c>
    </row>
    <row r="16" spans="2:12" x14ac:dyDescent="0.3">
      <c r="B16" s="1" t="str">
        <f>+DATAOPS!C19</f>
        <v>KISSY KISSY</v>
      </c>
      <c r="C16" s="1">
        <f>+DATAOPS!M19</f>
        <v>20.5</v>
      </c>
      <c r="D16" s="1">
        <f>+DATAOPS!N19+DATAOPS!O19+DATAOPS!Q19</f>
        <v>60</v>
      </c>
      <c r="E16" s="1">
        <f>+DATAOPS!W19</f>
        <v>51</v>
      </c>
      <c r="F16" s="1">
        <f>+DATAOPS!AA19</f>
        <v>2020</v>
      </c>
      <c r="G16" s="1" t="str">
        <f>+DATAOPS!D19</f>
        <v>BEBES</v>
      </c>
      <c r="H16" s="1">
        <f>+DATAOPS!AB19</f>
        <v>1</v>
      </c>
      <c r="I16" s="1">
        <f t="shared" si="0"/>
        <v>1045.5</v>
      </c>
      <c r="J16" s="1">
        <f t="shared" si="1"/>
        <v>3060</v>
      </c>
      <c r="K16" s="1">
        <f>+DATAOPS!O19*E16</f>
        <v>1836</v>
      </c>
      <c r="L16" s="1">
        <f>+(DATAOPS!N19+DATAOPS!O19+DATAOPS!Q19)*E16</f>
        <v>3060</v>
      </c>
    </row>
    <row r="17" spans="2:12" x14ac:dyDescent="0.3">
      <c r="B17" s="1" t="str">
        <f>+DATAOPS!C20</f>
        <v>KISSY KISSY</v>
      </c>
      <c r="C17" s="1">
        <f>+DATAOPS!M20</f>
        <v>20.5</v>
      </c>
      <c r="D17" s="1">
        <f>+DATAOPS!N20+DATAOPS!O20+DATAOPS!Q20</f>
        <v>60</v>
      </c>
      <c r="E17" s="1">
        <f>+DATAOPS!W20</f>
        <v>73</v>
      </c>
      <c r="F17" s="1">
        <f>+DATAOPS!AA20</f>
        <v>2020</v>
      </c>
      <c r="G17" s="1" t="str">
        <f>+DATAOPS!D20</f>
        <v>BEBES</v>
      </c>
      <c r="H17" s="1">
        <f>+DATAOPS!AB20</f>
        <v>1</v>
      </c>
      <c r="I17" s="1">
        <f t="shared" si="0"/>
        <v>1496.5</v>
      </c>
      <c r="J17" s="1">
        <f t="shared" si="1"/>
        <v>4380</v>
      </c>
      <c r="K17" s="1">
        <f>+DATAOPS!O20*E17</f>
        <v>2628</v>
      </c>
      <c r="L17" s="1">
        <f>+(DATAOPS!N20+DATAOPS!O20+DATAOPS!Q20)*E17</f>
        <v>4380</v>
      </c>
    </row>
    <row r="18" spans="2:12" x14ac:dyDescent="0.3">
      <c r="B18" s="1" t="str">
        <f>+DATAOPS!C21</f>
        <v>KISSY KISSY</v>
      </c>
      <c r="C18" s="1">
        <f>+DATAOPS!M21</f>
        <v>20.5</v>
      </c>
      <c r="D18" s="1">
        <f>+DATAOPS!N21+DATAOPS!O21+DATAOPS!Q21</f>
        <v>60</v>
      </c>
      <c r="E18" s="1">
        <f>+DATAOPS!W21</f>
        <v>43</v>
      </c>
      <c r="F18" s="1">
        <f>+DATAOPS!AA21</f>
        <v>2020</v>
      </c>
      <c r="G18" s="1" t="str">
        <f>+DATAOPS!D21</f>
        <v>BEBES</v>
      </c>
      <c r="H18" s="1">
        <f>+DATAOPS!AB21</f>
        <v>1</v>
      </c>
      <c r="I18" s="1">
        <f t="shared" si="0"/>
        <v>881.5</v>
      </c>
      <c r="J18" s="1">
        <f t="shared" si="1"/>
        <v>2580</v>
      </c>
      <c r="K18" s="1">
        <f>+DATAOPS!O21*E18</f>
        <v>1548</v>
      </c>
      <c r="L18" s="1">
        <f>+(DATAOPS!N21+DATAOPS!O21+DATAOPS!Q21)*E18</f>
        <v>2580</v>
      </c>
    </row>
    <row r="19" spans="2:12" x14ac:dyDescent="0.3">
      <c r="B19" s="1" t="str">
        <f>+DATAOPS!C22</f>
        <v>KISSY KISSY</v>
      </c>
      <c r="C19" s="1">
        <f>+DATAOPS!M22</f>
        <v>18.5</v>
      </c>
      <c r="D19" s="1">
        <f>+DATAOPS!N22+DATAOPS!O22+DATAOPS!Q22</f>
        <v>52</v>
      </c>
      <c r="E19" s="1">
        <f>+DATAOPS!W22</f>
        <v>92</v>
      </c>
      <c r="F19" s="1">
        <f>+DATAOPS!AA22</f>
        <v>2020</v>
      </c>
      <c r="G19" s="1" t="str">
        <f>+DATAOPS!D22</f>
        <v>BEBES</v>
      </c>
      <c r="H19" s="1">
        <f>+DATAOPS!AB22</f>
        <v>1</v>
      </c>
      <c r="I19" s="1">
        <f t="shared" si="0"/>
        <v>1702</v>
      </c>
      <c r="J19" s="1">
        <f t="shared" si="1"/>
        <v>4784</v>
      </c>
      <c r="K19" s="1">
        <f>+DATAOPS!O22*E19</f>
        <v>2576</v>
      </c>
      <c r="L19" s="1">
        <f>+(DATAOPS!N22+DATAOPS!O22+DATAOPS!Q22)*E19</f>
        <v>4784</v>
      </c>
    </row>
    <row r="20" spans="2:12" x14ac:dyDescent="0.3">
      <c r="B20" s="1" t="str">
        <f>+DATAOPS!C23</f>
        <v>KISSY KISSY</v>
      </c>
      <c r="C20" s="1">
        <f>+DATAOPS!M23</f>
        <v>7</v>
      </c>
      <c r="D20" s="1">
        <f>+DATAOPS!N23+DATAOPS!O23+DATAOPS!Q23</f>
        <v>20</v>
      </c>
      <c r="E20" s="1">
        <f>+DATAOPS!W23</f>
        <v>26</v>
      </c>
      <c r="F20" s="1">
        <f>+DATAOPS!AA23</f>
        <v>2020</v>
      </c>
      <c r="G20" s="1" t="str">
        <f>+DATAOPS!D23</f>
        <v>BEBES</v>
      </c>
      <c r="H20" s="1">
        <f>+DATAOPS!AB23</f>
        <v>1</v>
      </c>
      <c r="I20" s="1">
        <f t="shared" si="0"/>
        <v>182</v>
      </c>
      <c r="J20" s="1">
        <f t="shared" si="1"/>
        <v>520</v>
      </c>
      <c r="K20" s="1">
        <f>+DATAOPS!O23*E20</f>
        <v>208</v>
      </c>
      <c r="L20" s="1">
        <f>+(DATAOPS!N23+DATAOPS!O23+DATAOPS!Q23)*E20</f>
        <v>520</v>
      </c>
    </row>
    <row r="21" spans="2:12" x14ac:dyDescent="0.3">
      <c r="B21" s="1" t="str">
        <f>+DATAOPS!C24</f>
        <v>KISSY KISSY</v>
      </c>
      <c r="C21" s="1">
        <f>+DATAOPS!M24</f>
        <v>9.1999999999999993</v>
      </c>
      <c r="D21" s="1">
        <f>+DATAOPS!N24+DATAOPS!O24+DATAOPS!Q24</f>
        <v>20.8</v>
      </c>
      <c r="E21" s="1">
        <f>+DATAOPS!W24</f>
        <v>58</v>
      </c>
      <c r="F21" s="1">
        <f>+DATAOPS!AA24</f>
        <v>2020</v>
      </c>
      <c r="G21" s="1" t="str">
        <f>+DATAOPS!D24</f>
        <v>BEBES</v>
      </c>
      <c r="H21" s="1">
        <f>+DATAOPS!AB24</f>
        <v>1</v>
      </c>
      <c r="I21" s="1">
        <f t="shared" si="0"/>
        <v>533.59999999999991</v>
      </c>
      <c r="J21" s="1">
        <f t="shared" si="1"/>
        <v>1206.4000000000001</v>
      </c>
      <c r="K21" s="1">
        <f>+DATAOPS!O24*E21</f>
        <v>510.40000000000003</v>
      </c>
      <c r="L21" s="1">
        <f>+(DATAOPS!N24+DATAOPS!O24+DATAOPS!Q24)*E21</f>
        <v>1206.4000000000001</v>
      </c>
    </row>
    <row r="22" spans="2:12" x14ac:dyDescent="0.3">
      <c r="B22" s="1" t="str">
        <f>+DATAOPS!C25</f>
        <v>KISSY KISSY</v>
      </c>
      <c r="C22" s="1">
        <f>+DATAOPS!M25</f>
        <v>13.7</v>
      </c>
      <c r="D22" s="1">
        <f>+DATAOPS!N25+DATAOPS!O25+DATAOPS!Q25</f>
        <v>42.8</v>
      </c>
      <c r="E22" s="1">
        <f>+DATAOPS!W25</f>
        <v>24</v>
      </c>
      <c r="F22" s="1">
        <f>+DATAOPS!AA25</f>
        <v>2020</v>
      </c>
      <c r="G22" s="1" t="str">
        <f>+DATAOPS!D25</f>
        <v>BEBES</v>
      </c>
      <c r="H22" s="1">
        <f>+DATAOPS!AB25</f>
        <v>1</v>
      </c>
      <c r="I22" s="1">
        <f t="shared" si="0"/>
        <v>328.79999999999995</v>
      </c>
      <c r="J22" s="1">
        <f t="shared" si="1"/>
        <v>1027.1999999999998</v>
      </c>
      <c r="K22" s="1">
        <f>+DATAOPS!O25*E22</f>
        <v>451.20000000000005</v>
      </c>
      <c r="L22" s="1">
        <f>+(DATAOPS!N25+DATAOPS!O25+DATAOPS!Q25)*E22</f>
        <v>1027.1999999999998</v>
      </c>
    </row>
    <row r="23" spans="2:12" x14ac:dyDescent="0.3">
      <c r="B23" s="1" t="str">
        <f>+DATAOPS!C26</f>
        <v>KISSY KISSY</v>
      </c>
      <c r="C23" s="1">
        <f>+DATAOPS!M26</f>
        <v>11.8</v>
      </c>
      <c r="D23" s="1">
        <f>+DATAOPS!N26+DATAOPS!O26+DATAOPS!Q26</f>
        <v>32.4</v>
      </c>
      <c r="E23" s="1">
        <f>+DATAOPS!W26</f>
        <v>44</v>
      </c>
      <c r="F23" s="1">
        <f>+DATAOPS!AA26</f>
        <v>2020</v>
      </c>
      <c r="G23" s="1" t="str">
        <f>+DATAOPS!D26</f>
        <v>BEBES</v>
      </c>
      <c r="H23" s="1">
        <f>+DATAOPS!AB26</f>
        <v>1</v>
      </c>
      <c r="I23" s="1">
        <f t="shared" si="0"/>
        <v>519.20000000000005</v>
      </c>
      <c r="J23" s="1">
        <f t="shared" si="1"/>
        <v>1425.6</v>
      </c>
      <c r="K23" s="1">
        <f>+DATAOPS!O26*E23</f>
        <v>792</v>
      </c>
      <c r="L23" s="1">
        <f>+(DATAOPS!N26+DATAOPS!O26+DATAOPS!Q26)*E23</f>
        <v>1425.6</v>
      </c>
    </row>
    <row r="24" spans="2:12" x14ac:dyDescent="0.3">
      <c r="B24" s="1" t="str">
        <f>+DATAOPS!C27</f>
        <v>FASHION VIEWS</v>
      </c>
      <c r="C24" s="1">
        <f>+DATAOPS!M27</f>
        <v>14</v>
      </c>
      <c r="D24" s="1">
        <f>+DATAOPS!N27+DATAOPS!O27+DATAOPS!Q27</f>
        <v>70</v>
      </c>
      <c r="E24" s="1">
        <f>+DATAOPS!W27</f>
        <v>52</v>
      </c>
      <c r="F24" s="1">
        <f>+DATAOPS!AA27</f>
        <v>2020</v>
      </c>
      <c r="G24" s="1" t="str">
        <f>+DATAOPS!D27</f>
        <v>ROPA DORMIR</v>
      </c>
      <c r="H24" s="1">
        <f>+DATAOPS!AB27</f>
        <v>2</v>
      </c>
      <c r="I24" s="1">
        <f t="shared" si="0"/>
        <v>728</v>
      </c>
      <c r="J24" s="1">
        <f t="shared" si="1"/>
        <v>3640</v>
      </c>
      <c r="K24" s="1">
        <f>+DATAOPS!O27*E24</f>
        <v>2184</v>
      </c>
      <c r="L24" s="1">
        <f>+(DATAOPS!N27+DATAOPS!O27+DATAOPS!Q27)*E24</f>
        <v>3640</v>
      </c>
    </row>
    <row r="25" spans="2:12" x14ac:dyDescent="0.3">
      <c r="B25" s="1" t="str">
        <f>+DATAOPS!C28</f>
        <v>FASHION VIEWS</v>
      </c>
      <c r="C25" s="1">
        <f>+DATAOPS!M28</f>
        <v>14.5</v>
      </c>
      <c r="D25" s="1">
        <f>+DATAOPS!N28+DATAOPS!O28+DATAOPS!Q28</f>
        <v>72</v>
      </c>
      <c r="E25" s="1">
        <f>+DATAOPS!W28</f>
        <v>46</v>
      </c>
      <c r="F25" s="1">
        <f>+DATAOPS!AA28</f>
        <v>2020</v>
      </c>
      <c r="G25" s="1" t="str">
        <f>+DATAOPS!D28</f>
        <v>ROPA DORMIR</v>
      </c>
      <c r="H25" s="1">
        <f>+DATAOPS!AB28</f>
        <v>2</v>
      </c>
      <c r="I25" s="1">
        <f t="shared" si="0"/>
        <v>667</v>
      </c>
      <c r="J25" s="1">
        <f t="shared" si="1"/>
        <v>3312</v>
      </c>
      <c r="K25" s="1">
        <f>+DATAOPS!O28*E25</f>
        <v>2024</v>
      </c>
      <c r="L25" s="1">
        <f>+(DATAOPS!N28+DATAOPS!O28+DATAOPS!Q28)*E25</f>
        <v>3312</v>
      </c>
    </row>
    <row r="26" spans="2:12" x14ac:dyDescent="0.3">
      <c r="B26" s="1" t="str">
        <f>+DATAOPS!C29</f>
        <v>FASHION VIEWS</v>
      </c>
      <c r="C26" s="1">
        <f>+DATAOPS!M29</f>
        <v>18</v>
      </c>
      <c r="D26" s="1">
        <f>+DATAOPS!N29+DATAOPS!O29+DATAOPS!Q29</f>
        <v>90</v>
      </c>
      <c r="E26" s="1">
        <f>+DATAOPS!W29</f>
        <v>66</v>
      </c>
      <c r="F26" s="1">
        <f>+DATAOPS!AA29</f>
        <v>2020</v>
      </c>
      <c r="G26" s="1" t="str">
        <f>+DATAOPS!D29</f>
        <v>ROPA DORMIR</v>
      </c>
      <c r="H26" s="1">
        <f>+DATAOPS!AB29</f>
        <v>2</v>
      </c>
      <c r="I26" s="1">
        <f t="shared" si="0"/>
        <v>1188</v>
      </c>
      <c r="J26" s="1">
        <f t="shared" si="1"/>
        <v>5940</v>
      </c>
      <c r="K26" s="1">
        <f>+DATAOPS!O29*E26</f>
        <v>3564</v>
      </c>
      <c r="L26" s="1">
        <f>+(DATAOPS!N29+DATAOPS!O29+DATAOPS!Q29)*E26</f>
        <v>5940</v>
      </c>
    </row>
    <row r="27" spans="2:12" x14ac:dyDescent="0.3">
      <c r="B27" s="1" t="str">
        <f>+DATAOPS!C30</f>
        <v>FASHION VIEWS</v>
      </c>
      <c r="C27" s="1">
        <f>+DATAOPS!M30</f>
        <v>11.5</v>
      </c>
      <c r="D27" s="1">
        <f>+DATAOPS!N30+DATAOPS!O30+DATAOPS!Q30</f>
        <v>64</v>
      </c>
      <c r="E27" s="1">
        <f>+DATAOPS!W30</f>
        <v>36</v>
      </c>
      <c r="F27" s="1">
        <f>+DATAOPS!AA30</f>
        <v>2020</v>
      </c>
      <c r="G27" s="1" t="str">
        <f>+DATAOPS!D30</f>
        <v>ROPA DORMIR</v>
      </c>
      <c r="H27" s="1">
        <f>+DATAOPS!AB30</f>
        <v>2</v>
      </c>
      <c r="I27" s="1">
        <f t="shared" si="0"/>
        <v>414</v>
      </c>
      <c r="J27" s="1">
        <f t="shared" si="1"/>
        <v>2304</v>
      </c>
      <c r="K27" s="1">
        <f>+DATAOPS!O30*E27</f>
        <v>1008</v>
      </c>
      <c r="L27" s="1">
        <f>+(DATAOPS!N30+DATAOPS!O30+DATAOPS!Q30)*E27</f>
        <v>2304</v>
      </c>
    </row>
    <row r="28" spans="2:12" x14ac:dyDescent="0.3">
      <c r="B28" s="1" t="str">
        <f>+DATAOPS!C31</f>
        <v>FASHION VIEWS</v>
      </c>
      <c r="C28" s="1">
        <f>+DATAOPS!M31</f>
        <v>18</v>
      </c>
      <c r="D28" s="1">
        <f>+DATAOPS!N31+DATAOPS!O31+DATAOPS!Q31</f>
        <v>90</v>
      </c>
      <c r="E28" s="1">
        <f>+DATAOPS!W31</f>
        <v>36</v>
      </c>
      <c r="F28" s="1">
        <f>+DATAOPS!AA31</f>
        <v>2020</v>
      </c>
      <c r="G28" s="1" t="str">
        <f>+DATAOPS!D31</f>
        <v>ROPA DORMIR</v>
      </c>
      <c r="H28" s="1">
        <f>+DATAOPS!AB31</f>
        <v>2</v>
      </c>
      <c r="I28" s="1">
        <f t="shared" si="0"/>
        <v>648</v>
      </c>
      <c r="J28" s="1">
        <f t="shared" si="1"/>
        <v>3240</v>
      </c>
      <c r="K28" s="1">
        <f>+DATAOPS!O31*E28</f>
        <v>1944</v>
      </c>
      <c r="L28" s="1">
        <f>+(DATAOPS!N31+DATAOPS!O31+DATAOPS!Q31)*E28</f>
        <v>3240</v>
      </c>
    </row>
    <row r="29" spans="2:12" x14ac:dyDescent="0.3">
      <c r="B29" s="1" t="str">
        <f>+DATAOPS!C32</f>
        <v>FASHION VIEWS</v>
      </c>
      <c r="C29" s="1">
        <f>+DATAOPS!M32</f>
        <v>15.5</v>
      </c>
      <c r="D29" s="1">
        <f>+DATAOPS!N32+DATAOPS!O32+DATAOPS!Q32</f>
        <v>80</v>
      </c>
      <c r="E29" s="1">
        <f>+DATAOPS!W32</f>
        <v>70</v>
      </c>
      <c r="F29" s="1">
        <f>+DATAOPS!AA32</f>
        <v>2020</v>
      </c>
      <c r="G29" s="1" t="str">
        <f>+DATAOPS!D32</f>
        <v>ROPA DORMIR</v>
      </c>
      <c r="H29" s="1">
        <f>+DATAOPS!AB32</f>
        <v>2</v>
      </c>
      <c r="I29" s="1">
        <f t="shared" si="0"/>
        <v>1085</v>
      </c>
      <c r="J29" s="1">
        <f t="shared" si="1"/>
        <v>5600</v>
      </c>
      <c r="K29" s="1">
        <f>+DATAOPS!O32*E29</f>
        <v>3080</v>
      </c>
      <c r="L29" s="1">
        <f>+(DATAOPS!N32+DATAOPS!O32+DATAOPS!Q32)*E29</f>
        <v>5600</v>
      </c>
    </row>
    <row r="30" spans="2:12" x14ac:dyDescent="0.3">
      <c r="B30" s="1" t="str">
        <f>+DATAOPS!C33</f>
        <v>FASHION VIEWS</v>
      </c>
      <c r="C30" s="1">
        <f>+DATAOPS!M33</f>
        <v>18</v>
      </c>
      <c r="D30" s="1">
        <f>+DATAOPS!N33+DATAOPS!O33+DATAOPS!Q33</f>
        <v>90</v>
      </c>
      <c r="E30" s="1">
        <f>+DATAOPS!W33</f>
        <v>34</v>
      </c>
      <c r="F30" s="1">
        <f>+DATAOPS!AA33</f>
        <v>2020</v>
      </c>
      <c r="G30" s="1" t="str">
        <f>+DATAOPS!D33</f>
        <v>ROPA DORMIR</v>
      </c>
      <c r="H30" s="1">
        <f>+DATAOPS!AB33</f>
        <v>2</v>
      </c>
      <c r="I30" s="1">
        <f t="shared" si="0"/>
        <v>612</v>
      </c>
      <c r="J30" s="1">
        <f t="shared" si="1"/>
        <v>3060</v>
      </c>
      <c r="K30" s="1">
        <f>+DATAOPS!O33*E30</f>
        <v>1836</v>
      </c>
      <c r="L30" s="1">
        <f>+(DATAOPS!N33+DATAOPS!O33+DATAOPS!Q33)*E30</f>
        <v>3060</v>
      </c>
    </row>
    <row r="31" spans="2:12" x14ac:dyDescent="0.3">
      <c r="B31" s="1" t="str">
        <f>+DATAOPS!C34</f>
        <v>FASHION VIEWS</v>
      </c>
      <c r="C31" s="1">
        <f>+DATAOPS!M34</f>
        <v>11.5</v>
      </c>
      <c r="D31" s="1">
        <f>+DATAOPS!N34+DATAOPS!O34+DATAOPS!Q34</f>
        <v>64</v>
      </c>
      <c r="E31" s="1">
        <f>+DATAOPS!W34</f>
        <v>19</v>
      </c>
      <c r="F31" s="1">
        <f>+DATAOPS!AA34</f>
        <v>2020</v>
      </c>
      <c r="G31" s="1" t="str">
        <f>+DATAOPS!D34</f>
        <v>ROPA DORMIR</v>
      </c>
      <c r="H31" s="1">
        <f>+DATAOPS!AB34</f>
        <v>2</v>
      </c>
      <c r="I31" s="1">
        <f t="shared" si="0"/>
        <v>218.5</v>
      </c>
      <c r="J31" s="1">
        <f t="shared" si="1"/>
        <v>1216</v>
      </c>
      <c r="K31" s="1">
        <f>+DATAOPS!O34*E31</f>
        <v>532</v>
      </c>
      <c r="L31" s="1">
        <f>+(DATAOPS!N34+DATAOPS!O34+DATAOPS!Q34)*E31</f>
        <v>1216</v>
      </c>
    </row>
    <row r="32" spans="2:12" x14ac:dyDescent="0.3">
      <c r="B32" s="1" t="str">
        <f>+DATAOPS!C35</f>
        <v>FASHION VIEWS</v>
      </c>
      <c r="C32" s="1">
        <f>+DATAOPS!M35</f>
        <v>18</v>
      </c>
      <c r="D32" s="1">
        <f>+DATAOPS!N35+DATAOPS!O35+DATAOPS!Q35</f>
        <v>90</v>
      </c>
      <c r="E32" s="1">
        <f>+DATAOPS!W35</f>
        <v>19</v>
      </c>
      <c r="F32" s="1">
        <f>+DATAOPS!AA35</f>
        <v>2020</v>
      </c>
      <c r="G32" s="1" t="str">
        <f>+DATAOPS!D35</f>
        <v>ROPA DORMIR</v>
      </c>
      <c r="H32" s="1">
        <f>+DATAOPS!AB35</f>
        <v>2</v>
      </c>
      <c r="I32" s="1">
        <f t="shared" si="0"/>
        <v>342</v>
      </c>
      <c r="J32" s="1">
        <f t="shared" si="1"/>
        <v>1710</v>
      </c>
      <c r="K32" s="1">
        <f>+DATAOPS!O35*E32</f>
        <v>1026</v>
      </c>
      <c r="L32" s="1">
        <f>+(DATAOPS!N35+DATAOPS!O35+DATAOPS!Q35)*E32</f>
        <v>1710</v>
      </c>
    </row>
    <row r="33" spans="2:12" x14ac:dyDescent="0.3">
      <c r="B33" s="1" t="str">
        <f>+DATAOPS!C36</f>
        <v>FASHION VIEWS</v>
      </c>
      <c r="C33" s="1">
        <f>+DATAOPS!M36</f>
        <v>15.5</v>
      </c>
      <c r="D33" s="1">
        <f>+DATAOPS!N36+DATAOPS!O36+DATAOPS!Q36</f>
        <v>80</v>
      </c>
      <c r="E33" s="1">
        <f>+DATAOPS!W36</f>
        <v>19</v>
      </c>
      <c r="F33" s="1">
        <f>+DATAOPS!AA36</f>
        <v>2020</v>
      </c>
      <c r="G33" s="1" t="str">
        <f>+DATAOPS!D36</f>
        <v>ROPA DORMIR</v>
      </c>
      <c r="H33" s="1">
        <f>+DATAOPS!AB36</f>
        <v>2</v>
      </c>
      <c r="I33" s="1">
        <f t="shared" si="0"/>
        <v>294.5</v>
      </c>
      <c r="J33" s="1">
        <f t="shared" si="1"/>
        <v>1520</v>
      </c>
      <c r="K33" s="1">
        <f>+DATAOPS!O36*E33</f>
        <v>836</v>
      </c>
      <c r="L33" s="1">
        <f>+(DATAOPS!N36+DATAOPS!O36+DATAOPS!Q36)*E33</f>
        <v>1520</v>
      </c>
    </row>
    <row r="34" spans="2:12" x14ac:dyDescent="0.3">
      <c r="B34" s="1" t="str">
        <f>+DATAOPS!C37</f>
        <v>FASHION VIEWS</v>
      </c>
      <c r="C34" s="1">
        <f>+DATAOPS!M37</f>
        <v>16.5</v>
      </c>
      <c r="D34" s="1">
        <f>+DATAOPS!N37+DATAOPS!O37+DATAOPS!Q37</f>
        <v>78</v>
      </c>
      <c r="E34" s="1">
        <f>+DATAOPS!W37</f>
        <v>121</v>
      </c>
      <c r="F34" s="1">
        <f>+DATAOPS!AA37</f>
        <v>2020</v>
      </c>
      <c r="G34" s="1" t="str">
        <f>+DATAOPS!D37</f>
        <v>ROPA DORMIR</v>
      </c>
      <c r="H34" s="1">
        <f>+DATAOPS!AB37</f>
        <v>2</v>
      </c>
      <c r="I34" s="1">
        <f t="shared" si="0"/>
        <v>1996.5</v>
      </c>
      <c r="J34" s="1">
        <f t="shared" si="1"/>
        <v>9438</v>
      </c>
      <c r="K34" s="1">
        <f>+DATAOPS!O37*E34</f>
        <v>6534</v>
      </c>
      <c r="L34" s="1">
        <f>+(DATAOPS!N37+DATAOPS!O37+DATAOPS!Q37)*E34</f>
        <v>9438</v>
      </c>
    </row>
    <row r="35" spans="2:12" x14ac:dyDescent="0.3">
      <c r="B35" s="1" t="str">
        <f>+DATAOPS!C38</f>
        <v>CDL</v>
      </c>
      <c r="C35" s="1">
        <f>+DATAOPS!M38</f>
        <v>16</v>
      </c>
      <c r="D35" s="1">
        <f>+DATAOPS!N38+DATAOPS!O38+DATAOPS!Q38</f>
        <v>82</v>
      </c>
      <c r="E35" s="1">
        <f>+DATAOPS!W38</f>
        <v>144</v>
      </c>
      <c r="F35" s="1">
        <f>+DATAOPS!AA38</f>
        <v>2020</v>
      </c>
      <c r="G35" s="1" t="str">
        <f>+DATAOPS!D38</f>
        <v>ROPA DORMIR</v>
      </c>
      <c r="H35" s="1">
        <f>+DATAOPS!AB38</f>
        <v>2</v>
      </c>
      <c r="I35" s="1">
        <f t="shared" si="0"/>
        <v>2304</v>
      </c>
      <c r="J35" s="1">
        <f t="shared" si="1"/>
        <v>11808</v>
      </c>
      <c r="K35" s="1">
        <f>+DATAOPS!O38*E35</f>
        <v>6624</v>
      </c>
      <c r="L35" s="1">
        <f>+(DATAOPS!N38+DATAOPS!O38+DATAOPS!Q38)*E35</f>
        <v>11808</v>
      </c>
    </row>
    <row r="36" spans="2:12" x14ac:dyDescent="0.3">
      <c r="B36" s="1" t="str">
        <f>+DATAOPS!C39</f>
        <v>FASHION VIEWS</v>
      </c>
      <c r="C36" s="1">
        <f>+DATAOPS!M39</f>
        <v>39</v>
      </c>
      <c r="D36" s="1">
        <f>+DATAOPS!N39+DATAOPS!O39+DATAOPS!Q39</f>
        <v>52</v>
      </c>
      <c r="E36" s="1">
        <f>+DATAOPS!W39</f>
        <v>126</v>
      </c>
      <c r="F36" s="1">
        <f>+DATAOPS!AA39</f>
        <v>2020</v>
      </c>
      <c r="G36" s="1" t="str">
        <f>+DATAOPS!D39</f>
        <v>ROPA DORMIR</v>
      </c>
      <c r="H36" s="1">
        <f>+DATAOPS!AB39</f>
        <v>3</v>
      </c>
      <c r="I36" s="1">
        <f t="shared" si="0"/>
        <v>4914</v>
      </c>
      <c r="J36" s="1">
        <f t="shared" si="1"/>
        <v>6552</v>
      </c>
      <c r="K36" s="1">
        <f>+DATAOPS!O39*E36</f>
        <v>3528</v>
      </c>
      <c r="L36" s="1">
        <f>+(DATAOPS!N39+DATAOPS!O39+DATAOPS!Q39)*E36</f>
        <v>6552</v>
      </c>
    </row>
    <row r="37" spans="2:12" x14ac:dyDescent="0.3">
      <c r="B37" s="1" t="str">
        <f>+DATAOPS!C40</f>
        <v>FASHION VIEWS</v>
      </c>
      <c r="C37" s="1">
        <f>+DATAOPS!M40</f>
        <v>9.5</v>
      </c>
      <c r="D37" s="1">
        <f>+DATAOPS!N40+DATAOPS!O40+DATAOPS!Q40</f>
        <v>50</v>
      </c>
      <c r="E37" s="1">
        <f>+DATAOPS!W40</f>
        <v>101</v>
      </c>
      <c r="F37" s="1">
        <f>+DATAOPS!AA40</f>
        <v>2020</v>
      </c>
      <c r="G37" s="1" t="str">
        <f>+DATAOPS!D40</f>
        <v>ROPA DORMIR</v>
      </c>
      <c r="H37" s="1">
        <f>+DATAOPS!AB40</f>
        <v>6</v>
      </c>
      <c r="I37" s="1">
        <f t="shared" si="0"/>
        <v>959.5</v>
      </c>
      <c r="J37" s="1">
        <f t="shared" si="1"/>
        <v>5050</v>
      </c>
      <c r="K37" s="1">
        <f>+DATAOPS!O40*E37</f>
        <v>2626</v>
      </c>
      <c r="L37" s="1">
        <f>+(DATAOPS!N40+DATAOPS!O40+DATAOPS!Q40)*E37</f>
        <v>5050</v>
      </c>
    </row>
    <row r="38" spans="2:12" x14ac:dyDescent="0.3">
      <c r="B38" s="1" t="str">
        <f>+DATAOPS!C41</f>
        <v>FASHION VIEWS</v>
      </c>
      <c r="C38" s="1">
        <f>+DATAOPS!M41</f>
        <v>14.3</v>
      </c>
      <c r="D38" s="1">
        <f>+DATAOPS!N41+DATAOPS!O41+DATAOPS!Q41</f>
        <v>71.2</v>
      </c>
      <c r="E38" s="1">
        <f>+DATAOPS!W41</f>
        <v>123</v>
      </c>
      <c r="F38" s="1">
        <f>+DATAOPS!AA41</f>
        <v>2020</v>
      </c>
      <c r="G38" s="1" t="str">
        <f>+DATAOPS!D41</f>
        <v>ROPA DORMIR</v>
      </c>
      <c r="H38" s="1">
        <f>+DATAOPS!AB41</f>
        <v>6</v>
      </c>
      <c r="I38" s="1">
        <f t="shared" si="0"/>
        <v>1758.9</v>
      </c>
      <c r="J38" s="1">
        <f t="shared" si="1"/>
        <v>8757.6</v>
      </c>
      <c r="K38" s="1">
        <f>+DATAOPS!O41*E38</f>
        <v>5313.6</v>
      </c>
      <c r="L38" s="1">
        <f>+(DATAOPS!N41+DATAOPS!O41+DATAOPS!Q41)*E38</f>
        <v>8757.6</v>
      </c>
    </row>
    <row r="39" spans="2:12" x14ac:dyDescent="0.3">
      <c r="B39" s="1" t="str">
        <f>+DATAOPS!C42</f>
        <v>FASHION VIEWS</v>
      </c>
      <c r="C39" s="1">
        <f>+DATAOPS!M42</f>
        <v>14.3</v>
      </c>
      <c r="D39" s="1">
        <f>+DATAOPS!N42+DATAOPS!O42+DATAOPS!Q42</f>
        <v>71.2</v>
      </c>
      <c r="E39" s="1">
        <f>+DATAOPS!W42</f>
        <v>108</v>
      </c>
      <c r="F39" s="1">
        <f>+DATAOPS!AA42</f>
        <v>2020</v>
      </c>
      <c r="G39" s="1" t="str">
        <f>+DATAOPS!D42</f>
        <v>ROPA DORMIR</v>
      </c>
      <c r="H39" s="1">
        <f>+DATAOPS!AB42</f>
        <v>6</v>
      </c>
      <c r="I39" s="1">
        <f t="shared" si="0"/>
        <v>1544.4</v>
      </c>
      <c r="J39" s="1">
        <f t="shared" si="1"/>
        <v>7689.6</v>
      </c>
      <c r="K39" s="1">
        <f>+DATAOPS!O42*E39</f>
        <v>4665.6000000000004</v>
      </c>
      <c r="L39" s="1">
        <f>+(DATAOPS!N42+DATAOPS!O42+DATAOPS!Q42)*E39</f>
        <v>7689.6</v>
      </c>
    </row>
    <row r="40" spans="2:12" x14ac:dyDescent="0.3">
      <c r="B40" s="1" t="str">
        <f>+DATAOPS!C43</f>
        <v>FASHION VIEWS</v>
      </c>
      <c r="C40" s="1">
        <f>+DATAOPS!M43</f>
        <v>38</v>
      </c>
      <c r="D40" s="1">
        <f>+DATAOPS!N43+DATAOPS!O43+DATAOPS!Q43</f>
        <v>48</v>
      </c>
      <c r="E40" s="1">
        <f>+DATAOPS!W43</f>
        <v>77</v>
      </c>
      <c r="F40" s="1">
        <f>+DATAOPS!AA43</f>
        <v>2020</v>
      </c>
      <c r="G40" s="1" t="str">
        <f>+DATAOPS!D43</f>
        <v>ROPA DORMIR</v>
      </c>
      <c r="H40" s="1">
        <f>+DATAOPS!AB43</f>
        <v>6</v>
      </c>
      <c r="I40" s="1">
        <f t="shared" si="0"/>
        <v>2926</v>
      </c>
      <c r="J40" s="1">
        <f t="shared" si="1"/>
        <v>3696</v>
      </c>
      <c r="K40" s="1">
        <f>+DATAOPS!O43*E40</f>
        <v>1848</v>
      </c>
      <c r="L40" s="1">
        <f>+(DATAOPS!N43+DATAOPS!O43+DATAOPS!Q43)*E40</f>
        <v>3696</v>
      </c>
    </row>
    <row r="41" spans="2:12" x14ac:dyDescent="0.3">
      <c r="B41" s="1" t="str">
        <f>+DATAOPS!C44</f>
        <v>FASHION VIEWS</v>
      </c>
      <c r="C41" s="1">
        <f>+DATAOPS!M44</f>
        <v>108.5</v>
      </c>
      <c r="D41" s="1">
        <f>+DATAOPS!N44+DATAOPS!O44+DATAOPS!Q44</f>
        <v>448</v>
      </c>
      <c r="E41" s="1">
        <f>+DATAOPS!W44</f>
        <v>87</v>
      </c>
      <c r="F41" s="1">
        <f>+DATAOPS!AA44</f>
        <v>2020</v>
      </c>
      <c r="G41" s="1" t="str">
        <f>+DATAOPS!D44</f>
        <v>ROPA DORMIR</v>
      </c>
      <c r="H41" s="1">
        <f>+DATAOPS!AB44</f>
        <v>6</v>
      </c>
      <c r="I41" s="1">
        <f t="shared" si="0"/>
        <v>9439.5</v>
      </c>
      <c r="J41" s="1">
        <f t="shared" si="1"/>
        <v>38976</v>
      </c>
      <c r="K41" s="1">
        <f>+DATAOPS!O44*E41</f>
        <v>36540</v>
      </c>
      <c r="L41" s="1">
        <f>+(DATAOPS!N44+DATAOPS!O44+DATAOPS!Q44)*E41</f>
        <v>38976</v>
      </c>
    </row>
    <row r="42" spans="2:12" x14ac:dyDescent="0.3">
      <c r="B42" s="1" t="str">
        <f>+DATAOPS!C45</f>
        <v>MARELLE</v>
      </c>
      <c r="C42" s="1">
        <f>+DATAOPS!M45</f>
        <v>9</v>
      </c>
      <c r="D42" s="1">
        <f>+DATAOPS!N45+DATAOPS!O45+DATAOPS!Q45</f>
        <v>48</v>
      </c>
      <c r="E42" s="1">
        <f>+DATAOPS!W45</f>
        <v>122</v>
      </c>
      <c r="F42" s="1">
        <f>+DATAOPS!AA45</f>
        <v>2020</v>
      </c>
      <c r="G42" s="1" t="str">
        <f>+DATAOPS!D45</f>
        <v>ROPA DORMIR</v>
      </c>
      <c r="H42" s="1">
        <f>+DATAOPS!AB45</f>
        <v>6</v>
      </c>
      <c r="I42" s="1">
        <f t="shared" si="0"/>
        <v>1098</v>
      </c>
      <c r="J42" s="1">
        <f t="shared" si="1"/>
        <v>5856</v>
      </c>
      <c r="K42" s="1">
        <f>+DATAOPS!O45*E42</f>
        <v>2928</v>
      </c>
      <c r="L42" s="1">
        <f>+(DATAOPS!N45+DATAOPS!O45+DATAOPS!Q45)*E42</f>
        <v>5856</v>
      </c>
    </row>
    <row r="43" spans="2:12" x14ac:dyDescent="0.3">
      <c r="B43" s="1" t="str">
        <f>+DATAOPS!C46</f>
        <v>MARELLE</v>
      </c>
      <c r="C43" s="1">
        <f>+DATAOPS!M46</f>
        <v>12</v>
      </c>
      <c r="D43" s="1">
        <f>+DATAOPS!N46+DATAOPS!O46+DATAOPS!Q46</f>
        <v>62</v>
      </c>
      <c r="E43" s="1">
        <f>+DATAOPS!W46</f>
        <v>122</v>
      </c>
      <c r="F43" s="1">
        <f>+DATAOPS!AA46</f>
        <v>2020</v>
      </c>
      <c r="G43" s="1" t="str">
        <f>+DATAOPS!D46</f>
        <v>ROPA DORMIR</v>
      </c>
      <c r="H43" s="1">
        <f>+DATAOPS!AB46</f>
        <v>6</v>
      </c>
      <c r="I43" s="1">
        <f t="shared" si="0"/>
        <v>1464</v>
      </c>
      <c r="J43" s="1">
        <f t="shared" si="1"/>
        <v>7564</v>
      </c>
      <c r="K43" s="1">
        <f>+DATAOPS!O46*E43</f>
        <v>4148</v>
      </c>
      <c r="L43" s="1">
        <f>+(DATAOPS!N46+DATAOPS!O46+DATAOPS!Q46)*E43</f>
        <v>7564</v>
      </c>
    </row>
    <row r="44" spans="2:12" x14ac:dyDescent="0.3">
      <c r="B44" s="1" t="str">
        <f>+DATAOPS!C47</f>
        <v>MARELLE</v>
      </c>
      <c r="C44" s="1">
        <f>+DATAOPS!M47</f>
        <v>11.5</v>
      </c>
      <c r="D44" s="1">
        <f>+DATAOPS!N47+DATAOPS!O47+DATAOPS!Q47</f>
        <v>60</v>
      </c>
      <c r="E44" s="1">
        <f>+DATAOPS!W47</f>
        <v>122</v>
      </c>
      <c r="F44" s="1">
        <f>+DATAOPS!AA47</f>
        <v>2020</v>
      </c>
      <c r="G44" s="1" t="str">
        <f>+DATAOPS!D47</f>
        <v>ROPA DORMIR</v>
      </c>
      <c r="H44" s="1">
        <f>+DATAOPS!AB47</f>
        <v>6</v>
      </c>
      <c r="I44" s="1">
        <f t="shared" si="0"/>
        <v>1403</v>
      </c>
      <c r="J44" s="1">
        <f t="shared" si="1"/>
        <v>7320</v>
      </c>
      <c r="K44" s="1">
        <f>+DATAOPS!O47*E44</f>
        <v>3904</v>
      </c>
      <c r="L44" s="1">
        <f>+(DATAOPS!N47+DATAOPS!O47+DATAOPS!Q47)*E44</f>
        <v>7320</v>
      </c>
    </row>
    <row r="45" spans="2:12" x14ac:dyDescent="0.3">
      <c r="B45" s="1" t="str">
        <f>+DATAOPS!C48</f>
        <v>MARELLE</v>
      </c>
      <c r="C45" s="1">
        <f>+DATAOPS!M48</f>
        <v>15</v>
      </c>
      <c r="D45" s="1">
        <f>+DATAOPS!N48+DATAOPS!O48+DATAOPS!Q48</f>
        <v>72</v>
      </c>
      <c r="E45" s="1">
        <f>+DATAOPS!W48</f>
        <v>122</v>
      </c>
      <c r="F45" s="1">
        <f>+DATAOPS!AA48</f>
        <v>2020</v>
      </c>
      <c r="G45" s="1" t="str">
        <f>+DATAOPS!D48</f>
        <v>ROPA DORMIR</v>
      </c>
      <c r="H45" s="1">
        <f>+DATAOPS!AB48</f>
        <v>6</v>
      </c>
      <c r="I45" s="1">
        <f t="shared" si="0"/>
        <v>1830</v>
      </c>
      <c r="J45" s="1">
        <f t="shared" si="1"/>
        <v>8784</v>
      </c>
      <c r="K45" s="1">
        <f>+DATAOPS!O48*E45</f>
        <v>5856</v>
      </c>
      <c r="L45" s="1">
        <f>+(DATAOPS!N48+DATAOPS!O48+DATAOPS!Q48)*E45</f>
        <v>8784</v>
      </c>
    </row>
    <row r="46" spans="2:12" x14ac:dyDescent="0.3">
      <c r="B46" s="1" t="str">
        <f>+DATAOPS!C49</f>
        <v>MARELLE</v>
      </c>
      <c r="C46" s="1">
        <f>+DATAOPS!M49</f>
        <v>9</v>
      </c>
      <c r="D46" s="1">
        <f>+DATAOPS!N49+DATAOPS!O49+DATAOPS!Q49</f>
        <v>48</v>
      </c>
      <c r="E46" s="1">
        <f>+DATAOPS!W49</f>
        <v>122</v>
      </c>
      <c r="F46" s="1">
        <f>+DATAOPS!AA49</f>
        <v>2020</v>
      </c>
      <c r="G46" s="1" t="str">
        <f>+DATAOPS!D49</f>
        <v>ROPA DORMIR</v>
      </c>
      <c r="H46" s="1">
        <f>+DATAOPS!AB49</f>
        <v>6</v>
      </c>
      <c r="I46" s="1">
        <f t="shared" si="0"/>
        <v>1098</v>
      </c>
      <c r="J46" s="1">
        <f t="shared" si="1"/>
        <v>5856</v>
      </c>
      <c r="K46" s="1">
        <f>+DATAOPS!O49*E46</f>
        <v>2928</v>
      </c>
      <c r="L46" s="1">
        <f>+(DATAOPS!N49+DATAOPS!O49+DATAOPS!Q49)*E46</f>
        <v>5856</v>
      </c>
    </row>
    <row r="47" spans="2:12" x14ac:dyDescent="0.3">
      <c r="B47" s="1" t="str">
        <f>+DATAOPS!C50</f>
        <v>FASHION VIEWS</v>
      </c>
      <c r="C47" s="1">
        <f>+DATAOPS!M50</f>
        <v>18.5</v>
      </c>
      <c r="D47" s="1">
        <f>+DATAOPS!N50+DATAOPS!O50+DATAOPS!Q50</f>
        <v>88</v>
      </c>
      <c r="E47" s="1">
        <f>+DATAOPS!W50</f>
        <v>100</v>
      </c>
      <c r="F47" s="1">
        <f>+DATAOPS!AA50</f>
        <v>2020</v>
      </c>
      <c r="G47" s="1" t="str">
        <f>+DATAOPS!D50</f>
        <v>ROPA DORMIR</v>
      </c>
      <c r="H47" s="1">
        <f>+DATAOPS!AB50</f>
        <v>6</v>
      </c>
      <c r="I47" s="1">
        <f t="shared" si="0"/>
        <v>1850</v>
      </c>
      <c r="J47" s="1">
        <f t="shared" si="1"/>
        <v>8800</v>
      </c>
      <c r="K47" s="1">
        <f>+DATAOPS!O50*E47</f>
        <v>6000</v>
      </c>
      <c r="L47" s="1">
        <f>+(DATAOPS!N50+DATAOPS!O50+DATAOPS!Q50)*E47</f>
        <v>8800</v>
      </c>
    </row>
    <row r="48" spans="2:12" x14ac:dyDescent="0.3">
      <c r="B48" s="1" t="str">
        <f>+DATAOPS!C51</f>
        <v>LAURA MILLER</v>
      </c>
      <c r="C48" s="1">
        <f>+DATAOPS!M51</f>
        <v>21</v>
      </c>
      <c r="D48" s="1">
        <f>+DATAOPS!N51+DATAOPS!O51+DATAOPS!Q51</f>
        <v>60</v>
      </c>
      <c r="E48" s="1">
        <f>+DATAOPS!W51</f>
        <v>58</v>
      </c>
      <c r="F48" s="1">
        <f>+DATAOPS!AA51</f>
        <v>2020</v>
      </c>
      <c r="G48" s="1" t="str">
        <f>+DATAOPS!D51</f>
        <v>BEBES</v>
      </c>
      <c r="H48" s="1">
        <f>+DATAOPS!AB51</f>
        <v>6</v>
      </c>
      <c r="I48" s="1">
        <f t="shared" si="0"/>
        <v>1218</v>
      </c>
      <c r="J48" s="1">
        <f t="shared" si="1"/>
        <v>3480</v>
      </c>
      <c r="K48" s="1">
        <f>+DATAOPS!O51*E48</f>
        <v>2088</v>
      </c>
      <c r="L48" s="1">
        <f>+(DATAOPS!N51+DATAOPS!O51+DATAOPS!Q51)*E48</f>
        <v>3480</v>
      </c>
    </row>
    <row r="49" spans="2:12" x14ac:dyDescent="0.3">
      <c r="B49" s="1" t="str">
        <f>+DATAOPS!C52</f>
        <v>FASHION VIEWS</v>
      </c>
      <c r="C49" s="1">
        <f>+DATAOPS!M52</f>
        <v>14</v>
      </c>
      <c r="D49" s="1">
        <f>+DATAOPS!N52+DATAOPS!O52+DATAOPS!Q52</f>
        <v>70</v>
      </c>
      <c r="E49" s="1">
        <f>+DATAOPS!W52</f>
        <v>146</v>
      </c>
      <c r="F49" s="1">
        <f>+DATAOPS!AA52</f>
        <v>2020</v>
      </c>
      <c r="G49" s="1" t="str">
        <f>+DATAOPS!D52</f>
        <v>ROPA DORMIR</v>
      </c>
      <c r="H49" s="1">
        <f>+DATAOPS!AB52</f>
        <v>6</v>
      </c>
      <c r="I49" s="1">
        <f t="shared" si="0"/>
        <v>2044</v>
      </c>
      <c r="J49" s="1">
        <f t="shared" si="1"/>
        <v>10220</v>
      </c>
      <c r="K49" s="1">
        <f>+DATAOPS!O52*E49</f>
        <v>6132</v>
      </c>
      <c r="L49" s="1">
        <f>+(DATAOPS!N52+DATAOPS!O52+DATAOPS!Q52)*E49</f>
        <v>10220</v>
      </c>
    </row>
    <row r="50" spans="2:12" x14ac:dyDescent="0.3">
      <c r="B50" s="1" t="str">
        <f>+DATAOPS!C53</f>
        <v>FASHION VIEWS</v>
      </c>
      <c r="C50" s="1">
        <f>+DATAOPS!M53</f>
        <v>7.5</v>
      </c>
      <c r="D50" s="1">
        <f>+DATAOPS!N53+DATAOPS!O53+DATAOPS!Q53</f>
        <v>42</v>
      </c>
      <c r="E50" s="1">
        <f>+DATAOPS!W53</f>
        <v>170</v>
      </c>
      <c r="F50" s="1">
        <f>+DATAOPS!AA53</f>
        <v>2020</v>
      </c>
      <c r="G50" s="1" t="str">
        <f>+DATAOPS!D53</f>
        <v>ROPA DORMIR</v>
      </c>
      <c r="H50" s="1">
        <f>+DATAOPS!AB53</f>
        <v>6</v>
      </c>
      <c r="I50" s="1">
        <f t="shared" si="0"/>
        <v>1275</v>
      </c>
      <c r="J50" s="1">
        <f t="shared" si="1"/>
        <v>7140</v>
      </c>
      <c r="K50" s="1">
        <f>+DATAOPS!O53*E50</f>
        <v>3060</v>
      </c>
      <c r="L50" s="1">
        <f>+(DATAOPS!N53+DATAOPS!O53+DATAOPS!Q53)*E50</f>
        <v>7140</v>
      </c>
    </row>
    <row r="51" spans="2:12" x14ac:dyDescent="0.3">
      <c r="B51" s="1" t="str">
        <f>+DATAOPS!C54</f>
        <v>FASHION VIEWS</v>
      </c>
      <c r="C51" s="1">
        <f>+DATAOPS!M54</f>
        <v>14</v>
      </c>
      <c r="D51" s="1">
        <f>+DATAOPS!N54+DATAOPS!O54+DATAOPS!Q54</f>
        <v>70</v>
      </c>
      <c r="E51" s="1">
        <f>+DATAOPS!W54</f>
        <v>127</v>
      </c>
      <c r="F51" s="1">
        <f>+DATAOPS!AA54</f>
        <v>2020</v>
      </c>
      <c r="G51" s="1" t="str">
        <f>+DATAOPS!D54</f>
        <v>ROPA DORMIR</v>
      </c>
      <c r="H51" s="1">
        <f>+DATAOPS!AB54</f>
        <v>6</v>
      </c>
      <c r="I51" s="1">
        <f t="shared" si="0"/>
        <v>1778</v>
      </c>
      <c r="J51" s="1">
        <f t="shared" si="1"/>
        <v>8890</v>
      </c>
      <c r="K51" s="1">
        <f>+DATAOPS!O54*E51</f>
        <v>5334</v>
      </c>
      <c r="L51" s="1">
        <f>+(DATAOPS!N54+DATAOPS!O54+DATAOPS!Q54)*E51</f>
        <v>8890</v>
      </c>
    </row>
    <row r="52" spans="2:12" x14ac:dyDescent="0.3">
      <c r="B52" s="1" t="str">
        <f>+DATAOPS!C55</f>
        <v>FASHION VIEWS</v>
      </c>
      <c r="C52" s="1">
        <f>+DATAOPS!M55</f>
        <v>9.5</v>
      </c>
      <c r="D52" s="1">
        <f>+DATAOPS!N55+DATAOPS!O55+DATAOPS!Q55</f>
        <v>50</v>
      </c>
      <c r="E52" s="1">
        <f>+DATAOPS!W55</f>
        <v>48</v>
      </c>
      <c r="F52" s="1">
        <f>+DATAOPS!AA55</f>
        <v>2020</v>
      </c>
      <c r="G52" s="1" t="str">
        <f>+DATAOPS!D55</f>
        <v>ROPA DORMIR</v>
      </c>
      <c r="H52" s="1">
        <f>+DATAOPS!AB55</f>
        <v>6</v>
      </c>
      <c r="I52" s="1">
        <f t="shared" si="0"/>
        <v>456</v>
      </c>
      <c r="J52" s="1">
        <f t="shared" si="1"/>
        <v>2400</v>
      </c>
      <c r="K52" s="1">
        <f>+DATAOPS!O55*E52</f>
        <v>1248</v>
      </c>
      <c r="L52" s="1">
        <f>+(DATAOPS!N55+DATAOPS!O55+DATAOPS!Q55)*E52</f>
        <v>2400</v>
      </c>
    </row>
    <row r="53" spans="2:12" x14ac:dyDescent="0.3">
      <c r="B53" s="1" t="str">
        <f>+DATAOPS!C56</f>
        <v>FASHION VIEWS</v>
      </c>
      <c r="C53" s="1">
        <f>+DATAOPS!M56</f>
        <v>14</v>
      </c>
      <c r="D53" s="1">
        <f>+DATAOPS!N56+DATAOPS!O56+DATAOPS!Q56</f>
        <v>70</v>
      </c>
      <c r="E53" s="1">
        <f>+DATAOPS!W56</f>
        <v>66</v>
      </c>
      <c r="F53" s="1">
        <f>+DATAOPS!AA56</f>
        <v>2020</v>
      </c>
      <c r="G53" s="1" t="str">
        <f>+DATAOPS!D56</f>
        <v>ROPA DORMIR</v>
      </c>
      <c r="H53" s="1">
        <f>+DATAOPS!AB56</f>
        <v>6</v>
      </c>
      <c r="I53" s="1">
        <f t="shared" si="0"/>
        <v>924</v>
      </c>
      <c r="J53" s="1">
        <f t="shared" si="1"/>
        <v>4620</v>
      </c>
      <c r="K53" s="1">
        <f>+DATAOPS!O56*E53</f>
        <v>2772</v>
      </c>
      <c r="L53" s="1">
        <f>+(DATAOPS!N56+DATAOPS!O56+DATAOPS!Q56)*E53</f>
        <v>4620</v>
      </c>
    </row>
    <row r="54" spans="2:12" x14ac:dyDescent="0.3">
      <c r="B54" s="1" t="str">
        <f>+DATAOPS!C57</f>
        <v>FASHION VIEWS</v>
      </c>
      <c r="C54" s="1">
        <f>+DATAOPS!M57</f>
        <v>10.8</v>
      </c>
      <c r="D54" s="1">
        <f>+DATAOPS!N57+DATAOPS!O57+DATAOPS!Q57</f>
        <v>55.2</v>
      </c>
      <c r="E54" s="1">
        <f>+DATAOPS!W57</f>
        <v>72</v>
      </c>
      <c r="F54" s="1">
        <f>+DATAOPS!AA57</f>
        <v>2020</v>
      </c>
      <c r="G54" s="1" t="str">
        <f>+DATAOPS!D57</f>
        <v>ROPA DORMIR</v>
      </c>
      <c r="H54" s="1">
        <f>+DATAOPS!AB57</f>
        <v>6</v>
      </c>
      <c r="I54" s="1">
        <f t="shared" si="0"/>
        <v>777.6</v>
      </c>
      <c r="J54" s="1">
        <f t="shared" si="1"/>
        <v>3974.4</v>
      </c>
      <c r="K54" s="1">
        <f>+DATAOPS!O57*E54</f>
        <v>2246.4</v>
      </c>
      <c r="L54" s="1">
        <f>+(DATAOPS!N57+DATAOPS!O57+DATAOPS!Q57)*E54</f>
        <v>3974.4</v>
      </c>
    </row>
    <row r="55" spans="2:12" x14ac:dyDescent="0.3">
      <c r="B55" s="1" t="str">
        <f>+DATAOPS!C58</f>
        <v>MARELLE</v>
      </c>
      <c r="C55" s="1">
        <f>+DATAOPS!M58</f>
        <v>11</v>
      </c>
      <c r="D55" s="1">
        <f>+DATAOPS!N58+DATAOPS!O58+DATAOPS!Q58</f>
        <v>56</v>
      </c>
      <c r="E55" s="1">
        <f>+DATAOPS!W58</f>
        <v>62</v>
      </c>
      <c r="F55" s="1">
        <f>+DATAOPS!AA58</f>
        <v>2020</v>
      </c>
      <c r="G55" s="1" t="str">
        <f>+DATAOPS!D58</f>
        <v>ROPA DORMIR</v>
      </c>
      <c r="H55" s="1">
        <f>+DATAOPS!AB58</f>
        <v>6</v>
      </c>
      <c r="I55" s="1">
        <f t="shared" si="0"/>
        <v>682</v>
      </c>
      <c r="J55" s="1">
        <f t="shared" si="1"/>
        <v>3472</v>
      </c>
      <c r="K55" s="1">
        <f>+DATAOPS!O58*E55</f>
        <v>1984</v>
      </c>
      <c r="L55" s="1">
        <f>+(DATAOPS!N58+DATAOPS!O58+DATAOPS!Q58)*E55</f>
        <v>3472</v>
      </c>
    </row>
    <row r="56" spans="2:12" x14ac:dyDescent="0.3">
      <c r="B56" s="1" t="str">
        <f>+DATAOPS!C59</f>
        <v>FASHION VIEWS</v>
      </c>
      <c r="C56" s="1">
        <f>+DATAOPS!M59</f>
        <v>15.5</v>
      </c>
      <c r="D56" s="1">
        <f>+DATAOPS!N59+DATAOPS!O59+DATAOPS!Q59</f>
        <v>76</v>
      </c>
      <c r="E56" s="1">
        <f>+DATAOPS!W59</f>
        <v>116</v>
      </c>
      <c r="F56" s="1">
        <f>+DATAOPS!AA59</f>
        <v>2020</v>
      </c>
      <c r="G56" s="1" t="str">
        <f>+DATAOPS!D59</f>
        <v>ROPA DORMIR</v>
      </c>
      <c r="H56" s="1">
        <f>+DATAOPS!AB59</f>
        <v>6</v>
      </c>
      <c r="I56" s="1">
        <f t="shared" si="0"/>
        <v>1798</v>
      </c>
      <c r="J56" s="1">
        <f t="shared" si="1"/>
        <v>8816</v>
      </c>
      <c r="K56" s="1">
        <f>+DATAOPS!O59*E56</f>
        <v>5568</v>
      </c>
      <c r="L56" s="1">
        <f>+(DATAOPS!N59+DATAOPS!O59+DATAOPS!Q59)*E56</f>
        <v>8816</v>
      </c>
    </row>
    <row r="57" spans="2:12" x14ac:dyDescent="0.3">
      <c r="B57" s="1" t="str">
        <f>+DATAOPS!C60</f>
        <v>FASHION VIEWS</v>
      </c>
      <c r="C57" s="1">
        <f>+DATAOPS!M60</f>
        <v>18</v>
      </c>
      <c r="D57" s="1">
        <f>+DATAOPS!N60+DATAOPS!O60+DATAOPS!Q60</f>
        <v>84</v>
      </c>
      <c r="E57" s="1">
        <f>+DATAOPS!W60</f>
        <v>102</v>
      </c>
      <c r="F57" s="1">
        <f>+DATAOPS!AA60</f>
        <v>2020</v>
      </c>
      <c r="G57" s="1" t="str">
        <f>+DATAOPS!D60</f>
        <v>ROPA DORMIR</v>
      </c>
      <c r="H57" s="1">
        <f>+DATAOPS!AB60</f>
        <v>7</v>
      </c>
      <c r="I57" s="1">
        <f t="shared" si="0"/>
        <v>1836</v>
      </c>
      <c r="J57" s="1">
        <f t="shared" si="1"/>
        <v>8568</v>
      </c>
      <c r="K57" s="1">
        <f>+DATAOPS!O60*E57</f>
        <v>6120</v>
      </c>
      <c r="L57" s="1">
        <f>+(DATAOPS!N60+DATAOPS!O60+DATAOPS!Q60)*E57</f>
        <v>8568</v>
      </c>
    </row>
    <row r="58" spans="2:12" x14ac:dyDescent="0.3">
      <c r="B58" s="1" t="str">
        <f>+DATAOPS!C61</f>
        <v>MARELLE</v>
      </c>
      <c r="C58" s="1">
        <f>+DATAOPS!M61</f>
        <v>21.5</v>
      </c>
      <c r="D58" s="1">
        <f>+DATAOPS!N61+DATAOPS!O61+DATAOPS!Q61</f>
        <v>60</v>
      </c>
      <c r="E58" s="1">
        <f>+DATAOPS!W61</f>
        <v>31</v>
      </c>
      <c r="F58" s="1">
        <f>+DATAOPS!AA61</f>
        <v>2020</v>
      </c>
      <c r="G58" s="1" t="str">
        <f>+DATAOPS!D61</f>
        <v>BEBES</v>
      </c>
      <c r="H58" s="1">
        <f>+DATAOPS!AB61</f>
        <v>7</v>
      </c>
      <c r="I58" s="1">
        <f t="shared" si="0"/>
        <v>666.5</v>
      </c>
      <c r="J58" s="1">
        <f t="shared" si="1"/>
        <v>1860</v>
      </c>
      <c r="K58" s="1">
        <f>+DATAOPS!O61*E58</f>
        <v>1116</v>
      </c>
      <c r="L58" s="1">
        <f>+(DATAOPS!N61+DATAOPS!O61+DATAOPS!Q61)*E58</f>
        <v>1860</v>
      </c>
    </row>
    <row r="59" spans="2:12" x14ac:dyDescent="0.3">
      <c r="B59" s="1" t="str">
        <f>+DATAOPS!C62</f>
        <v>MARELLE</v>
      </c>
      <c r="C59" s="1">
        <f>+DATAOPS!M62</f>
        <v>21</v>
      </c>
      <c r="D59" s="1">
        <f>+DATAOPS!N62+DATAOPS!O62+DATAOPS!Q62</f>
        <v>60</v>
      </c>
      <c r="E59" s="1">
        <f>+DATAOPS!W62</f>
        <v>31</v>
      </c>
      <c r="F59" s="1">
        <f>+DATAOPS!AA62</f>
        <v>2020</v>
      </c>
      <c r="G59" s="1" t="str">
        <f>+DATAOPS!D62</f>
        <v>BEBES</v>
      </c>
      <c r="H59" s="1">
        <f>+DATAOPS!AB62</f>
        <v>7</v>
      </c>
      <c r="I59" s="1">
        <f t="shared" si="0"/>
        <v>651</v>
      </c>
      <c r="J59" s="1">
        <f t="shared" si="1"/>
        <v>1860</v>
      </c>
      <c r="K59" s="1">
        <f>+DATAOPS!O62*E59</f>
        <v>1116</v>
      </c>
      <c r="L59" s="1">
        <f>+(DATAOPS!N62+DATAOPS!O62+DATAOPS!Q62)*E59</f>
        <v>1860</v>
      </c>
    </row>
    <row r="60" spans="2:12" x14ac:dyDescent="0.3">
      <c r="B60" s="1" t="str">
        <f>+DATAOPS!C63</f>
        <v>MARELLE</v>
      </c>
      <c r="C60" s="1">
        <f>+DATAOPS!M63</f>
        <v>18.7</v>
      </c>
      <c r="D60" s="1">
        <f>+DATAOPS!N63+DATAOPS!O63+DATAOPS!Q63</f>
        <v>42.8</v>
      </c>
      <c r="E60" s="1">
        <f>+DATAOPS!W63</f>
        <v>21</v>
      </c>
      <c r="F60" s="1">
        <f>+DATAOPS!AA63</f>
        <v>2020</v>
      </c>
      <c r="G60" s="1" t="str">
        <f>+DATAOPS!D63</f>
        <v>BEBES</v>
      </c>
      <c r="H60" s="1">
        <f>+DATAOPS!AB63</f>
        <v>7</v>
      </c>
      <c r="I60" s="1">
        <f t="shared" si="0"/>
        <v>392.7</v>
      </c>
      <c r="J60" s="1">
        <f t="shared" si="1"/>
        <v>898.8</v>
      </c>
      <c r="K60" s="1">
        <f>+DATAOPS!O63*E60</f>
        <v>394.8</v>
      </c>
      <c r="L60" s="1">
        <f>+(DATAOPS!N63+DATAOPS!O63+DATAOPS!Q63)*E60</f>
        <v>898.8</v>
      </c>
    </row>
    <row r="61" spans="2:12" x14ac:dyDescent="0.3">
      <c r="B61" s="1" t="str">
        <f>+DATAOPS!C64</f>
        <v>MARELLE</v>
      </c>
      <c r="C61" s="1">
        <f>+DATAOPS!M64</f>
        <v>18.7</v>
      </c>
      <c r="D61" s="1">
        <f>+DATAOPS!N64+DATAOPS!O64+DATAOPS!Q64</f>
        <v>42.8</v>
      </c>
      <c r="E61" s="1">
        <f>+DATAOPS!W64</f>
        <v>21</v>
      </c>
      <c r="F61" s="1">
        <f>+DATAOPS!AA64</f>
        <v>2020</v>
      </c>
      <c r="G61" s="1" t="str">
        <f>+DATAOPS!D64</f>
        <v>BEBES</v>
      </c>
      <c r="H61" s="1">
        <f>+DATAOPS!AB64</f>
        <v>7</v>
      </c>
      <c r="I61" s="1">
        <f t="shared" si="0"/>
        <v>392.7</v>
      </c>
      <c r="J61" s="1">
        <f t="shared" si="1"/>
        <v>898.8</v>
      </c>
      <c r="K61" s="1">
        <f>+DATAOPS!O64*E61</f>
        <v>394.8</v>
      </c>
      <c r="L61" s="1">
        <f>+(DATAOPS!N64+DATAOPS!O64+DATAOPS!Q64)*E61</f>
        <v>898.8</v>
      </c>
    </row>
    <row r="62" spans="2:12" x14ac:dyDescent="0.3">
      <c r="B62" s="1" t="str">
        <f>+DATAOPS!C65</f>
        <v>MARELLE</v>
      </c>
      <c r="C62" s="1">
        <f>+DATAOPS!M65</f>
        <v>11</v>
      </c>
      <c r="D62" s="1">
        <f>+DATAOPS!N65+DATAOPS!O65+DATAOPS!Q65</f>
        <v>30</v>
      </c>
      <c r="E62" s="1">
        <f>+DATAOPS!W65</f>
        <v>21</v>
      </c>
      <c r="F62" s="1">
        <f>+DATAOPS!AA65</f>
        <v>2020</v>
      </c>
      <c r="G62" s="1" t="str">
        <f>+DATAOPS!D65</f>
        <v>BEBES</v>
      </c>
      <c r="H62" s="1">
        <f>+DATAOPS!AB65</f>
        <v>7</v>
      </c>
      <c r="I62" s="1">
        <f t="shared" si="0"/>
        <v>231</v>
      </c>
      <c r="J62" s="1">
        <f t="shared" si="1"/>
        <v>630</v>
      </c>
      <c r="K62" s="1">
        <f>+DATAOPS!O65*E62</f>
        <v>210</v>
      </c>
      <c r="L62" s="1">
        <f>+(DATAOPS!N65+DATAOPS!O65+DATAOPS!Q65)*E62</f>
        <v>630</v>
      </c>
    </row>
    <row r="63" spans="2:12" x14ac:dyDescent="0.3">
      <c r="B63" s="1" t="str">
        <f>+DATAOPS!C66</f>
        <v>MARELLE</v>
      </c>
      <c r="C63" s="1">
        <f>+DATAOPS!M66</f>
        <v>11</v>
      </c>
      <c r="D63" s="1">
        <f>+DATAOPS!N66+DATAOPS!O66+DATAOPS!Q66</f>
        <v>30</v>
      </c>
      <c r="E63" s="1">
        <f>+DATAOPS!W66</f>
        <v>21</v>
      </c>
      <c r="F63" s="1">
        <f>+DATAOPS!AA66</f>
        <v>2020</v>
      </c>
      <c r="G63" s="1" t="str">
        <f>+DATAOPS!D66</f>
        <v>BEBES</v>
      </c>
      <c r="H63" s="1">
        <f>+DATAOPS!AB66</f>
        <v>7</v>
      </c>
      <c r="I63" s="1">
        <f t="shared" si="0"/>
        <v>231</v>
      </c>
      <c r="J63" s="1">
        <f t="shared" si="1"/>
        <v>630</v>
      </c>
      <c r="K63" s="1">
        <f>+DATAOPS!O66*E63</f>
        <v>210</v>
      </c>
      <c r="L63" s="1">
        <f>+(DATAOPS!N66+DATAOPS!O66+DATAOPS!Q66)*E63</f>
        <v>630</v>
      </c>
    </row>
    <row r="64" spans="2:12" x14ac:dyDescent="0.3">
      <c r="B64" s="1" t="str">
        <f>+DATAOPS!C67</f>
        <v>MARELLE</v>
      </c>
      <c r="C64" s="1">
        <f>+DATAOPS!M67</f>
        <v>11</v>
      </c>
      <c r="D64" s="1">
        <f>+DATAOPS!N67+DATAOPS!O67+DATAOPS!Q67</f>
        <v>30</v>
      </c>
      <c r="E64" s="1">
        <f>+DATAOPS!W67</f>
        <v>21</v>
      </c>
      <c r="F64" s="1">
        <f>+DATAOPS!AA67</f>
        <v>2020</v>
      </c>
      <c r="G64" s="1" t="str">
        <f>+DATAOPS!D67</f>
        <v>BEBES</v>
      </c>
      <c r="H64" s="1">
        <f>+DATAOPS!AB67</f>
        <v>7</v>
      </c>
      <c r="I64" s="1">
        <f t="shared" si="0"/>
        <v>231</v>
      </c>
      <c r="J64" s="1">
        <f t="shared" si="1"/>
        <v>630</v>
      </c>
      <c r="K64" s="1">
        <f>+DATAOPS!O67*E64</f>
        <v>210</v>
      </c>
      <c r="L64" s="1">
        <f>+(DATAOPS!N67+DATAOPS!O67+DATAOPS!Q67)*E64</f>
        <v>630</v>
      </c>
    </row>
    <row r="65" spans="2:12" x14ac:dyDescent="0.3">
      <c r="B65" s="1" t="str">
        <f>+DATAOPS!C68</f>
        <v>MARELLE</v>
      </c>
      <c r="C65" s="1">
        <f>+DATAOPS!M68</f>
        <v>11</v>
      </c>
      <c r="D65" s="1">
        <f>+DATAOPS!N68+DATAOPS!O68+DATAOPS!Q68</f>
        <v>30</v>
      </c>
      <c r="E65" s="1">
        <f>+DATAOPS!W68</f>
        <v>21</v>
      </c>
      <c r="F65" s="1">
        <f>+DATAOPS!AA68</f>
        <v>2020</v>
      </c>
      <c r="G65" s="1" t="str">
        <f>+DATAOPS!D68</f>
        <v>BEBES</v>
      </c>
      <c r="H65" s="1">
        <f>+DATAOPS!AB68</f>
        <v>7</v>
      </c>
      <c r="I65" s="1">
        <f t="shared" si="0"/>
        <v>231</v>
      </c>
      <c r="J65" s="1">
        <f t="shared" si="1"/>
        <v>630</v>
      </c>
      <c r="K65" s="1">
        <f>+DATAOPS!O68*E65</f>
        <v>210</v>
      </c>
      <c r="L65" s="1">
        <f>+(DATAOPS!N68+DATAOPS!O68+DATAOPS!Q68)*E65</f>
        <v>630</v>
      </c>
    </row>
    <row r="66" spans="2:12" x14ac:dyDescent="0.3">
      <c r="B66" s="1" t="str">
        <f>+DATAOPS!C69</f>
        <v>MARELLE</v>
      </c>
      <c r="C66" s="1">
        <f>+DATAOPS!M69</f>
        <v>21</v>
      </c>
      <c r="D66" s="1">
        <f>+DATAOPS!N69+DATAOPS!O69+DATAOPS!Q69</f>
        <v>60</v>
      </c>
      <c r="E66" s="1">
        <f>+DATAOPS!W69</f>
        <v>30</v>
      </c>
      <c r="F66" s="1">
        <f>+DATAOPS!AA69</f>
        <v>2020</v>
      </c>
      <c r="G66" s="1" t="str">
        <f>+DATAOPS!D69</f>
        <v>BEBES</v>
      </c>
      <c r="H66" s="1">
        <f>+DATAOPS!AB69</f>
        <v>7</v>
      </c>
      <c r="I66" s="1">
        <f t="shared" si="0"/>
        <v>630</v>
      </c>
      <c r="J66" s="1">
        <f t="shared" si="1"/>
        <v>1800</v>
      </c>
      <c r="K66" s="1">
        <f>+DATAOPS!O69*E66</f>
        <v>1080</v>
      </c>
      <c r="L66" s="1">
        <f>+(DATAOPS!N69+DATAOPS!O69+DATAOPS!Q69)*E66</f>
        <v>1800</v>
      </c>
    </row>
    <row r="67" spans="2:12" x14ac:dyDescent="0.3">
      <c r="B67" s="1" t="str">
        <f>+DATAOPS!C70</f>
        <v>MARELLE</v>
      </c>
      <c r="C67" s="1">
        <f>+DATAOPS!M70</f>
        <v>21</v>
      </c>
      <c r="D67" s="1">
        <f>+DATAOPS!N70+DATAOPS!O70+DATAOPS!Q70</f>
        <v>60</v>
      </c>
      <c r="E67" s="1">
        <f>+DATAOPS!W70</f>
        <v>30</v>
      </c>
      <c r="F67" s="1">
        <f>+DATAOPS!AA70</f>
        <v>2020</v>
      </c>
      <c r="G67" s="1" t="str">
        <f>+DATAOPS!D70</f>
        <v>BEBES</v>
      </c>
      <c r="H67" s="1">
        <f>+DATAOPS!AB70</f>
        <v>7</v>
      </c>
      <c r="I67" s="1">
        <f t="shared" ref="I67:I129" si="2">+C67*E67</f>
        <v>630</v>
      </c>
      <c r="J67" s="1">
        <f t="shared" ref="J67:J129" si="3">+D67*E67</f>
        <v>1800</v>
      </c>
      <c r="K67" s="1">
        <f>+DATAOPS!O70*E67</f>
        <v>1080</v>
      </c>
      <c r="L67" s="1">
        <f>+(DATAOPS!N70+DATAOPS!O70+DATAOPS!Q70)*E67</f>
        <v>1800</v>
      </c>
    </row>
    <row r="68" spans="2:12" x14ac:dyDescent="0.3">
      <c r="B68" s="1" t="str">
        <f>+DATAOPS!C71</f>
        <v>MARELLE</v>
      </c>
      <c r="C68" s="1">
        <f>+DATAOPS!M71</f>
        <v>20</v>
      </c>
      <c r="D68" s="1">
        <f>+DATAOPS!N71+DATAOPS!O71+DATAOPS!Q71</f>
        <v>56</v>
      </c>
      <c r="E68" s="1">
        <f>+DATAOPS!W71</f>
        <v>31</v>
      </c>
      <c r="F68" s="1">
        <f>+DATAOPS!AA71</f>
        <v>2020</v>
      </c>
      <c r="G68" s="1" t="str">
        <f>+DATAOPS!D71</f>
        <v>BEBES</v>
      </c>
      <c r="H68" s="1">
        <f>+DATAOPS!AB71</f>
        <v>7</v>
      </c>
      <c r="I68" s="1">
        <f t="shared" si="2"/>
        <v>620</v>
      </c>
      <c r="J68" s="1">
        <f t="shared" si="3"/>
        <v>1736</v>
      </c>
      <c r="K68" s="1">
        <f>+DATAOPS!O71*E68</f>
        <v>992</v>
      </c>
      <c r="L68" s="1">
        <f>+(DATAOPS!N71+DATAOPS!O71+DATAOPS!Q71)*E68</f>
        <v>1736</v>
      </c>
    </row>
    <row r="69" spans="2:12" x14ac:dyDescent="0.3">
      <c r="B69" s="1" t="str">
        <f>+DATAOPS!C72</f>
        <v>MARELLE</v>
      </c>
      <c r="C69" s="1">
        <f>+DATAOPS!M72</f>
        <v>20</v>
      </c>
      <c r="D69" s="1">
        <f>+DATAOPS!N72+DATAOPS!O72+DATAOPS!Q72</f>
        <v>56</v>
      </c>
      <c r="E69" s="1">
        <f>+DATAOPS!W72</f>
        <v>31</v>
      </c>
      <c r="F69" s="1">
        <f>+DATAOPS!AA72</f>
        <v>2020</v>
      </c>
      <c r="G69" s="1" t="str">
        <f>+DATAOPS!D72</f>
        <v>BEBES</v>
      </c>
      <c r="H69" s="1">
        <f>+DATAOPS!AB72</f>
        <v>7</v>
      </c>
      <c r="I69" s="1">
        <f t="shared" si="2"/>
        <v>620</v>
      </c>
      <c r="J69" s="1">
        <f t="shared" si="3"/>
        <v>1736</v>
      </c>
      <c r="K69" s="1">
        <f>+DATAOPS!O72*E69</f>
        <v>992</v>
      </c>
      <c r="L69" s="1">
        <f>+(DATAOPS!N72+DATAOPS!O72+DATAOPS!Q72)*E69</f>
        <v>1736</v>
      </c>
    </row>
    <row r="70" spans="2:12" x14ac:dyDescent="0.3">
      <c r="B70" s="1" t="str">
        <f>+DATAOPS!C73</f>
        <v>FASHION VIEWS</v>
      </c>
      <c r="C70" s="1">
        <f>+DATAOPS!M73</f>
        <v>14</v>
      </c>
      <c r="D70" s="1">
        <f>+DATAOPS!N73+DATAOPS!O73+DATAOPS!Q73</f>
        <v>68</v>
      </c>
      <c r="E70" s="1">
        <f>+DATAOPS!W73</f>
        <v>74</v>
      </c>
      <c r="F70" s="1">
        <f>+DATAOPS!AA73</f>
        <v>2020</v>
      </c>
      <c r="G70" s="1" t="str">
        <f>+DATAOPS!D73</f>
        <v>ROPA DORMIR</v>
      </c>
      <c r="H70" s="1">
        <f>+DATAOPS!AB73</f>
        <v>7</v>
      </c>
      <c r="I70" s="1">
        <f t="shared" si="2"/>
        <v>1036</v>
      </c>
      <c r="J70" s="1">
        <f t="shared" si="3"/>
        <v>5032</v>
      </c>
      <c r="K70" s="1">
        <f>+DATAOPS!O73*E70</f>
        <v>3256</v>
      </c>
      <c r="L70" s="1">
        <f>+(DATAOPS!N73+DATAOPS!O73+DATAOPS!Q73)*E70</f>
        <v>5032</v>
      </c>
    </row>
    <row r="71" spans="2:12" x14ac:dyDescent="0.3">
      <c r="B71" s="1" t="str">
        <f>+DATAOPS!C74</f>
        <v>FASHION VIEWS</v>
      </c>
      <c r="C71" s="1">
        <f>+DATAOPS!M74</f>
        <v>9</v>
      </c>
      <c r="D71" s="1">
        <f>+DATAOPS!N74+DATAOPS!O74+DATAOPS!Q74</f>
        <v>48</v>
      </c>
      <c r="E71" s="1">
        <f>+DATAOPS!W74</f>
        <v>64</v>
      </c>
      <c r="F71" s="1">
        <f>+DATAOPS!AA74</f>
        <v>2020</v>
      </c>
      <c r="G71" s="1" t="str">
        <f>+DATAOPS!D74</f>
        <v>ROPA DORMIR</v>
      </c>
      <c r="H71" s="1">
        <f>+DATAOPS!AB74</f>
        <v>7</v>
      </c>
      <c r="I71" s="1">
        <f t="shared" si="2"/>
        <v>576</v>
      </c>
      <c r="J71" s="1">
        <f t="shared" si="3"/>
        <v>3072</v>
      </c>
      <c r="K71" s="1">
        <f>+DATAOPS!O74*E71</f>
        <v>1536</v>
      </c>
      <c r="L71" s="1">
        <f>+(DATAOPS!N74+DATAOPS!O74+DATAOPS!Q74)*E71</f>
        <v>3072</v>
      </c>
    </row>
    <row r="72" spans="2:12" x14ac:dyDescent="0.3">
      <c r="B72" s="1" t="str">
        <f>+DATAOPS!C75</f>
        <v>MARELLE</v>
      </c>
      <c r="C72" s="1">
        <f>+DATAOPS!M75</f>
        <v>38</v>
      </c>
      <c r="D72" s="1">
        <f>+DATAOPS!N75+DATAOPS!O75+DATAOPS!Q75</f>
        <v>52</v>
      </c>
      <c r="E72" s="1">
        <f>+DATAOPS!W75</f>
        <v>52</v>
      </c>
      <c r="F72" s="1">
        <f>+DATAOPS!AA75</f>
        <v>2020</v>
      </c>
      <c r="G72" s="1" t="str">
        <f>+DATAOPS!D75</f>
        <v>ROPA DORMIR</v>
      </c>
      <c r="H72" s="1">
        <f>+DATAOPS!AB75</f>
        <v>7</v>
      </c>
      <c r="I72" s="1">
        <f t="shared" si="2"/>
        <v>1976</v>
      </c>
      <c r="J72" s="1">
        <f t="shared" si="3"/>
        <v>2704</v>
      </c>
      <c r="K72" s="1">
        <f>+DATAOPS!O75*E72</f>
        <v>1456</v>
      </c>
      <c r="L72" s="1">
        <f>+(DATAOPS!N75+DATAOPS!O75+DATAOPS!Q75)*E72</f>
        <v>2704</v>
      </c>
    </row>
    <row r="73" spans="2:12" x14ac:dyDescent="0.3">
      <c r="B73" s="1" t="str">
        <f>+DATAOPS!C76</f>
        <v>MARELLE</v>
      </c>
      <c r="C73" s="1">
        <f>+DATAOPS!M76</f>
        <v>38</v>
      </c>
      <c r="D73" s="1">
        <f>+DATAOPS!N76+DATAOPS!O76+DATAOPS!Q76</f>
        <v>52</v>
      </c>
      <c r="E73" s="1">
        <f>+DATAOPS!W76</f>
        <v>52</v>
      </c>
      <c r="F73" s="1">
        <f>+DATAOPS!AA76</f>
        <v>2020</v>
      </c>
      <c r="G73" s="1" t="str">
        <f>+DATAOPS!D76</f>
        <v>ROPA DORMIR</v>
      </c>
      <c r="H73" s="1">
        <f>+DATAOPS!AB76</f>
        <v>7</v>
      </c>
      <c r="I73" s="1">
        <f t="shared" si="2"/>
        <v>1976</v>
      </c>
      <c r="J73" s="1">
        <f t="shared" si="3"/>
        <v>2704</v>
      </c>
      <c r="K73" s="1">
        <f>+DATAOPS!O76*E73</f>
        <v>1456</v>
      </c>
      <c r="L73" s="1">
        <f>+(DATAOPS!N76+DATAOPS!O76+DATAOPS!Q76)*E73</f>
        <v>2704</v>
      </c>
    </row>
    <row r="74" spans="2:12" x14ac:dyDescent="0.3">
      <c r="B74" s="1" t="str">
        <f>+DATAOPS!C77</f>
        <v>FASHION VIEWS</v>
      </c>
      <c r="C74" s="1">
        <f>+DATAOPS!M77</f>
        <v>15.5</v>
      </c>
      <c r="D74" s="1">
        <f>+DATAOPS!N77+DATAOPS!O77+DATAOPS!Q77</f>
        <v>76</v>
      </c>
      <c r="E74" s="1">
        <f>+DATAOPS!W77</f>
        <v>109</v>
      </c>
      <c r="F74" s="1">
        <f>+DATAOPS!AA77</f>
        <v>2020</v>
      </c>
      <c r="G74" s="1" t="str">
        <f>+DATAOPS!D77</f>
        <v>ROPA DORMIR</v>
      </c>
      <c r="H74" s="1">
        <f>+DATAOPS!AB77</f>
        <v>7</v>
      </c>
      <c r="I74" s="1">
        <f t="shared" si="2"/>
        <v>1689.5</v>
      </c>
      <c r="J74" s="1">
        <f t="shared" si="3"/>
        <v>8284</v>
      </c>
      <c r="K74" s="1">
        <f>+DATAOPS!O77*E74</f>
        <v>5232</v>
      </c>
      <c r="L74" s="1">
        <f>+(DATAOPS!N77+DATAOPS!O77+DATAOPS!Q77)*E74</f>
        <v>8284</v>
      </c>
    </row>
    <row r="75" spans="2:12" x14ac:dyDescent="0.3">
      <c r="B75" s="1" t="str">
        <f>+DATAOPS!C78</f>
        <v>FASHION VIEWS</v>
      </c>
      <c r="C75" s="1">
        <f>+DATAOPS!M78</f>
        <v>14</v>
      </c>
      <c r="D75" s="1">
        <f>+DATAOPS!N78+DATAOPS!O78+DATAOPS!Q78</f>
        <v>70</v>
      </c>
      <c r="E75" s="1">
        <f>+DATAOPS!W78</f>
        <v>104</v>
      </c>
      <c r="F75" s="1">
        <f>+DATAOPS!AA78</f>
        <v>2020</v>
      </c>
      <c r="G75" s="1" t="str">
        <f>+DATAOPS!D78</f>
        <v>ROPA DORMIR</v>
      </c>
      <c r="H75" s="1">
        <f>+DATAOPS!AB78</f>
        <v>7</v>
      </c>
      <c r="I75" s="1">
        <f t="shared" si="2"/>
        <v>1456</v>
      </c>
      <c r="J75" s="1">
        <f t="shared" si="3"/>
        <v>7280</v>
      </c>
      <c r="K75" s="1">
        <f>+DATAOPS!O78*E75</f>
        <v>4368</v>
      </c>
      <c r="L75" s="1">
        <f>+(DATAOPS!N78+DATAOPS!O78+DATAOPS!Q78)*E75</f>
        <v>7280</v>
      </c>
    </row>
    <row r="76" spans="2:12" x14ac:dyDescent="0.3">
      <c r="B76" s="1" t="str">
        <f>+DATAOPS!C79</f>
        <v>KISSY KISSY</v>
      </c>
      <c r="C76" s="1">
        <f>+DATAOPS!M79</f>
        <v>26</v>
      </c>
      <c r="D76" s="1">
        <f>+DATAOPS!N79+DATAOPS!O79+DATAOPS!Q79</f>
        <v>80</v>
      </c>
      <c r="E76" s="1">
        <f>+DATAOPS!W79</f>
        <v>9</v>
      </c>
      <c r="F76" s="1">
        <f>+DATAOPS!AA79</f>
        <v>2020</v>
      </c>
      <c r="G76" s="1" t="str">
        <f>+DATAOPS!D79</f>
        <v>BEBES</v>
      </c>
      <c r="H76" s="1">
        <f>+DATAOPS!AB79</f>
        <v>7</v>
      </c>
      <c r="I76" s="1">
        <f t="shared" si="2"/>
        <v>234</v>
      </c>
      <c r="J76" s="1">
        <f t="shared" si="3"/>
        <v>720</v>
      </c>
      <c r="K76" s="1">
        <f>+DATAOPS!O79*E76</f>
        <v>504</v>
      </c>
      <c r="L76" s="1">
        <f>+(DATAOPS!N79+DATAOPS!O79+DATAOPS!Q79)*E76</f>
        <v>720</v>
      </c>
    </row>
    <row r="77" spans="2:12" x14ac:dyDescent="0.3">
      <c r="B77" s="1" t="str">
        <f>+DATAOPS!C80</f>
        <v>KISSY KISSY</v>
      </c>
      <c r="C77" s="1">
        <f>+DATAOPS!M80</f>
        <v>22</v>
      </c>
      <c r="D77" s="1">
        <f>+DATAOPS!N80+DATAOPS!O80+DATAOPS!Q80</f>
        <v>64</v>
      </c>
      <c r="E77" s="1">
        <f>+DATAOPS!W80</f>
        <v>9</v>
      </c>
      <c r="F77" s="1">
        <f>+DATAOPS!AA80</f>
        <v>2020</v>
      </c>
      <c r="G77" s="1" t="str">
        <f>+DATAOPS!D80</f>
        <v>BEBES</v>
      </c>
      <c r="H77" s="1">
        <f>+DATAOPS!AB80</f>
        <v>7</v>
      </c>
      <c r="I77" s="1">
        <f t="shared" si="2"/>
        <v>198</v>
      </c>
      <c r="J77" s="1">
        <f t="shared" si="3"/>
        <v>576</v>
      </c>
      <c r="K77" s="1">
        <f>+DATAOPS!O80*E77</f>
        <v>360</v>
      </c>
      <c r="L77" s="1">
        <f>+(DATAOPS!N80+DATAOPS!O80+DATAOPS!Q80)*E77</f>
        <v>576</v>
      </c>
    </row>
    <row r="78" spans="2:12" x14ac:dyDescent="0.3">
      <c r="B78" s="1" t="str">
        <f>+DATAOPS!C81</f>
        <v>KISSY KISSY</v>
      </c>
      <c r="C78" s="1">
        <f>+DATAOPS!M81</f>
        <v>24</v>
      </c>
      <c r="D78" s="1">
        <f>+DATAOPS!N81+DATAOPS!O81+DATAOPS!Q81</f>
        <v>72</v>
      </c>
      <c r="E78" s="1">
        <f>+DATAOPS!W81</f>
        <v>7</v>
      </c>
      <c r="F78" s="1">
        <f>+DATAOPS!AA81</f>
        <v>2020</v>
      </c>
      <c r="G78" s="1" t="str">
        <f>+DATAOPS!D81</f>
        <v>BEBES</v>
      </c>
      <c r="H78" s="1">
        <f>+DATAOPS!AB81</f>
        <v>7</v>
      </c>
      <c r="I78" s="1">
        <f t="shared" si="2"/>
        <v>168</v>
      </c>
      <c r="J78" s="1">
        <f t="shared" si="3"/>
        <v>504</v>
      </c>
      <c r="K78" s="1">
        <f>+DATAOPS!O81*E78</f>
        <v>336</v>
      </c>
      <c r="L78" s="1">
        <f>+(DATAOPS!N81+DATAOPS!O81+DATAOPS!Q81)*E78</f>
        <v>504</v>
      </c>
    </row>
    <row r="79" spans="2:12" x14ac:dyDescent="0.3">
      <c r="B79" s="1" t="str">
        <f>+DATAOPS!C82</f>
        <v>KISSY KISSY</v>
      </c>
      <c r="C79" s="1">
        <f>+DATAOPS!M82</f>
        <v>31</v>
      </c>
      <c r="D79" s="1">
        <f>+DATAOPS!N82+DATAOPS!O82+DATAOPS!Q82</f>
        <v>100</v>
      </c>
      <c r="E79" s="1">
        <f>+DATAOPS!W82</f>
        <v>7</v>
      </c>
      <c r="F79" s="1">
        <f>+DATAOPS!AA82</f>
        <v>2020</v>
      </c>
      <c r="G79" s="1" t="str">
        <f>+DATAOPS!D82</f>
        <v>BEBES</v>
      </c>
      <c r="H79" s="1">
        <f>+DATAOPS!AB82</f>
        <v>7</v>
      </c>
      <c r="I79" s="1">
        <f t="shared" si="2"/>
        <v>217</v>
      </c>
      <c r="J79" s="1">
        <f t="shared" si="3"/>
        <v>700</v>
      </c>
      <c r="K79" s="1">
        <f>+DATAOPS!O82*E79</f>
        <v>532</v>
      </c>
      <c r="L79" s="1">
        <f>+(DATAOPS!N82+DATAOPS!O82+DATAOPS!Q82)*E79</f>
        <v>700</v>
      </c>
    </row>
    <row r="80" spans="2:12" x14ac:dyDescent="0.3">
      <c r="B80" s="1" t="str">
        <f>+DATAOPS!C83</f>
        <v>KISSY KISSY</v>
      </c>
      <c r="C80" s="1">
        <f>+DATAOPS!M83</f>
        <v>14</v>
      </c>
      <c r="D80" s="1">
        <f>+DATAOPS!N83+DATAOPS!O83+DATAOPS!Q83</f>
        <v>44</v>
      </c>
      <c r="E80" s="1">
        <f>+DATAOPS!W83</f>
        <v>7</v>
      </c>
      <c r="F80" s="1">
        <f>+DATAOPS!AA83</f>
        <v>2020</v>
      </c>
      <c r="G80" s="1" t="str">
        <f>+DATAOPS!D83</f>
        <v>BEBES</v>
      </c>
      <c r="H80" s="1">
        <f>+DATAOPS!AB83</f>
        <v>7</v>
      </c>
      <c r="I80" s="1">
        <f t="shared" si="2"/>
        <v>98</v>
      </c>
      <c r="J80" s="1">
        <f t="shared" si="3"/>
        <v>308</v>
      </c>
      <c r="K80" s="1">
        <f>+DATAOPS!O83*E80</f>
        <v>140</v>
      </c>
      <c r="L80" s="1">
        <f>+(DATAOPS!N83+DATAOPS!O83+DATAOPS!Q83)*E80</f>
        <v>308</v>
      </c>
    </row>
    <row r="81" spans="2:12" x14ac:dyDescent="0.3">
      <c r="B81" s="1" t="str">
        <f>+DATAOPS!C84</f>
        <v>KISSY KISSY</v>
      </c>
      <c r="C81" s="1">
        <f>+DATAOPS!M84</f>
        <v>9.5</v>
      </c>
      <c r="D81" s="1">
        <f>+DATAOPS!N84+DATAOPS!O84+DATAOPS!Q84</f>
        <v>32</v>
      </c>
      <c r="E81" s="1">
        <f>+DATAOPS!W84</f>
        <v>7</v>
      </c>
      <c r="F81" s="1">
        <f>+DATAOPS!AA84</f>
        <v>2020</v>
      </c>
      <c r="G81" s="1" t="str">
        <f>+DATAOPS!D84</f>
        <v>BEBES</v>
      </c>
      <c r="H81" s="1">
        <f>+DATAOPS!AB84</f>
        <v>7</v>
      </c>
      <c r="I81" s="1">
        <f t="shared" si="2"/>
        <v>66.5</v>
      </c>
      <c r="J81" s="1">
        <f t="shared" si="3"/>
        <v>224</v>
      </c>
      <c r="K81" s="1">
        <f>+DATAOPS!O84*E81</f>
        <v>84</v>
      </c>
      <c r="L81" s="1">
        <f>+(DATAOPS!N84+DATAOPS!O84+DATAOPS!Q84)*E81</f>
        <v>224</v>
      </c>
    </row>
    <row r="82" spans="2:12" x14ac:dyDescent="0.3">
      <c r="B82" s="1" t="str">
        <f>+DATAOPS!C85</f>
        <v>KISSY KISSY</v>
      </c>
      <c r="C82" s="1">
        <f>+DATAOPS!M85</f>
        <v>9.5</v>
      </c>
      <c r="D82" s="1">
        <f>+DATAOPS!N85+DATAOPS!O85+DATAOPS!Q85</f>
        <v>32</v>
      </c>
      <c r="E82" s="1">
        <f>+DATAOPS!W85</f>
        <v>8</v>
      </c>
      <c r="F82" s="1">
        <f>+DATAOPS!AA85</f>
        <v>2020</v>
      </c>
      <c r="G82" s="1" t="str">
        <f>+DATAOPS!D85</f>
        <v>BEBES</v>
      </c>
      <c r="H82" s="1">
        <f>+DATAOPS!AB85</f>
        <v>7</v>
      </c>
      <c r="I82" s="1">
        <f t="shared" si="2"/>
        <v>76</v>
      </c>
      <c r="J82" s="1">
        <f t="shared" si="3"/>
        <v>256</v>
      </c>
      <c r="K82" s="1">
        <f>+DATAOPS!O85*E82</f>
        <v>96</v>
      </c>
      <c r="L82" s="1">
        <f>+(DATAOPS!N85+DATAOPS!O85+DATAOPS!Q85)*E82</f>
        <v>256</v>
      </c>
    </row>
    <row r="83" spans="2:12" x14ac:dyDescent="0.3">
      <c r="B83" s="1" t="str">
        <f>+DATAOPS!C86</f>
        <v>KISSY KISSY</v>
      </c>
      <c r="C83" s="1">
        <f>+DATAOPS!M86</f>
        <v>25</v>
      </c>
      <c r="D83" s="1">
        <f>+DATAOPS!N86+DATAOPS!O86+DATAOPS!Q86</f>
        <v>76</v>
      </c>
      <c r="E83" s="1">
        <f>+DATAOPS!W86</f>
        <v>9</v>
      </c>
      <c r="F83" s="1">
        <f>+DATAOPS!AA86</f>
        <v>2020</v>
      </c>
      <c r="G83" s="1" t="str">
        <f>+DATAOPS!D86</f>
        <v>BEBES</v>
      </c>
      <c r="H83" s="1">
        <f>+DATAOPS!AB86</f>
        <v>7</v>
      </c>
      <c r="I83" s="1">
        <f t="shared" si="2"/>
        <v>225</v>
      </c>
      <c r="J83" s="1">
        <f t="shared" si="3"/>
        <v>684</v>
      </c>
      <c r="K83" s="1">
        <f>+DATAOPS!O86*E83</f>
        <v>468</v>
      </c>
      <c r="L83" s="1">
        <f>+(DATAOPS!N86+DATAOPS!O86+DATAOPS!Q86)*E83</f>
        <v>684</v>
      </c>
    </row>
    <row r="84" spans="2:12" x14ac:dyDescent="0.3">
      <c r="B84" s="1" t="str">
        <f>+DATAOPS!C87</f>
        <v>KISSY KISSY</v>
      </c>
      <c r="C84" s="1">
        <f>+DATAOPS!M87</f>
        <v>22</v>
      </c>
      <c r="D84" s="1">
        <f>+DATAOPS!N87+DATAOPS!O87+DATAOPS!Q87</f>
        <v>64</v>
      </c>
      <c r="E84" s="1">
        <f>+DATAOPS!W87</f>
        <v>8</v>
      </c>
      <c r="F84" s="1">
        <f>+DATAOPS!AA87</f>
        <v>2020</v>
      </c>
      <c r="G84" s="1" t="str">
        <f>+DATAOPS!D87</f>
        <v>BEBES</v>
      </c>
      <c r="H84" s="1">
        <f>+DATAOPS!AB87</f>
        <v>7</v>
      </c>
      <c r="I84" s="1">
        <f t="shared" si="2"/>
        <v>176</v>
      </c>
      <c r="J84" s="1">
        <f t="shared" si="3"/>
        <v>512</v>
      </c>
      <c r="K84" s="1">
        <f>+DATAOPS!O87*E84</f>
        <v>320</v>
      </c>
      <c r="L84" s="1">
        <f>+(DATAOPS!N87+DATAOPS!O87+DATAOPS!Q87)*E84</f>
        <v>512</v>
      </c>
    </row>
    <row r="85" spans="2:12" x14ac:dyDescent="0.3">
      <c r="B85" s="1" t="str">
        <f>+DATAOPS!C88</f>
        <v>KISSY KISSY</v>
      </c>
      <c r="C85" s="1">
        <f>+DATAOPS!M88</f>
        <v>22</v>
      </c>
      <c r="D85" s="1">
        <f>+DATAOPS!N88+DATAOPS!O88+DATAOPS!Q88</f>
        <v>64</v>
      </c>
      <c r="E85" s="1">
        <f>+DATAOPS!W88</f>
        <v>7</v>
      </c>
      <c r="F85" s="1">
        <f>+DATAOPS!AA88</f>
        <v>2020</v>
      </c>
      <c r="G85" s="1" t="str">
        <f>+DATAOPS!D88</f>
        <v>BEBES</v>
      </c>
      <c r="H85" s="1">
        <f>+DATAOPS!AB88</f>
        <v>7</v>
      </c>
      <c r="I85" s="1">
        <f t="shared" si="2"/>
        <v>154</v>
      </c>
      <c r="J85" s="1">
        <f t="shared" si="3"/>
        <v>448</v>
      </c>
      <c r="K85" s="1">
        <f>+DATAOPS!O88*E85</f>
        <v>280</v>
      </c>
      <c r="L85" s="1">
        <f>+(DATAOPS!N88+DATAOPS!O88+DATAOPS!Q88)*E85</f>
        <v>448</v>
      </c>
    </row>
    <row r="86" spans="2:12" x14ac:dyDescent="0.3">
      <c r="B86" s="1" t="str">
        <f>+DATAOPS!C89</f>
        <v>KISSY KISSY</v>
      </c>
      <c r="C86" s="1">
        <f>+DATAOPS!M89</f>
        <v>22</v>
      </c>
      <c r="D86" s="1">
        <f>+DATAOPS!N89+DATAOPS!O89+DATAOPS!Q89</f>
        <v>64</v>
      </c>
      <c r="E86" s="1">
        <f>+DATAOPS!W89</f>
        <v>7</v>
      </c>
      <c r="F86" s="1">
        <f>+DATAOPS!AA89</f>
        <v>2020</v>
      </c>
      <c r="G86" s="1" t="str">
        <f>+DATAOPS!D89</f>
        <v>BEBES</v>
      </c>
      <c r="H86" s="1">
        <f>+DATAOPS!AB89</f>
        <v>7</v>
      </c>
      <c r="I86" s="1">
        <f t="shared" si="2"/>
        <v>154</v>
      </c>
      <c r="J86" s="1">
        <f t="shared" si="3"/>
        <v>448</v>
      </c>
      <c r="K86" s="1">
        <f>+DATAOPS!O89*E86</f>
        <v>280</v>
      </c>
      <c r="L86" s="1">
        <f>+(DATAOPS!N89+DATAOPS!O89+DATAOPS!Q89)*E86</f>
        <v>448</v>
      </c>
    </row>
    <row r="87" spans="2:12" x14ac:dyDescent="0.3">
      <c r="B87" s="1" t="str">
        <f>+DATAOPS!C90</f>
        <v>KISSY KISSY</v>
      </c>
      <c r="C87" s="1">
        <f>+DATAOPS!M90</f>
        <v>14</v>
      </c>
      <c r="D87" s="1">
        <f>+DATAOPS!N90+DATAOPS!O90+DATAOPS!Q90</f>
        <v>44</v>
      </c>
      <c r="E87" s="1">
        <f>+DATAOPS!W90</f>
        <v>7</v>
      </c>
      <c r="F87" s="1">
        <f>+DATAOPS!AA90</f>
        <v>2020</v>
      </c>
      <c r="G87" s="1" t="str">
        <f>+DATAOPS!D90</f>
        <v>BEBES</v>
      </c>
      <c r="H87" s="1">
        <f>+DATAOPS!AB90</f>
        <v>7</v>
      </c>
      <c r="I87" s="1">
        <f t="shared" si="2"/>
        <v>98</v>
      </c>
      <c r="J87" s="1">
        <f t="shared" si="3"/>
        <v>308</v>
      </c>
      <c r="K87" s="1">
        <f>+DATAOPS!O90*E87</f>
        <v>140</v>
      </c>
      <c r="L87" s="1">
        <f>+(DATAOPS!N90+DATAOPS!O90+DATAOPS!Q90)*E87</f>
        <v>308</v>
      </c>
    </row>
    <row r="88" spans="2:12" x14ac:dyDescent="0.3">
      <c r="B88" s="1" t="str">
        <f>+DATAOPS!C91</f>
        <v>KISSY KISSY</v>
      </c>
      <c r="C88" s="1">
        <f>+DATAOPS!M91</f>
        <v>9.5</v>
      </c>
      <c r="D88" s="1">
        <f>+DATAOPS!N91+DATAOPS!O91+DATAOPS!Q91</f>
        <v>32</v>
      </c>
      <c r="E88" s="1">
        <f>+DATAOPS!W91</f>
        <v>7</v>
      </c>
      <c r="F88" s="1">
        <f>+DATAOPS!AA91</f>
        <v>2020</v>
      </c>
      <c r="G88" s="1" t="str">
        <f>+DATAOPS!D91</f>
        <v>BEBES</v>
      </c>
      <c r="H88" s="1">
        <f>+DATAOPS!AB91</f>
        <v>7</v>
      </c>
      <c r="I88" s="1">
        <f t="shared" si="2"/>
        <v>66.5</v>
      </c>
      <c r="J88" s="1">
        <f t="shared" si="3"/>
        <v>224</v>
      </c>
      <c r="K88" s="1">
        <f>+DATAOPS!O91*E88</f>
        <v>84</v>
      </c>
      <c r="L88" s="1">
        <f>+(DATAOPS!N91+DATAOPS!O91+DATAOPS!Q91)*E88</f>
        <v>224</v>
      </c>
    </row>
    <row r="89" spans="2:12" x14ac:dyDescent="0.3">
      <c r="B89" s="1" t="str">
        <f>+DATAOPS!C92</f>
        <v>KISSY KISSY</v>
      </c>
      <c r="C89" s="1">
        <f>+DATAOPS!M92</f>
        <v>9.5</v>
      </c>
      <c r="D89" s="1">
        <f>+DATAOPS!N92+DATAOPS!O92+DATAOPS!Q92</f>
        <v>32</v>
      </c>
      <c r="E89" s="1">
        <f>+DATAOPS!W92</f>
        <v>8</v>
      </c>
      <c r="F89" s="1">
        <f>+DATAOPS!AA92</f>
        <v>2020</v>
      </c>
      <c r="G89" s="1" t="str">
        <f>+DATAOPS!D92</f>
        <v>BEBES</v>
      </c>
      <c r="H89" s="1">
        <f>+DATAOPS!AB92</f>
        <v>7</v>
      </c>
      <c r="I89" s="1">
        <f t="shared" si="2"/>
        <v>76</v>
      </c>
      <c r="J89" s="1">
        <f t="shared" si="3"/>
        <v>256</v>
      </c>
      <c r="K89" s="1">
        <f>+DATAOPS!O92*E89</f>
        <v>96</v>
      </c>
      <c r="L89" s="1">
        <f>+(DATAOPS!N92+DATAOPS!O92+DATAOPS!Q92)*E89</f>
        <v>256</v>
      </c>
    </row>
    <row r="90" spans="2:12" x14ac:dyDescent="0.3">
      <c r="B90" s="1" t="str">
        <f>+DATAOPS!C93</f>
        <v>KISSY KISSY</v>
      </c>
      <c r="C90" s="1">
        <f>+DATAOPS!M93</f>
        <v>12.8</v>
      </c>
      <c r="D90" s="1">
        <f>+DATAOPS!N93+DATAOPS!O93+DATAOPS!Q93</f>
        <v>42.4</v>
      </c>
      <c r="E90" s="1">
        <f>+DATAOPS!W93</f>
        <v>7</v>
      </c>
      <c r="F90" s="1">
        <f>+DATAOPS!AA93</f>
        <v>2020</v>
      </c>
      <c r="G90" s="1" t="str">
        <f>+DATAOPS!D93</f>
        <v>BEBES</v>
      </c>
      <c r="H90" s="1">
        <f>+DATAOPS!AB93</f>
        <v>7</v>
      </c>
      <c r="I90" s="1">
        <f t="shared" si="2"/>
        <v>89.600000000000009</v>
      </c>
      <c r="J90" s="1">
        <f t="shared" si="3"/>
        <v>296.8</v>
      </c>
      <c r="K90" s="1">
        <f>+DATAOPS!O93*E90</f>
        <v>140</v>
      </c>
      <c r="L90" s="1">
        <f>+(DATAOPS!N93+DATAOPS!O93+DATAOPS!Q93)*E90</f>
        <v>296.8</v>
      </c>
    </row>
    <row r="91" spans="2:12" x14ac:dyDescent="0.3">
      <c r="B91" s="1" t="str">
        <f>+DATAOPS!C94</f>
        <v>MFC</v>
      </c>
      <c r="C91" s="1">
        <f>+DATAOPS!M94</f>
        <v>9.5</v>
      </c>
      <c r="D91" s="1">
        <f>+DATAOPS!N94+DATAOPS!O94+DATAOPS!Q94</f>
        <v>50</v>
      </c>
      <c r="E91" s="1">
        <f>+DATAOPS!W94</f>
        <v>128</v>
      </c>
      <c r="F91" s="1">
        <f>+DATAOPS!AA94</f>
        <v>2020</v>
      </c>
      <c r="G91" s="1" t="str">
        <f>+DATAOPS!D94</f>
        <v>ROPA DORMIR</v>
      </c>
      <c r="H91" s="1">
        <f>+DATAOPS!AB94</f>
        <v>7</v>
      </c>
      <c r="I91" s="1">
        <f t="shared" si="2"/>
        <v>1216</v>
      </c>
      <c r="J91" s="1">
        <f t="shared" si="3"/>
        <v>6400</v>
      </c>
      <c r="K91" s="1">
        <f>+DATAOPS!O94*E91</f>
        <v>3328</v>
      </c>
      <c r="L91" s="1">
        <f>+(DATAOPS!N94+DATAOPS!O94+DATAOPS!Q94)*E91</f>
        <v>6400</v>
      </c>
    </row>
    <row r="92" spans="2:12" x14ac:dyDescent="0.3">
      <c r="B92" s="1" t="str">
        <f>+DATAOPS!C95</f>
        <v>MFC</v>
      </c>
      <c r="C92" s="1">
        <f>+DATAOPS!M95</f>
        <v>9.5</v>
      </c>
      <c r="D92" s="1">
        <f>+DATAOPS!N95+DATAOPS!O95+DATAOPS!Q95</f>
        <v>50</v>
      </c>
      <c r="E92" s="1">
        <f>+DATAOPS!W95</f>
        <v>132</v>
      </c>
      <c r="F92" s="1">
        <f>+DATAOPS!AA95</f>
        <v>2020</v>
      </c>
      <c r="G92" s="1" t="str">
        <f>+DATAOPS!D95</f>
        <v>ROPA DORMIR</v>
      </c>
      <c r="H92" s="1">
        <f>+DATAOPS!AB95</f>
        <v>7</v>
      </c>
      <c r="I92" s="1">
        <f t="shared" si="2"/>
        <v>1254</v>
      </c>
      <c r="J92" s="1">
        <f t="shared" si="3"/>
        <v>6600</v>
      </c>
      <c r="K92" s="1">
        <f>+DATAOPS!O95*E92</f>
        <v>3432</v>
      </c>
      <c r="L92" s="1">
        <f>+(DATAOPS!N95+DATAOPS!O95+DATAOPS!Q95)*E92</f>
        <v>6600</v>
      </c>
    </row>
    <row r="93" spans="2:12" x14ac:dyDescent="0.3">
      <c r="B93" s="1" t="str">
        <f>+DATAOPS!C96</f>
        <v>MFC</v>
      </c>
      <c r="C93" s="1">
        <f>+DATAOPS!M96</f>
        <v>10</v>
      </c>
      <c r="D93" s="1">
        <f>+DATAOPS!N96+DATAOPS!O96+DATAOPS!Q96</f>
        <v>54</v>
      </c>
      <c r="E93" s="1">
        <f>+DATAOPS!W96</f>
        <v>9</v>
      </c>
      <c r="F93" s="1">
        <f>+DATAOPS!AA96</f>
        <v>2020</v>
      </c>
      <c r="G93" s="1" t="str">
        <f>+DATAOPS!D96</f>
        <v>ROPA DORMIR</v>
      </c>
      <c r="H93" s="1">
        <f>+DATAOPS!AB96</f>
        <v>7</v>
      </c>
      <c r="I93" s="1">
        <f t="shared" si="2"/>
        <v>90</v>
      </c>
      <c r="J93" s="1">
        <f t="shared" si="3"/>
        <v>486</v>
      </c>
      <c r="K93" s="1">
        <f>+DATAOPS!O96*E93</f>
        <v>234</v>
      </c>
      <c r="L93" s="1">
        <f>+(DATAOPS!N96+DATAOPS!O96+DATAOPS!Q96)*E93</f>
        <v>486</v>
      </c>
    </row>
    <row r="94" spans="2:12" x14ac:dyDescent="0.3">
      <c r="B94" s="1" t="str">
        <f>+DATAOPS!C97</f>
        <v>MFC</v>
      </c>
      <c r="C94" s="1">
        <f>+DATAOPS!M97</f>
        <v>10</v>
      </c>
      <c r="D94" s="1">
        <f>+DATAOPS!N97+DATAOPS!O97+DATAOPS!Q97</f>
        <v>54</v>
      </c>
      <c r="E94" s="1">
        <f>+DATAOPS!W97</f>
        <v>6</v>
      </c>
      <c r="F94" s="1">
        <f>+DATAOPS!AA97</f>
        <v>2020</v>
      </c>
      <c r="G94" s="1" t="str">
        <f>+DATAOPS!D97</f>
        <v>ROPA DORMIR</v>
      </c>
      <c r="H94" s="1">
        <f>+DATAOPS!AB97</f>
        <v>7</v>
      </c>
      <c r="I94" s="1">
        <f t="shared" si="2"/>
        <v>60</v>
      </c>
      <c r="J94" s="1">
        <f t="shared" si="3"/>
        <v>324</v>
      </c>
      <c r="K94" s="1">
        <f>+DATAOPS!O97*E94</f>
        <v>156</v>
      </c>
      <c r="L94" s="1">
        <f>+(DATAOPS!N97+DATAOPS!O97+DATAOPS!Q97)*E94</f>
        <v>324</v>
      </c>
    </row>
    <row r="95" spans="2:12" x14ac:dyDescent="0.3">
      <c r="B95" s="1" t="str">
        <f>+DATAOPS!C98</f>
        <v>MARELLE</v>
      </c>
      <c r="C95" s="1">
        <f>+DATAOPS!M98</f>
        <v>11</v>
      </c>
      <c r="D95" s="1">
        <f>+DATAOPS!N98+DATAOPS!O98+DATAOPS!Q98</f>
        <v>58</v>
      </c>
      <c r="E95" s="1">
        <f>+DATAOPS!W98</f>
        <v>132</v>
      </c>
      <c r="F95" s="1">
        <f>+DATAOPS!AA98</f>
        <v>2020</v>
      </c>
      <c r="G95" s="1" t="str">
        <f>+DATAOPS!D98</f>
        <v>ROPA DORMIR</v>
      </c>
      <c r="H95" s="1">
        <f>+DATAOPS!AB98</f>
        <v>7</v>
      </c>
      <c r="I95" s="1">
        <f t="shared" si="2"/>
        <v>1452</v>
      </c>
      <c r="J95" s="1">
        <f t="shared" si="3"/>
        <v>7656</v>
      </c>
      <c r="K95" s="1">
        <f>+DATAOPS!O98*E95</f>
        <v>3960</v>
      </c>
      <c r="L95" s="1">
        <f>+(DATAOPS!N98+DATAOPS!O98+DATAOPS!Q98)*E95</f>
        <v>7656</v>
      </c>
    </row>
    <row r="96" spans="2:12" x14ac:dyDescent="0.3">
      <c r="B96" s="1" t="str">
        <f>+DATAOPS!C99</f>
        <v>KISSY KISSY</v>
      </c>
      <c r="C96" s="1">
        <f>+DATAOPS!M99</f>
        <v>11.3</v>
      </c>
      <c r="D96" s="1">
        <f>+DATAOPS!N99+DATAOPS!O99+DATAOPS!Q99</f>
        <v>22</v>
      </c>
      <c r="E96" s="1">
        <f>+DATAOPS!W99</f>
        <v>25</v>
      </c>
      <c r="F96" s="1">
        <f>+DATAOPS!AA99</f>
        <v>2020</v>
      </c>
      <c r="G96" s="1" t="str">
        <f>+DATAOPS!D99</f>
        <v>BEBES</v>
      </c>
      <c r="H96" s="1">
        <f>+DATAOPS!AB99</f>
        <v>8</v>
      </c>
      <c r="I96" s="1">
        <f t="shared" si="2"/>
        <v>282.5</v>
      </c>
      <c r="J96" s="1">
        <f t="shared" si="3"/>
        <v>550</v>
      </c>
      <c r="K96" s="1">
        <f>+DATAOPS!O99*E96</f>
        <v>250</v>
      </c>
      <c r="L96" s="1">
        <f>+(DATAOPS!N99+DATAOPS!O99+DATAOPS!Q99)*E96</f>
        <v>550</v>
      </c>
    </row>
    <row r="97" spans="2:12" x14ac:dyDescent="0.3">
      <c r="B97" s="1" t="str">
        <f>+DATAOPS!C100</f>
        <v>KISSY KISSY</v>
      </c>
      <c r="C97" s="1">
        <f>+DATAOPS!M100</f>
        <v>9.3000000000000007</v>
      </c>
      <c r="D97" s="1">
        <f>+DATAOPS!N100+DATAOPS!O100+DATAOPS!Q100</f>
        <v>22</v>
      </c>
      <c r="E97" s="1">
        <f>+DATAOPS!W100</f>
        <v>86</v>
      </c>
      <c r="F97" s="1">
        <f>+DATAOPS!AA100</f>
        <v>2020</v>
      </c>
      <c r="G97" s="1" t="str">
        <f>+DATAOPS!D100</f>
        <v>BEBES</v>
      </c>
      <c r="H97" s="1">
        <f>+DATAOPS!AB100</f>
        <v>8</v>
      </c>
      <c r="I97" s="1">
        <f t="shared" si="2"/>
        <v>799.80000000000007</v>
      </c>
      <c r="J97" s="1">
        <f t="shared" si="3"/>
        <v>1892</v>
      </c>
      <c r="K97" s="1">
        <f>+DATAOPS!O100*E97</f>
        <v>860</v>
      </c>
      <c r="L97" s="1">
        <f>+(DATAOPS!N100+DATAOPS!O100+DATAOPS!Q100)*E97</f>
        <v>1892</v>
      </c>
    </row>
    <row r="98" spans="2:12" x14ac:dyDescent="0.3">
      <c r="B98" s="1" t="str">
        <f>+DATAOPS!C101</f>
        <v>KISSY KISSY</v>
      </c>
      <c r="C98" s="1">
        <f>+DATAOPS!M101</f>
        <v>17.7</v>
      </c>
      <c r="D98" s="1">
        <f>+DATAOPS!N101+DATAOPS!O101+DATAOPS!Q101</f>
        <v>42.8</v>
      </c>
      <c r="E98" s="1">
        <f>+DATAOPS!W101</f>
        <v>59</v>
      </c>
      <c r="F98" s="1">
        <f>+DATAOPS!AA101</f>
        <v>2020</v>
      </c>
      <c r="G98" s="1" t="str">
        <f>+DATAOPS!D101</f>
        <v>BEBES</v>
      </c>
      <c r="H98" s="1">
        <f>+DATAOPS!AB101</f>
        <v>8</v>
      </c>
      <c r="I98" s="1">
        <f t="shared" si="2"/>
        <v>1044.3</v>
      </c>
      <c r="J98" s="1">
        <f t="shared" si="3"/>
        <v>2525.1999999999998</v>
      </c>
      <c r="K98" s="1">
        <f>+DATAOPS!O101*E98</f>
        <v>1109.2</v>
      </c>
      <c r="L98" s="1">
        <f>+(DATAOPS!N101+DATAOPS!O101+DATAOPS!Q101)*E98</f>
        <v>2525.1999999999998</v>
      </c>
    </row>
    <row r="99" spans="2:12" x14ac:dyDescent="0.3">
      <c r="B99" s="1" t="str">
        <f>+DATAOPS!C102</f>
        <v>KISSY KISSY</v>
      </c>
      <c r="C99" s="1">
        <f>+DATAOPS!M102</f>
        <v>28.5</v>
      </c>
      <c r="D99" s="1">
        <f>+DATAOPS!N102+DATAOPS!O102+DATAOPS!Q102</f>
        <v>60</v>
      </c>
      <c r="E99" s="1">
        <f>+DATAOPS!W102</f>
        <v>93</v>
      </c>
      <c r="F99" s="1">
        <f>+DATAOPS!AA102</f>
        <v>2020</v>
      </c>
      <c r="G99" s="1" t="str">
        <f>+DATAOPS!D102</f>
        <v>BEBES</v>
      </c>
      <c r="H99" s="1">
        <f>+DATAOPS!AB102</f>
        <v>8</v>
      </c>
      <c r="I99" s="1">
        <f t="shared" si="2"/>
        <v>2650.5</v>
      </c>
      <c r="J99" s="1">
        <f t="shared" si="3"/>
        <v>5580</v>
      </c>
      <c r="K99" s="1">
        <f>+DATAOPS!O102*E99</f>
        <v>3348</v>
      </c>
      <c r="L99" s="1">
        <f>+(DATAOPS!N102+DATAOPS!O102+DATAOPS!Q102)*E99</f>
        <v>5580</v>
      </c>
    </row>
    <row r="100" spans="2:12" x14ac:dyDescent="0.3">
      <c r="B100" s="1" t="str">
        <f>+DATAOPS!C103</f>
        <v>KISSY KISSY</v>
      </c>
      <c r="C100" s="1">
        <f>+DATAOPS!M103</f>
        <v>23</v>
      </c>
      <c r="D100" s="1">
        <f>+DATAOPS!N103+DATAOPS!O103+DATAOPS!Q103</f>
        <v>60</v>
      </c>
      <c r="E100" s="1">
        <f>+DATAOPS!W103</f>
        <v>147</v>
      </c>
      <c r="F100" s="1">
        <f>+DATAOPS!AA103</f>
        <v>2020</v>
      </c>
      <c r="G100" s="1" t="str">
        <f>+DATAOPS!D103</f>
        <v>BEBES</v>
      </c>
      <c r="H100" s="1">
        <f>+DATAOPS!AB103</f>
        <v>8</v>
      </c>
      <c r="I100" s="1">
        <f t="shared" si="2"/>
        <v>3381</v>
      </c>
      <c r="J100" s="1">
        <f t="shared" si="3"/>
        <v>8820</v>
      </c>
      <c r="K100" s="1">
        <f>+DATAOPS!O103*E100</f>
        <v>5292</v>
      </c>
      <c r="L100" s="1">
        <f>+(DATAOPS!N103+DATAOPS!O103+DATAOPS!Q103)*E100</f>
        <v>8820</v>
      </c>
    </row>
    <row r="101" spans="2:12" x14ac:dyDescent="0.3">
      <c r="B101" s="1" t="str">
        <f>+DATAOPS!C104</f>
        <v>KISSY KISSY</v>
      </c>
      <c r="C101" s="1">
        <f>+DATAOPS!M104</f>
        <v>29.5</v>
      </c>
      <c r="D101" s="1">
        <f>+DATAOPS!N104+DATAOPS!O104+DATAOPS!Q104</f>
        <v>64</v>
      </c>
      <c r="E101" s="1">
        <f>+DATAOPS!W104</f>
        <v>45</v>
      </c>
      <c r="F101" s="1">
        <f>+DATAOPS!AA104</f>
        <v>2020</v>
      </c>
      <c r="G101" s="1" t="str">
        <f>+DATAOPS!D104</f>
        <v>BEBES</v>
      </c>
      <c r="H101" s="1">
        <f>+DATAOPS!AB104</f>
        <v>8</v>
      </c>
      <c r="I101" s="1">
        <f t="shared" si="2"/>
        <v>1327.5</v>
      </c>
      <c r="J101" s="1">
        <f t="shared" si="3"/>
        <v>2880</v>
      </c>
      <c r="K101" s="1">
        <f>+DATAOPS!O104*E101</f>
        <v>1800</v>
      </c>
      <c r="L101" s="1">
        <f>+(DATAOPS!N104+DATAOPS!O104+DATAOPS!Q104)*E101</f>
        <v>2880</v>
      </c>
    </row>
    <row r="102" spans="2:12" x14ac:dyDescent="0.3">
      <c r="B102" s="1" t="str">
        <f>+DATAOPS!C105</f>
        <v>KISSY KISSY</v>
      </c>
      <c r="C102" s="1">
        <f>+DATAOPS!M105</f>
        <v>27.5</v>
      </c>
      <c r="D102" s="1">
        <f>+DATAOPS!N105+DATAOPS!O105+DATAOPS!Q105</f>
        <v>56</v>
      </c>
      <c r="E102" s="1">
        <f>+DATAOPS!W105</f>
        <v>55</v>
      </c>
      <c r="F102" s="1">
        <f>+DATAOPS!AA105</f>
        <v>2020</v>
      </c>
      <c r="G102" s="1" t="str">
        <f>+DATAOPS!D105</f>
        <v>BEBES</v>
      </c>
      <c r="H102" s="1">
        <f>+DATAOPS!AB105</f>
        <v>8</v>
      </c>
      <c r="I102" s="1">
        <f t="shared" si="2"/>
        <v>1512.5</v>
      </c>
      <c r="J102" s="1">
        <f t="shared" si="3"/>
        <v>3080</v>
      </c>
      <c r="K102" s="1">
        <f>+DATAOPS!O105*E102</f>
        <v>1760</v>
      </c>
      <c r="L102" s="1">
        <f>+(DATAOPS!N105+DATAOPS!O105+DATAOPS!Q105)*E102</f>
        <v>3080</v>
      </c>
    </row>
    <row r="103" spans="2:12" x14ac:dyDescent="0.3">
      <c r="B103" s="1" t="str">
        <f>+DATAOPS!C106</f>
        <v>KISSY KISSY</v>
      </c>
      <c r="C103" s="1">
        <f>+DATAOPS!M106</f>
        <v>11.3</v>
      </c>
      <c r="D103" s="1">
        <f>+DATAOPS!N106+DATAOPS!O106+DATAOPS!Q106</f>
        <v>22</v>
      </c>
      <c r="E103" s="1">
        <f>+DATAOPS!W106</f>
        <v>25</v>
      </c>
      <c r="F103" s="1">
        <f>+DATAOPS!AA106</f>
        <v>2020</v>
      </c>
      <c r="G103" s="1" t="str">
        <f>+DATAOPS!D106</f>
        <v>BEBES</v>
      </c>
      <c r="H103" s="1">
        <f>+DATAOPS!AB106</f>
        <v>8</v>
      </c>
      <c r="I103" s="1">
        <f t="shared" si="2"/>
        <v>282.5</v>
      </c>
      <c r="J103" s="1">
        <f t="shared" si="3"/>
        <v>550</v>
      </c>
      <c r="K103" s="1">
        <f>+DATAOPS!O106*E103</f>
        <v>250</v>
      </c>
      <c r="L103" s="1">
        <f>+(DATAOPS!N106+DATAOPS!O106+DATAOPS!Q106)*E103</f>
        <v>550</v>
      </c>
    </row>
    <row r="104" spans="2:12" x14ac:dyDescent="0.3">
      <c r="B104" s="1" t="str">
        <f>+DATAOPS!C107</f>
        <v>KISSY KISSY</v>
      </c>
      <c r="C104" s="1">
        <f>+DATAOPS!M107</f>
        <v>14.5</v>
      </c>
      <c r="D104" s="1">
        <f>+DATAOPS!N107+DATAOPS!O107+DATAOPS!Q107</f>
        <v>58</v>
      </c>
      <c r="E104" s="1">
        <f>+DATAOPS!W107</f>
        <v>106</v>
      </c>
      <c r="F104" s="1">
        <f>+DATAOPS!AA107</f>
        <v>2020</v>
      </c>
      <c r="G104" s="1" t="str">
        <f>+DATAOPS!D107</f>
        <v>BEBES</v>
      </c>
      <c r="H104" s="1">
        <f>+DATAOPS!AB107</f>
        <v>8</v>
      </c>
      <c r="I104" s="1">
        <f t="shared" si="2"/>
        <v>1537</v>
      </c>
      <c r="J104" s="1">
        <f t="shared" si="3"/>
        <v>6148</v>
      </c>
      <c r="K104" s="1">
        <f>+DATAOPS!O107*E104</f>
        <v>1060</v>
      </c>
      <c r="L104" s="1">
        <f>+(DATAOPS!N107+DATAOPS!O107+DATAOPS!Q107)*E104</f>
        <v>6148</v>
      </c>
    </row>
    <row r="105" spans="2:12" x14ac:dyDescent="0.3">
      <c r="B105" s="1" t="str">
        <f>+DATAOPS!C108</f>
        <v>KISSY KISSY</v>
      </c>
      <c r="C105" s="1">
        <f>+DATAOPS!M108</f>
        <v>19.7</v>
      </c>
      <c r="D105" s="1">
        <f>+DATAOPS!N108+DATAOPS!O108+DATAOPS!Q108</f>
        <v>42.8</v>
      </c>
      <c r="E105" s="1">
        <f>+DATAOPS!W108</f>
        <v>81</v>
      </c>
      <c r="F105" s="1">
        <f>+DATAOPS!AA108</f>
        <v>2020</v>
      </c>
      <c r="G105" s="1" t="str">
        <f>+DATAOPS!D108</f>
        <v>BEBES</v>
      </c>
      <c r="H105" s="1">
        <f>+DATAOPS!AB108</f>
        <v>8</v>
      </c>
      <c r="I105" s="1">
        <f t="shared" si="2"/>
        <v>1595.7</v>
      </c>
      <c r="J105" s="1">
        <f t="shared" si="3"/>
        <v>3466.7999999999997</v>
      </c>
      <c r="K105" s="1">
        <f>+DATAOPS!O108*E105</f>
        <v>1522.8</v>
      </c>
      <c r="L105" s="1">
        <f>+(DATAOPS!N108+DATAOPS!O108+DATAOPS!Q108)*E105</f>
        <v>3466.7999999999997</v>
      </c>
    </row>
    <row r="106" spans="2:12" x14ac:dyDescent="0.3">
      <c r="B106" s="1" t="str">
        <f>+DATAOPS!C109</f>
        <v>KISSY KISSY</v>
      </c>
      <c r="C106" s="1">
        <f>+DATAOPS!M109</f>
        <v>25</v>
      </c>
      <c r="D106" s="1">
        <f>+DATAOPS!N109+DATAOPS!O109+DATAOPS!Q109</f>
        <v>60</v>
      </c>
      <c r="E106" s="1">
        <f>+DATAOPS!W109</f>
        <v>110</v>
      </c>
      <c r="F106" s="1">
        <f>+DATAOPS!AA109</f>
        <v>2020</v>
      </c>
      <c r="G106" s="1" t="str">
        <f>+DATAOPS!D109</f>
        <v>BEBES</v>
      </c>
      <c r="H106" s="1">
        <f>+DATAOPS!AB109</f>
        <v>8</v>
      </c>
      <c r="I106" s="1">
        <f t="shared" si="2"/>
        <v>2750</v>
      </c>
      <c r="J106" s="1">
        <f t="shared" si="3"/>
        <v>6600</v>
      </c>
      <c r="K106" s="1">
        <f>+DATAOPS!O109*E106</f>
        <v>3960</v>
      </c>
      <c r="L106" s="1">
        <f>+(DATAOPS!N109+DATAOPS!O109+DATAOPS!Q109)*E106</f>
        <v>6600</v>
      </c>
    </row>
    <row r="107" spans="2:12" x14ac:dyDescent="0.3">
      <c r="B107" s="1" t="str">
        <f>+DATAOPS!C110</f>
        <v>KISSY KISSY</v>
      </c>
      <c r="C107" s="1">
        <f>+DATAOPS!M110</f>
        <v>30</v>
      </c>
      <c r="D107" s="1">
        <f>+DATAOPS!N110+DATAOPS!O110+DATAOPS!Q110</f>
        <v>58</v>
      </c>
      <c r="E107" s="1">
        <f>+DATAOPS!W110</f>
        <v>82</v>
      </c>
      <c r="F107" s="1">
        <f>+DATAOPS!AA110</f>
        <v>2020</v>
      </c>
      <c r="G107" s="1" t="str">
        <f>+DATAOPS!D110</f>
        <v>BEBES</v>
      </c>
      <c r="H107" s="1">
        <f>+DATAOPS!AB110</f>
        <v>8</v>
      </c>
      <c r="I107" s="1">
        <f t="shared" si="2"/>
        <v>2460</v>
      </c>
      <c r="J107" s="1">
        <f t="shared" si="3"/>
        <v>4756</v>
      </c>
      <c r="K107" s="1">
        <f>+DATAOPS!O110*E107</f>
        <v>2788</v>
      </c>
      <c r="L107" s="1">
        <f>+(DATAOPS!N110+DATAOPS!O110+DATAOPS!Q110)*E107</f>
        <v>4756</v>
      </c>
    </row>
    <row r="108" spans="2:12" x14ac:dyDescent="0.3">
      <c r="B108" s="1" t="str">
        <f>+DATAOPS!C111</f>
        <v>KISSY KISSY</v>
      </c>
      <c r="C108" s="1">
        <f>+DATAOPS!M111</f>
        <v>25</v>
      </c>
      <c r="D108" s="1">
        <f>+DATAOPS!N111+DATAOPS!O111+DATAOPS!Q111</f>
        <v>60</v>
      </c>
      <c r="E108" s="1">
        <f>+DATAOPS!W111</f>
        <v>183</v>
      </c>
      <c r="F108" s="1">
        <f>+DATAOPS!AA111</f>
        <v>2020</v>
      </c>
      <c r="G108" s="1" t="str">
        <f>+DATAOPS!D111</f>
        <v>BEBES</v>
      </c>
      <c r="H108" s="1">
        <f>+DATAOPS!AB111</f>
        <v>8</v>
      </c>
      <c r="I108" s="1">
        <f t="shared" si="2"/>
        <v>4575</v>
      </c>
      <c r="J108" s="1">
        <f t="shared" si="3"/>
        <v>10980</v>
      </c>
      <c r="K108" s="1">
        <f>+DATAOPS!O111*E108</f>
        <v>6588</v>
      </c>
      <c r="L108" s="1">
        <f>+(DATAOPS!N111+DATAOPS!O111+DATAOPS!Q111)*E108</f>
        <v>10980</v>
      </c>
    </row>
    <row r="109" spans="2:12" x14ac:dyDescent="0.3">
      <c r="B109" s="1" t="str">
        <f>+DATAOPS!C112</f>
        <v>KISSY KISSY</v>
      </c>
      <c r="C109" s="1">
        <f>+DATAOPS!M112</f>
        <v>30.5</v>
      </c>
      <c r="D109" s="1">
        <f>+DATAOPS!N112+DATAOPS!O112+DATAOPS!Q112</f>
        <v>60</v>
      </c>
      <c r="E109" s="1">
        <f>+DATAOPS!W112</f>
        <v>84</v>
      </c>
      <c r="F109" s="1">
        <f>+DATAOPS!AA112</f>
        <v>2020</v>
      </c>
      <c r="G109" s="1" t="str">
        <f>+DATAOPS!D112</f>
        <v>BEBES</v>
      </c>
      <c r="H109" s="1">
        <f>+DATAOPS!AB112</f>
        <v>8</v>
      </c>
      <c r="I109" s="1">
        <f t="shared" si="2"/>
        <v>2562</v>
      </c>
      <c r="J109" s="1">
        <f t="shared" si="3"/>
        <v>5040</v>
      </c>
      <c r="K109" s="1">
        <f>+DATAOPS!O112*E109</f>
        <v>3024</v>
      </c>
      <c r="L109" s="1">
        <f>+(DATAOPS!N112+DATAOPS!O112+DATAOPS!Q112)*E109</f>
        <v>5040</v>
      </c>
    </row>
    <row r="110" spans="2:12" x14ac:dyDescent="0.3">
      <c r="B110" s="1" t="str">
        <f>+DATAOPS!C113</f>
        <v>KISSY KISSY</v>
      </c>
      <c r="C110" s="1">
        <f>+DATAOPS!M113</f>
        <v>39.700000000000003</v>
      </c>
      <c r="D110" s="1">
        <f>+DATAOPS!N113+DATAOPS!O113+DATAOPS!Q113</f>
        <v>73.599999999999994</v>
      </c>
      <c r="E110" s="1">
        <f>+DATAOPS!W113</f>
        <v>75</v>
      </c>
      <c r="F110" s="1">
        <f>+DATAOPS!AA113</f>
        <v>2020</v>
      </c>
      <c r="G110" s="1" t="str">
        <f>+DATAOPS!D113</f>
        <v>BEBES</v>
      </c>
      <c r="H110" s="1">
        <f>+DATAOPS!AB113</f>
        <v>8</v>
      </c>
      <c r="I110" s="1">
        <f t="shared" si="2"/>
        <v>2977.5</v>
      </c>
      <c r="J110" s="1">
        <f t="shared" si="3"/>
        <v>5520</v>
      </c>
      <c r="K110" s="1">
        <f>+DATAOPS!O113*E110</f>
        <v>3600</v>
      </c>
      <c r="L110" s="1">
        <f>+(DATAOPS!N113+DATAOPS!O113+DATAOPS!Q113)*E110</f>
        <v>5520</v>
      </c>
    </row>
    <row r="111" spans="2:12" x14ac:dyDescent="0.3">
      <c r="B111" s="1" t="str">
        <f>+DATAOPS!C114</f>
        <v>FASHION VIEWS</v>
      </c>
      <c r="C111" s="1">
        <f>+DATAOPS!M114</f>
        <v>10.5</v>
      </c>
      <c r="D111" s="1">
        <f>+DATAOPS!N114+DATAOPS!O114+DATAOPS!Q114</f>
        <v>56</v>
      </c>
      <c r="E111" s="1">
        <f>+DATAOPS!W114</f>
        <v>62</v>
      </c>
      <c r="F111" s="1">
        <f>+DATAOPS!AA114</f>
        <v>2020</v>
      </c>
      <c r="G111" s="1" t="str">
        <f>+DATAOPS!D114</f>
        <v>ROPA DORMIR</v>
      </c>
      <c r="H111" s="1">
        <f>+DATAOPS!AB114</f>
        <v>9</v>
      </c>
      <c r="I111" s="1">
        <f t="shared" si="2"/>
        <v>651</v>
      </c>
      <c r="J111" s="1">
        <f t="shared" si="3"/>
        <v>3472</v>
      </c>
      <c r="K111" s="1">
        <f>+DATAOPS!O114*E111</f>
        <v>1736</v>
      </c>
      <c r="L111" s="1">
        <f>+(DATAOPS!N114+DATAOPS!O114+DATAOPS!Q114)*E111</f>
        <v>3472</v>
      </c>
    </row>
    <row r="112" spans="2:12" x14ac:dyDescent="0.3">
      <c r="B112" s="1" t="str">
        <f>+DATAOPS!C115</f>
        <v>FASHION VIEWS</v>
      </c>
      <c r="C112" s="1">
        <f>+DATAOPS!M115</f>
        <v>7.5</v>
      </c>
      <c r="D112" s="1">
        <f>+DATAOPS!N115+DATAOPS!O115+DATAOPS!Q115</f>
        <v>42</v>
      </c>
      <c r="E112" s="1">
        <f>+DATAOPS!W115</f>
        <v>16</v>
      </c>
      <c r="F112" s="1">
        <f>+DATAOPS!AA115</f>
        <v>2020</v>
      </c>
      <c r="G112" s="1" t="str">
        <f>+DATAOPS!D115</f>
        <v>ROPA DORMIR</v>
      </c>
      <c r="H112" s="1">
        <f>+DATAOPS!AB115</f>
        <v>9</v>
      </c>
      <c r="I112" s="1">
        <f t="shared" si="2"/>
        <v>120</v>
      </c>
      <c r="J112" s="1">
        <f t="shared" si="3"/>
        <v>672</v>
      </c>
      <c r="K112" s="1">
        <f>+DATAOPS!O115*E112</f>
        <v>288</v>
      </c>
      <c r="L112" s="1">
        <f>+(DATAOPS!N115+DATAOPS!O115+DATAOPS!Q115)*E112</f>
        <v>672</v>
      </c>
    </row>
    <row r="113" spans="2:12" x14ac:dyDescent="0.3">
      <c r="B113" s="1" t="str">
        <f>+DATAOPS!C116</f>
        <v>FASHION VIEWS</v>
      </c>
      <c r="C113" s="1">
        <f>+DATAOPS!M116</f>
        <v>14</v>
      </c>
      <c r="D113" s="1">
        <f>+DATAOPS!N116+DATAOPS!O116+DATAOPS!Q116</f>
        <v>68</v>
      </c>
      <c r="E113" s="1">
        <f>+DATAOPS!W116</f>
        <v>17</v>
      </c>
      <c r="F113" s="1">
        <f>+DATAOPS!AA116</f>
        <v>2020</v>
      </c>
      <c r="G113" s="1" t="str">
        <f>+DATAOPS!D116</f>
        <v>ROPA DORMIR</v>
      </c>
      <c r="H113" s="1">
        <f>+DATAOPS!AB116</f>
        <v>9</v>
      </c>
      <c r="I113" s="1">
        <f t="shared" si="2"/>
        <v>238</v>
      </c>
      <c r="J113" s="1">
        <f t="shared" si="3"/>
        <v>1156</v>
      </c>
      <c r="K113" s="1">
        <f>+DATAOPS!O116*E113</f>
        <v>748</v>
      </c>
      <c r="L113" s="1">
        <f>+(DATAOPS!N116+DATAOPS!O116+DATAOPS!Q116)*E113</f>
        <v>1156</v>
      </c>
    </row>
    <row r="114" spans="2:12" x14ac:dyDescent="0.3">
      <c r="B114" s="1" t="str">
        <f>+DATAOPS!C117</f>
        <v>FASHION VIEWS</v>
      </c>
      <c r="C114" s="1">
        <f>+DATAOPS!M117</f>
        <v>14</v>
      </c>
      <c r="D114" s="1">
        <f>+DATAOPS!N117+DATAOPS!O117+DATAOPS!Q117</f>
        <v>48</v>
      </c>
      <c r="E114" s="1">
        <f>+DATAOPS!W117</f>
        <v>46</v>
      </c>
      <c r="F114" s="1">
        <f>+DATAOPS!AA117</f>
        <v>2020</v>
      </c>
      <c r="G114" s="1" t="str">
        <f>+DATAOPS!D117</f>
        <v>ROPA DORMIR</v>
      </c>
      <c r="H114" s="1">
        <f>+DATAOPS!AB117</f>
        <v>9</v>
      </c>
      <c r="I114" s="1">
        <f t="shared" si="2"/>
        <v>644</v>
      </c>
      <c r="J114" s="1">
        <f t="shared" si="3"/>
        <v>2208</v>
      </c>
      <c r="K114" s="1">
        <f>+DATAOPS!O117*E114</f>
        <v>1104</v>
      </c>
      <c r="L114" s="1">
        <f>+(DATAOPS!N117+DATAOPS!O117+DATAOPS!Q117)*E114</f>
        <v>2208</v>
      </c>
    </row>
    <row r="115" spans="2:12" x14ac:dyDescent="0.3">
      <c r="B115" s="1" t="str">
        <f>+DATAOPS!C118</f>
        <v>FASHION VIEWS</v>
      </c>
      <c r="C115" s="1">
        <f>+DATAOPS!M118</f>
        <v>7.5</v>
      </c>
      <c r="D115" s="1">
        <f>+DATAOPS!N118+DATAOPS!O118+DATAOPS!Q118</f>
        <v>42</v>
      </c>
      <c r="E115" s="1">
        <f>+DATAOPS!W118</f>
        <v>25</v>
      </c>
      <c r="F115" s="1">
        <f>+DATAOPS!AA118</f>
        <v>2020</v>
      </c>
      <c r="G115" s="1" t="str">
        <f>+DATAOPS!D118</f>
        <v>ROPA DORMIR</v>
      </c>
      <c r="H115" s="1">
        <f>+DATAOPS!AB118</f>
        <v>9</v>
      </c>
      <c r="I115" s="1">
        <f t="shared" si="2"/>
        <v>187.5</v>
      </c>
      <c r="J115" s="1">
        <f t="shared" si="3"/>
        <v>1050</v>
      </c>
      <c r="K115" s="1">
        <f>+DATAOPS!O118*E115</f>
        <v>450</v>
      </c>
      <c r="L115" s="1">
        <f>+(DATAOPS!N118+DATAOPS!O118+DATAOPS!Q118)*E115</f>
        <v>1050</v>
      </c>
    </row>
    <row r="116" spans="2:12" x14ac:dyDescent="0.3">
      <c r="B116" s="1" t="str">
        <f>+DATAOPS!C119</f>
        <v>FASHION VIEWS</v>
      </c>
      <c r="C116" s="1">
        <f>+DATAOPS!M119</f>
        <v>19</v>
      </c>
      <c r="D116" s="1">
        <f>+DATAOPS!N119+DATAOPS!O119+DATAOPS!Q119</f>
        <v>52</v>
      </c>
      <c r="E116" s="1">
        <f>+DATAOPS!W119</f>
        <v>72</v>
      </c>
      <c r="F116" s="1">
        <f>+DATAOPS!AA119</f>
        <v>2020</v>
      </c>
      <c r="G116" s="1" t="str">
        <f>+DATAOPS!D119</f>
        <v>ROPA DORMIR</v>
      </c>
      <c r="H116" s="1">
        <f>+DATAOPS!AB119</f>
        <v>9</v>
      </c>
      <c r="I116" s="1">
        <f t="shared" si="2"/>
        <v>1368</v>
      </c>
      <c r="J116" s="1">
        <f t="shared" si="3"/>
        <v>3744</v>
      </c>
      <c r="K116" s="1">
        <f>+DATAOPS!O119*E116</f>
        <v>2016</v>
      </c>
      <c r="L116" s="1">
        <f>+(DATAOPS!N119+DATAOPS!O119+DATAOPS!Q119)*E116</f>
        <v>3744</v>
      </c>
    </row>
    <row r="117" spans="2:12" x14ac:dyDescent="0.3">
      <c r="B117" s="1" t="str">
        <f>+DATAOPS!C120</f>
        <v>FASHION VIEWS</v>
      </c>
      <c r="C117" s="1">
        <f>+DATAOPS!M120</f>
        <v>8.8000000000000007</v>
      </c>
      <c r="D117" s="1">
        <f>+DATAOPS!N120+DATAOPS!O120+DATAOPS!Q120</f>
        <v>45.2</v>
      </c>
      <c r="E117" s="1">
        <f>+DATAOPS!W120</f>
        <v>179</v>
      </c>
      <c r="F117" s="1">
        <f>+DATAOPS!AA120</f>
        <v>2020</v>
      </c>
      <c r="G117" s="1" t="str">
        <f>+DATAOPS!D120</f>
        <v>ROPA DORMIR</v>
      </c>
      <c r="H117" s="1">
        <f>+DATAOPS!AB120</f>
        <v>9</v>
      </c>
      <c r="I117" s="1">
        <f t="shared" si="2"/>
        <v>1575.2</v>
      </c>
      <c r="J117" s="1">
        <f t="shared" si="3"/>
        <v>8090.8</v>
      </c>
      <c r="K117" s="1">
        <f>+DATAOPS!O120*E117</f>
        <v>4510.8</v>
      </c>
      <c r="L117" s="1">
        <f>+(DATAOPS!N120+DATAOPS!O120+DATAOPS!Q120)*E117</f>
        <v>8090.8</v>
      </c>
    </row>
    <row r="118" spans="2:12" x14ac:dyDescent="0.3">
      <c r="B118" s="1" t="str">
        <f>+DATAOPS!C121</f>
        <v>FASHION VIEWS</v>
      </c>
      <c r="C118" s="1">
        <f>+DATAOPS!M121</f>
        <v>10</v>
      </c>
      <c r="D118" s="1">
        <f>+DATAOPS!N121+DATAOPS!O121+DATAOPS!Q121</f>
        <v>52</v>
      </c>
      <c r="E118" s="1">
        <f>+DATAOPS!W121</f>
        <v>132</v>
      </c>
      <c r="F118" s="1">
        <f>+DATAOPS!AA121</f>
        <v>2020</v>
      </c>
      <c r="G118" s="1" t="str">
        <f>+DATAOPS!D121</f>
        <v>ROPA DORMIR</v>
      </c>
      <c r="H118" s="1">
        <f>+DATAOPS!AB121</f>
        <v>9</v>
      </c>
      <c r="I118" s="1">
        <f t="shared" si="2"/>
        <v>1320</v>
      </c>
      <c r="J118" s="1">
        <f t="shared" si="3"/>
        <v>6864</v>
      </c>
      <c r="K118" s="1">
        <f>+DATAOPS!O121*E118</f>
        <v>3696</v>
      </c>
      <c r="L118" s="1">
        <f>+(DATAOPS!N121+DATAOPS!O121+DATAOPS!Q121)*E118</f>
        <v>6864</v>
      </c>
    </row>
    <row r="119" spans="2:12" x14ac:dyDescent="0.3">
      <c r="B119" s="1" t="str">
        <f>+DATAOPS!C122</f>
        <v>FASHION VIEWS</v>
      </c>
      <c r="C119" s="1">
        <f>+DATAOPS!M122</f>
        <v>13.3</v>
      </c>
      <c r="D119" s="1">
        <f>+DATAOPS!N122+DATAOPS!O122+DATAOPS!Q122</f>
        <v>66.400000000000006</v>
      </c>
      <c r="E119" s="1">
        <f>+DATAOPS!W122</f>
        <v>159</v>
      </c>
      <c r="F119" s="1">
        <f>+DATAOPS!AA122</f>
        <v>2020</v>
      </c>
      <c r="G119" s="1" t="str">
        <f>+DATAOPS!D122</f>
        <v>ROPA DORMIR</v>
      </c>
      <c r="H119" s="1">
        <f>+DATAOPS!AB122</f>
        <v>9</v>
      </c>
      <c r="I119" s="1">
        <f t="shared" si="2"/>
        <v>2114.7000000000003</v>
      </c>
      <c r="J119" s="1">
        <f t="shared" si="3"/>
        <v>10557.6</v>
      </c>
      <c r="K119" s="1">
        <f>+DATAOPS!O122*E119</f>
        <v>6360</v>
      </c>
      <c r="L119" s="1">
        <f>+(DATAOPS!N122+DATAOPS!O122+DATAOPS!Q122)*E119</f>
        <v>10557.6</v>
      </c>
    </row>
    <row r="120" spans="2:12" x14ac:dyDescent="0.3">
      <c r="B120" s="1" t="str">
        <f>+DATAOPS!C123</f>
        <v>FASHION VIEWS</v>
      </c>
      <c r="C120" s="1">
        <f>+DATAOPS!M123</f>
        <v>8</v>
      </c>
      <c r="D120" s="1">
        <f>+DATAOPS!N123+DATAOPS!O123+DATAOPS!Q123</f>
        <v>44</v>
      </c>
      <c r="E120" s="1">
        <f>+DATAOPS!W123</f>
        <v>48</v>
      </c>
      <c r="F120" s="1">
        <f>+DATAOPS!AA123</f>
        <v>2020</v>
      </c>
      <c r="G120" s="1" t="str">
        <f>+DATAOPS!D123</f>
        <v>ROPA DORMIR</v>
      </c>
      <c r="H120" s="1">
        <f>+DATAOPS!AB123</f>
        <v>9</v>
      </c>
      <c r="I120" s="1">
        <f t="shared" si="2"/>
        <v>384</v>
      </c>
      <c r="J120" s="1">
        <f t="shared" si="3"/>
        <v>2112</v>
      </c>
      <c r="K120" s="1">
        <f>+DATAOPS!O123*E120</f>
        <v>960</v>
      </c>
      <c r="L120" s="1">
        <f>+(DATAOPS!N123+DATAOPS!O123+DATAOPS!Q123)*E120</f>
        <v>2112</v>
      </c>
    </row>
    <row r="121" spans="2:12" x14ac:dyDescent="0.3">
      <c r="B121" s="1" t="str">
        <f>+DATAOPS!C124</f>
        <v>FASHION VIEWS</v>
      </c>
      <c r="C121" s="1">
        <f>+DATAOPS!M124</f>
        <v>17</v>
      </c>
      <c r="D121" s="1">
        <f>+DATAOPS!N124+DATAOPS!O124+DATAOPS!Q124</f>
        <v>82</v>
      </c>
      <c r="E121" s="1">
        <f>+DATAOPS!W124</f>
        <v>160</v>
      </c>
      <c r="F121" s="1">
        <f>+DATAOPS!AA124</f>
        <v>2020</v>
      </c>
      <c r="G121" s="1" t="str">
        <f>+DATAOPS!D124</f>
        <v>ROPA DORMIR</v>
      </c>
      <c r="H121" s="1">
        <f>+DATAOPS!AB124</f>
        <v>9</v>
      </c>
      <c r="I121" s="1">
        <f t="shared" si="2"/>
        <v>2720</v>
      </c>
      <c r="J121" s="1">
        <f t="shared" si="3"/>
        <v>13120</v>
      </c>
      <c r="K121" s="1">
        <f>+DATAOPS!O124*E121</f>
        <v>8640</v>
      </c>
      <c r="L121" s="1">
        <f>+(DATAOPS!N124+DATAOPS!O124+DATAOPS!Q124)*E121</f>
        <v>13120</v>
      </c>
    </row>
    <row r="122" spans="2:12" x14ac:dyDescent="0.3">
      <c r="B122" s="1" t="str">
        <f>+DATAOPS!C125</f>
        <v>FASHION VIEWS</v>
      </c>
      <c r="C122" s="1">
        <f>+DATAOPS!M125</f>
        <v>10</v>
      </c>
      <c r="D122" s="1">
        <f>+DATAOPS!N125+DATAOPS!O125+DATAOPS!Q125</f>
        <v>52</v>
      </c>
      <c r="E122" s="1">
        <f>+DATAOPS!W125</f>
        <v>137</v>
      </c>
      <c r="F122" s="1">
        <f>+DATAOPS!AA125</f>
        <v>2020</v>
      </c>
      <c r="G122" s="1" t="str">
        <f>+DATAOPS!D125</f>
        <v>ROPA DORMIR</v>
      </c>
      <c r="H122" s="1">
        <f>+DATAOPS!AB125</f>
        <v>9</v>
      </c>
      <c r="I122" s="1">
        <f t="shared" si="2"/>
        <v>1370</v>
      </c>
      <c r="J122" s="1">
        <f t="shared" si="3"/>
        <v>7124</v>
      </c>
      <c r="K122" s="1">
        <f>+DATAOPS!O125*E122</f>
        <v>3836</v>
      </c>
      <c r="L122" s="1">
        <f>+(DATAOPS!N125+DATAOPS!O125+DATAOPS!Q125)*E122</f>
        <v>7124</v>
      </c>
    </row>
    <row r="123" spans="2:12" x14ac:dyDescent="0.3">
      <c r="B123" s="1" t="str">
        <f>+DATAOPS!C126</f>
        <v>FASHION VIEWS</v>
      </c>
      <c r="C123" s="1">
        <f>+DATAOPS!M126</f>
        <v>15</v>
      </c>
      <c r="D123" s="1">
        <f>+DATAOPS!N126+DATAOPS!O126+DATAOPS!Q126</f>
        <v>74</v>
      </c>
      <c r="E123" s="1">
        <f>+DATAOPS!W126</f>
        <v>125</v>
      </c>
      <c r="F123" s="1">
        <f>+DATAOPS!AA126</f>
        <v>2020</v>
      </c>
      <c r="G123" s="1" t="str">
        <f>+DATAOPS!D126</f>
        <v>ROPA DORMIR</v>
      </c>
      <c r="H123" s="1">
        <f>+DATAOPS!AB126</f>
        <v>9</v>
      </c>
      <c r="I123" s="1">
        <f t="shared" si="2"/>
        <v>1875</v>
      </c>
      <c r="J123" s="1">
        <f t="shared" si="3"/>
        <v>9250</v>
      </c>
      <c r="K123" s="1">
        <f>+DATAOPS!O126*E123</f>
        <v>5750</v>
      </c>
      <c r="L123" s="1">
        <f>+(DATAOPS!N126+DATAOPS!O126+DATAOPS!Q126)*E123</f>
        <v>9250</v>
      </c>
    </row>
    <row r="124" spans="2:12" x14ac:dyDescent="0.3">
      <c r="B124" s="1" t="str">
        <f>+DATAOPS!C127</f>
        <v>FASHION VIEWS</v>
      </c>
      <c r="C124" s="1">
        <f>+DATAOPS!M127</f>
        <v>13.3</v>
      </c>
      <c r="D124" s="1">
        <f>+DATAOPS!N127+DATAOPS!O127+DATAOPS!Q127</f>
        <v>65.2</v>
      </c>
      <c r="E124" s="1">
        <f>+DATAOPS!W127</f>
        <v>74</v>
      </c>
      <c r="F124" s="1">
        <f>+DATAOPS!AA127</f>
        <v>2020</v>
      </c>
      <c r="G124" s="1" t="str">
        <f>+DATAOPS!D127</f>
        <v>ROPA DORMIR</v>
      </c>
      <c r="H124" s="1">
        <f>+DATAOPS!AB127</f>
        <v>9</v>
      </c>
      <c r="I124" s="1">
        <f t="shared" si="2"/>
        <v>984.2</v>
      </c>
      <c r="J124" s="1">
        <f t="shared" si="3"/>
        <v>4824.8</v>
      </c>
      <c r="K124" s="1">
        <f>+DATAOPS!O127*E124</f>
        <v>3048.8</v>
      </c>
      <c r="L124" s="1">
        <f>+(DATAOPS!N127+DATAOPS!O127+DATAOPS!Q127)*E124</f>
        <v>4824.8</v>
      </c>
    </row>
    <row r="125" spans="2:12" x14ac:dyDescent="0.3">
      <c r="B125" s="1" t="str">
        <f>+DATAOPS!C128</f>
        <v>FASHION VIEWS</v>
      </c>
      <c r="C125" s="1">
        <f>+DATAOPS!M128</f>
        <v>106</v>
      </c>
      <c r="D125" s="1">
        <f>+DATAOPS!N128+DATAOPS!O128+DATAOPS!Q128</f>
        <v>436</v>
      </c>
      <c r="E125" s="1">
        <f>+DATAOPS!W128</f>
        <v>18</v>
      </c>
      <c r="F125" s="1">
        <f>+DATAOPS!AA128</f>
        <v>2020</v>
      </c>
      <c r="G125" s="1" t="str">
        <f>+DATAOPS!D128</f>
        <v>ROPA DORMIR</v>
      </c>
      <c r="H125" s="1">
        <f>+DATAOPS!AB128</f>
        <v>9</v>
      </c>
      <c r="I125" s="1">
        <f t="shared" si="2"/>
        <v>1908</v>
      </c>
      <c r="J125" s="1">
        <f t="shared" si="3"/>
        <v>7848</v>
      </c>
      <c r="K125" s="1">
        <f>+DATAOPS!O128*E125</f>
        <v>7416</v>
      </c>
      <c r="L125" s="1">
        <f>+(DATAOPS!N128+DATAOPS!O128+DATAOPS!Q128)*E125</f>
        <v>7848</v>
      </c>
    </row>
    <row r="126" spans="2:12" x14ac:dyDescent="0.3">
      <c r="B126" s="1" t="str">
        <f>+DATAOPS!C129</f>
        <v>FASHION VIEWS</v>
      </c>
      <c r="C126" s="1">
        <f>+DATAOPS!M129</f>
        <v>16.5</v>
      </c>
      <c r="D126" s="1">
        <f>+DATAOPS!N129+DATAOPS!O129+DATAOPS!Q129</f>
        <v>46</v>
      </c>
      <c r="E126" s="1">
        <f>+DATAOPS!W129</f>
        <v>29</v>
      </c>
      <c r="F126" s="1">
        <f>+DATAOPS!AA129</f>
        <v>2020</v>
      </c>
      <c r="G126" s="1" t="str">
        <f>+DATAOPS!D129</f>
        <v>ROPA DORMIR</v>
      </c>
      <c r="H126" s="1">
        <f>+DATAOPS!AB129</f>
        <v>10</v>
      </c>
      <c r="I126" s="1">
        <f t="shared" si="2"/>
        <v>478.5</v>
      </c>
      <c r="J126" s="1">
        <f t="shared" si="3"/>
        <v>1334</v>
      </c>
      <c r="K126" s="1">
        <f>+DATAOPS!O129*E126</f>
        <v>638</v>
      </c>
      <c r="L126" s="1">
        <f>+(DATAOPS!N129+DATAOPS!O129+DATAOPS!Q129)*E126</f>
        <v>1334</v>
      </c>
    </row>
    <row r="127" spans="2:12" x14ac:dyDescent="0.3">
      <c r="B127" s="1" t="str">
        <f>+DATAOPS!C130</f>
        <v>FASHION VIEWS</v>
      </c>
      <c r="C127" s="1">
        <f>+DATAOPS!M130</f>
        <v>9</v>
      </c>
      <c r="D127" s="1">
        <f>+DATAOPS!N130+DATAOPS!O130+DATAOPS!Q130</f>
        <v>48</v>
      </c>
      <c r="E127" s="1">
        <f>+DATAOPS!W130</f>
        <v>52</v>
      </c>
      <c r="F127" s="1">
        <f>+DATAOPS!AA130</f>
        <v>2020</v>
      </c>
      <c r="G127" s="1" t="str">
        <f>+DATAOPS!D130</f>
        <v>ROPA DORMIR</v>
      </c>
      <c r="H127" s="1">
        <f>+DATAOPS!AB130</f>
        <v>10</v>
      </c>
      <c r="I127" s="1">
        <f t="shared" si="2"/>
        <v>468</v>
      </c>
      <c r="J127" s="1">
        <f t="shared" si="3"/>
        <v>2496</v>
      </c>
      <c r="K127" s="1">
        <f>+DATAOPS!O130*E127</f>
        <v>1248</v>
      </c>
      <c r="L127" s="1">
        <f>+(DATAOPS!N130+DATAOPS!O130+DATAOPS!Q130)*E127</f>
        <v>2496</v>
      </c>
    </row>
    <row r="128" spans="2:12" x14ac:dyDescent="0.3">
      <c r="B128" s="1" t="str">
        <f>+DATAOPS!C131</f>
        <v>FASHION VIEWS</v>
      </c>
      <c r="C128" s="1">
        <f>+DATAOPS!M131</f>
        <v>9.4</v>
      </c>
      <c r="D128" s="1">
        <f>+DATAOPS!N131+DATAOPS!O131+DATAOPS!Q131</f>
        <v>49.6</v>
      </c>
      <c r="E128" s="1">
        <f>+DATAOPS!W131</f>
        <v>74</v>
      </c>
      <c r="F128" s="1">
        <f>+DATAOPS!AA131</f>
        <v>2020</v>
      </c>
      <c r="G128" s="1" t="str">
        <f>+DATAOPS!D131</f>
        <v>ROPA DORMIR</v>
      </c>
      <c r="H128" s="1">
        <f>+DATAOPS!AB131</f>
        <v>10</v>
      </c>
      <c r="I128" s="1">
        <f t="shared" si="2"/>
        <v>695.6</v>
      </c>
      <c r="J128" s="1">
        <f t="shared" si="3"/>
        <v>3670.4</v>
      </c>
      <c r="K128" s="1">
        <f>+DATAOPS!O131*E128</f>
        <v>1894.4</v>
      </c>
      <c r="L128" s="1">
        <f>+(DATAOPS!N131+DATAOPS!O131+DATAOPS!Q131)*E128</f>
        <v>3670.4</v>
      </c>
    </row>
    <row r="129" spans="2:12" x14ac:dyDescent="0.3">
      <c r="B129" s="1" t="str">
        <f>+DATAOPS!C132</f>
        <v>FASHION VIEWS</v>
      </c>
      <c r="C129" s="1">
        <f>+DATAOPS!M132</f>
        <v>42.5</v>
      </c>
      <c r="D129" s="1">
        <f>+DATAOPS!N132+DATAOPS!O132+DATAOPS!Q132</f>
        <v>54</v>
      </c>
      <c r="E129" s="1">
        <f>+DATAOPS!W132</f>
        <v>26</v>
      </c>
      <c r="F129" s="1">
        <f>+DATAOPS!AA132</f>
        <v>2020</v>
      </c>
      <c r="G129" s="1" t="str">
        <f>+DATAOPS!D132</f>
        <v>ROPA DORMIR</v>
      </c>
      <c r="H129" s="1">
        <f>+DATAOPS!AB132</f>
        <v>10</v>
      </c>
      <c r="I129" s="1">
        <f t="shared" si="2"/>
        <v>1105</v>
      </c>
      <c r="J129" s="1">
        <f t="shared" si="3"/>
        <v>1404</v>
      </c>
      <c r="K129" s="1">
        <f>+DATAOPS!O132*E129</f>
        <v>780</v>
      </c>
      <c r="L129" s="1">
        <f>+(DATAOPS!N132+DATAOPS!O132+DATAOPS!Q132)*E129</f>
        <v>1404</v>
      </c>
    </row>
    <row r="130" spans="2:12" x14ac:dyDescent="0.3">
      <c r="B130" s="1" t="str">
        <f>+DATAOPS!C133</f>
        <v>FASHION VIEWS</v>
      </c>
      <c r="C130" s="1">
        <f>+DATAOPS!M133</f>
        <v>16</v>
      </c>
      <c r="D130" s="1">
        <f>+DATAOPS!N133+DATAOPS!O133+DATAOPS!Q133</f>
        <v>76</v>
      </c>
      <c r="E130" s="1">
        <f>+DATAOPS!W133</f>
        <v>139</v>
      </c>
      <c r="F130" s="1">
        <f>+DATAOPS!AA133</f>
        <v>2020</v>
      </c>
      <c r="G130" s="1" t="str">
        <f>+DATAOPS!D133</f>
        <v>ROPA DORMIR</v>
      </c>
      <c r="H130" s="1">
        <f>+DATAOPS!AB133</f>
        <v>10</v>
      </c>
      <c r="I130" s="1">
        <f t="shared" ref="I130:I192" si="4">+C130*E130</f>
        <v>2224</v>
      </c>
      <c r="J130" s="1">
        <f t="shared" ref="J130:J192" si="5">+D130*E130</f>
        <v>10564</v>
      </c>
      <c r="K130" s="1">
        <f>+DATAOPS!O133*E130</f>
        <v>7228</v>
      </c>
      <c r="L130" s="1">
        <f>+(DATAOPS!N133+DATAOPS!O133+DATAOPS!Q133)*E130</f>
        <v>10564</v>
      </c>
    </row>
    <row r="131" spans="2:12" x14ac:dyDescent="0.3">
      <c r="B131" s="1" t="str">
        <f>+DATAOPS!C134</f>
        <v>FASHION VIEWS</v>
      </c>
      <c r="C131" s="1">
        <f>+DATAOPS!M134</f>
        <v>15.5</v>
      </c>
      <c r="D131" s="1">
        <f>+DATAOPS!N134+DATAOPS!O134+DATAOPS!Q134</f>
        <v>74</v>
      </c>
      <c r="E131" s="1">
        <f>+DATAOPS!W134</f>
        <v>206</v>
      </c>
      <c r="F131" s="1">
        <f>+DATAOPS!AA134</f>
        <v>2020</v>
      </c>
      <c r="G131" s="1" t="str">
        <f>+DATAOPS!D134</f>
        <v>ROPA DORMIR</v>
      </c>
      <c r="H131" s="1">
        <f>+DATAOPS!AB134</f>
        <v>10</v>
      </c>
      <c r="I131" s="1">
        <f t="shared" si="4"/>
        <v>3193</v>
      </c>
      <c r="J131" s="1">
        <f t="shared" si="5"/>
        <v>15244</v>
      </c>
      <c r="K131" s="1">
        <f>+DATAOPS!O134*E131</f>
        <v>10300</v>
      </c>
      <c r="L131" s="1">
        <f>+(DATAOPS!N134+DATAOPS!O134+DATAOPS!Q134)*E131</f>
        <v>15244</v>
      </c>
    </row>
    <row r="132" spans="2:12" x14ac:dyDescent="0.3">
      <c r="B132" s="1" t="str">
        <f>+DATAOPS!C135</f>
        <v>FASHION VIEWS</v>
      </c>
      <c r="C132" s="1">
        <f>+DATAOPS!M135</f>
        <v>18</v>
      </c>
      <c r="D132" s="1">
        <f>+DATAOPS!N135+DATAOPS!O135+DATAOPS!Q135</f>
        <v>84</v>
      </c>
      <c r="E132" s="1">
        <f>+DATAOPS!W135</f>
        <v>88</v>
      </c>
      <c r="F132" s="1">
        <f>+DATAOPS!AA135</f>
        <v>2020</v>
      </c>
      <c r="G132" s="1" t="str">
        <f>+DATAOPS!D135</f>
        <v>ROPA DORMIR</v>
      </c>
      <c r="H132" s="1">
        <f>+DATAOPS!AB135</f>
        <v>10</v>
      </c>
      <c r="I132" s="1">
        <f t="shared" si="4"/>
        <v>1584</v>
      </c>
      <c r="J132" s="1">
        <f t="shared" si="5"/>
        <v>7392</v>
      </c>
      <c r="K132" s="1">
        <f>+DATAOPS!O135*E132</f>
        <v>5280</v>
      </c>
      <c r="L132" s="1">
        <f>+(DATAOPS!N135+DATAOPS!O135+DATAOPS!Q135)*E132</f>
        <v>7392</v>
      </c>
    </row>
    <row r="133" spans="2:12" x14ac:dyDescent="0.3">
      <c r="B133" s="1" t="str">
        <f>+DATAOPS!C136</f>
        <v>FASHION VIEWS</v>
      </c>
      <c r="C133" s="1">
        <f>+DATAOPS!M136</f>
        <v>12.5</v>
      </c>
      <c r="D133" s="1">
        <f>+DATAOPS!N136+DATAOPS!O136+DATAOPS!Q136</f>
        <v>64</v>
      </c>
      <c r="E133" s="1">
        <f>+DATAOPS!W136</f>
        <v>103</v>
      </c>
      <c r="F133" s="1">
        <f>+DATAOPS!AA136</f>
        <v>2020</v>
      </c>
      <c r="G133" s="1" t="str">
        <f>+DATAOPS!D136</f>
        <v>ROPA DORMIR</v>
      </c>
      <c r="H133" s="1">
        <f>+DATAOPS!AB136</f>
        <v>10</v>
      </c>
      <c r="I133" s="1">
        <f t="shared" si="4"/>
        <v>1287.5</v>
      </c>
      <c r="J133" s="1">
        <f t="shared" si="5"/>
        <v>6592</v>
      </c>
      <c r="K133" s="1">
        <f>+DATAOPS!O136*E133</f>
        <v>3708</v>
      </c>
      <c r="L133" s="1">
        <f>+(DATAOPS!N136+DATAOPS!O136+DATAOPS!Q136)*E133</f>
        <v>6592</v>
      </c>
    </row>
    <row r="134" spans="2:12" x14ac:dyDescent="0.3">
      <c r="B134" s="1" t="str">
        <f>+DATAOPS!C137</f>
        <v>MARELLE</v>
      </c>
      <c r="C134" s="1">
        <f>+DATAOPS!M137</f>
        <v>16</v>
      </c>
      <c r="D134" s="1">
        <f>+DATAOPS!N137+DATAOPS!O137+DATAOPS!Q137</f>
        <v>76</v>
      </c>
      <c r="E134" s="1">
        <f>+DATAOPS!W137</f>
        <v>92</v>
      </c>
      <c r="F134" s="1">
        <f>+DATAOPS!AA137</f>
        <v>2020</v>
      </c>
      <c r="G134" s="1" t="str">
        <f>+DATAOPS!D137</f>
        <v>ROPA DORMIR</v>
      </c>
      <c r="H134" s="1">
        <f>+DATAOPS!AB137</f>
        <v>10</v>
      </c>
      <c r="I134" s="1">
        <f t="shared" si="4"/>
        <v>1472</v>
      </c>
      <c r="J134" s="1">
        <f t="shared" si="5"/>
        <v>6992</v>
      </c>
      <c r="K134" s="1">
        <f>+DATAOPS!O137*E134</f>
        <v>4784</v>
      </c>
      <c r="L134" s="1">
        <f>+(DATAOPS!N137+DATAOPS!O137+DATAOPS!Q137)*E134</f>
        <v>6992</v>
      </c>
    </row>
    <row r="135" spans="2:12" x14ac:dyDescent="0.3">
      <c r="B135" s="1" t="str">
        <f>+DATAOPS!C138</f>
        <v>MARELLE</v>
      </c>
      <c r="C135" s="1">
        <f>+DATAOPS!M138</f>
        <v>15.5</v>
      </c>
      <c r="D135" s="1">
        <f>+DATAOPS!N138+DATAOPS!O138+DATAOPS!Q138</f>
        <v>76</v>
      </c>
      <c r="E135" s="1">
        <f>+DATAOPS!W138</f>
        <v>120</v>
      </c>
      <c r="F135" s="1">
        <f>+DATAOPS!AA138</f>
        <v>2020</v>
      </c>
      <c r="G135" s="1" t="str">
        <f>+DATAOPS!D138</f>
        <v>ROPA DORMIR</v>
      </c>
      <c r="H135" s="1">
        <f>+DATAOPS!AB138</f>
        <v>10</v>
      </c>
      <c r="I135" s="1">
        <f t="shared" si="4"/>
        <v>1860</v>
      </c>
      <c r="J135" s="1">
        <f t="shared" si="5"/>
        <v>9120</v>
      </c>
      <c r="K135" s="1">
        <f>+DATAOPS!O138*E135</f>
        <v>5760</v>
      </c>
      <c r="L135" s="1">
        <f>+(DATAOPS!N138+DATAOPS!O138+DATAOPS!Q138)*E135</f>
        <v>9120</v>
      </c>
    </row>
    <row r="136" spans="2:12" x14ac:dyDescent="0.3">
      <c r="B136" s="1" t="str">
        <f>+DATAOPS!C139</f>
        <v>MARELLE</v>
      </c>
      <c r="C136" s="1">
        <f>+DATAOPS!M139</f>
        <v>10.5</v>
      </c>
      <c r="D136" s="1">
        <f>+DATAOPS!N139+DATAOPS!O139+DATAOPS!Q139</f>
        <v>54</v>
      </c>
      <c r="E136" s="1">
        <f>+DATAOPS!W139</f>
        <v>69</v>
      </c>
      <c r="F136" s="1">
        <f>+DATAOPS!AA139</f>
        <v>2020</v>
      </c>
      <c r="G136" s="1" t="str">
        <f>+DATAOPS!D139</f>
        <v>ROPA DORMIR</v>
      </c>
      <c r="H136" s="1">
        <f>+DATAOPS!AB139</f>
        <v>10</v>
      </c>
      <c r="I136" s="1">
        <f t="shared" si="4"/>
        <v>724.5</v>
      </c>
      <c r="J136" s="1">
        <f t="shared" si="5"/>
        <v>3726</v>
      </c>
      <c r="K136" s="1">
        <f>+DATAOPS!O139*E136</f>
        <v>2070</v>
      </c>
      <c r="L136" s="1">
        <f>+(DATAOPS!N139+DATAOPS!O139+DATAOPS!Q139)*E136</f>
        <v>3726</v>
      </c>
    </row>
    <row r="137" spans="2:12" x14ac:dyDescent="0.3">
      <c r="B137" s="1" t="str">
        <f>+DATAOPS!C140</f>
        <v>MARELLE</v>
      </c>
      <c r="C137" s="1">
        <f>+DATAOPS!M140</f>
        <v>12</v>
      </c>
      <c r="D137" s="1">
        <f>+DATAOPS!N140+DATAOPS!O140+DATAOPS!Q140</f>
        <v>62</v>
      </c>
      <c r="E137" s="1">
        <f>+DATAOPS!W140</f>
        <v>112</v>
      </c>
      <c r="F137" s="1">
        <f>+DATAOPS!AA140</f>
        <v>2020</v>
      </c>
      <c r="G137" s="1" t="str">
        <f>+DATAOPS!D140</f>
        <v>ROPA DORMIR</v>
      </c>
      <c r="H137" s="1">
        <f>+DATAOPS!AB140</f>
        <v>10</v>
      </c>
      <c r="I137" s="1">
        <f t="shared" si="4"/>
        <v>1344</v>
      </c>
      <c r="J137" s="1">
        <f t="shared" si="5"/>
        <v>6944</v>
      </c>
      <c r="K137" s="1">
        <f>+DATAOPS!O140*E137</f>
        <v>3808</v>
      </c>
      <c r="L137" s="1">
        <f>+(DATAOPS!N140+DATAOPS!O140+DATAOPS!Q140)*E137</f>
        <v>6944</v>
      </c>
    </row>
    <row r="138" spans="2:12" x14ac:dyDescent="0.3">
      <c r="B138" s="1" t="str">
        <f>+DATAOPS!C141</f>
        <v>MARELLE</v>
      </c>
      <c r="C138" s="1">
        <f>+DATAOPS!M141</f>
        <v>9.5</v>
      </c>
      <c r="D138" s="1">
        <f>+DATAOPS!N141+DATAOPS!O141+DATAOPS!Q141</f>
        <v>50</v>
      </c>
      <c r="E138" s="1">
        <f>+DATAOPS!W141</f>
        <v>102</v>
      </c>
      <c r="F138" s="1">
        <f>+DATAOPS!AA141</f>
        <v>2020</v>
      </c>
      <c r="G138" s="1" t="str">
        <f>+DATAOPS!D141</f>
        <v>ROPA DORMIR</v>
      </c>
      <c r="H138" s="1">
        <f>+DATAOPS!AB141</f>
        <v>10</v>
      </c>
      <c r="I138" s="1">
        <f t="shared" si="4"/>
        <v>969</v>
      </c>
      <c r="J138" s="1">
        <f t="shared" si="5"/>
        <v>5100</v>
      </c>
      <c r="K138" s="1">
        <f>+DATAOPS!O141*E138</f>
        <v>2652</v>
      </c>
      <c r="L138" s="1">
        <f>+(DATAOPS!N141+DATAOPS!O141+DATAOPS!Q141)*E138</f>
        <v>5100</v>
      </c>
    </row>
    <row r="139" spans="2:12" x14ac:dyDescent="0.3">
      <c r="B139" s="1" t="str">
        <f>+DATAOPS!C142</f>
        <v>MARELLE</v>
      </c>
      <c r="C139" s="1">
        <f>+DATAOPS!M142</f>
        <v>11</v>
      </c>
      <c r="D139" s="1">
        <f>+DATAOPS!N142+DATAOPS!O142+DATAOPS!Q142</f>
        <v>58</v>
      </c>
      <c r="E139" s="1">
        <f>+DATAOPS!W142</f>
        <v>138</v>
      </c>
      <c r="F139" s="1">
        <f>+DATAOPS!AA142</f>
        <v>2020</v>
      </c>
      <c r="G139" s="1" t="str">
        <f>+DATAOPS!D142</f>
        <v>ROPA DORMIR</v>
      </c>
      <c r="H139" s="1">
        <f>+DATAOPS!AB142</f>
        <v>10</v>
      </c>
      <c r="I139" s="1">
        <f t="shared" si="4"/>
        <v>1518</v>
      </c>
      <c r="J139" s="1">
        <f t="shared" si="5"/>
        <v>8004</v>
      </c>
      <c r="K139" s="1">
        <f>+DATAOPS!O142*E139</f>
        <v>4140</v>
      </c>
      <c r="L139" s="1">
        <f>+(DATAOPS!N142+DATAOPS!O142+DATAOPS!Q142)*E139</f>
        <v>8004</v>
      </c>
    </row>
    <row r="140" spans="2:12" x14ac:dyDescent="0.3">
      <c r="B140" s="1" t="str">
        <f>+DATAOPS!C143</f>
        <v>MARELLE</v>
      </c>
      <c r="C140" s="1">
        <f>+DATAOPS!M143</f>
        <v>16</v>
      </c>
      <c r="D140" s="1">
        <f>+DATAOPS!N143+DATAOPS!O143+DATAOPS!Q143</f>
        <v>76</v>
      </c>
      <c r="E140" s="1">
        <f>+DATAOPS!W143</f>
        <v>31</v>
      </c>
      <c r="F140" s="1">
        <f>+DATAOPS!AA143</f>
        <v>2020</v>
      </c>
      <c r="G140" s="1" t="str">
        <f>+DATAOPS!D143</f>
        <v>ROPA DORMIR</v>
      </c>
      <c r="H140" s="1">
        <f>+DATAOPS!AB143</f>
        <v>10</v>
      </c>
      <c r="I140" s="1">
        <f t="shared" si="4"/>
        <v>496</v>
      </c>
      <c r="J140" s="1">
        <f t="shared" si="5"/>
        <v>2356</v>
      </c>
      <c r="K140" s="1">
        <f>+DATAOPS!O143*E140</f>
        <v>1612</v>
      </c>
      <c r="L140" s="1">
        <f>+(DATAOPS!N143+DATAOPS!O143+DATAOPS!Q143)*E140</f>
        <v>2356</v>
      </c>
    </row>
    <row r="141" spans="2:12" x14ac:dyDescent="0.3">
      <c r="B141" s="1" t="str">
        <f>+DATAOPS!C144</f>
        <v>MARELLE</v>
      </c>
      <c r="C141" s="1">
        <f>+DATAOPS!M144</f>
        <v>9</v>
      </c>
      <c r="D141" s="1">
        <f>+DATAOPS!N144+DATAOPS!O144+DATAOPS!Q144</f>
        <v>48</v>
      </c>
      <c r="E141" s="1">
        <f>+DATAOPS!W144</f>
        <v>42</v>
      </c>
      <c r="F141" s="1">
        <f>+DATAOPS!AA144</f>
        <v>2020</v>
      </c>
      <c r="G141" s="1" t="str">
        <f>+DATAOPS!D144</f>
        <v>ROPA DORMIR</v>
      </c>
      <c r="H141" s="1">
        <f>+DATAOPS!AB144</f>
        <v>10</v>
      </c>
      <c r="I141" s="1">
        <f t="shared" si="4"/>
        <v>378</v>
      </c>
      <c r="J141" s="1">
        <f t="shared" si="5"/>
        <v>2016</v>
      </c>
      <c r="K141" s="1">
        <f>+DATAOPS!O144*E141</f>
        <v>1008</v>
      </c>
      <c r="L141" s="1">
        <f>+(DATAOPS!N144+DATAOPS!O144+DATAOPS!Q144)*E141</f>
        <v>2016</v>
      </c>
    </row>
    <row r="142" spans="2:12" x14ac:dyDescent="0.3">
      <c r="B142" s="1" t="str">
        <f>+DATAOPS!C145</f>
        <v>FASHION VIEWS</v>
      </c>
      <c r="C142" s="1">
        <f>+DATAOPS!M145</f>
        <v>11.7</v>
      </c>
      <c r="D142" s="1">
        <f>+DATAOPS!N145+DATAOPS!O145+DATAOPS!Q145</f>
        <v>55.6</v>
      </c>
      <c r="E142" s="1">
        <f>+DATAOPS!W145</f>
        <v>0</v>
      </c>
      <c r="F142" s="1">
        <f>+DATAOPS!AA145</f>
        <v>2020</v>
      </c>
      <c r="G142" s="1" t="str">
        <f>+DATAOPS!D145</f>
        <v>ROPA DORMIR</v>
      </c>
      <c r="H142" s="1">
        <f>+DATAOPS!AB145</f>
        <v>11</v>
      </c>
      <c r="I142" s="1">
        <f t="shared" si="4"/>
        <v>0</v>
      </c>
      <c r="J142" s="1">
        <f t="shared" si="5"/>
        <v>0</v>
      </c>
      <c r="K142" s="1">
        <f>+DATAOPS!O145*E142</f>
        <v>0</v>
      </c>
      <c r="L142" s="1">
        <f>+(DATAOPS!N145+DATAOPS!O145+DATAOPS!Q145)*E142</f>
        <v>0</v>
      </c>
    </row>
    <row r="143" spans="2:12" x14ac:dyDescent="0.3">
      <c r="B143" s="1" t="str">
        <f>+DATAOPS!C146</f>
        <v>FASHION VIEWS</v>
      </c>
      <c r="C143" s="1">
        <f>+DATAOPS!M146</f>
        <v>12.5</v>
      </c>
      <c r="D143" s="1">
        <f>+DATAOPS!N146+DATAOPS!O146+DATAOPS!Q146</f>
        <v>60</v>
      </c>
      <c r="E143" s="1">
        <f>+DATAOPS!W146</f>
        <v>0</v>
      </c>
      <c r="F143" s="1">
        <f>+DATAOPS!AA146</f>
        <v>2020</v>
      </c>
      <c r="G143" s="1" t="str">
        <f>+DATAOPS!D146</f>
        <v>ROPA DORMIR</v>
      </c>
      <c r="H143" s="1">
        <f>+DATAOPS!AB146</f>
        <v>11</v>
      </c>
      <c r="I143" s="1">
        <f t="shared" si="4"/>
        <v>0</v>
      </c>
      <c r="J143" s="1">
        <f t="shared" si="5"/>
        <v>0</v>
      </c>
      <c r="K143" s="1">
        <f>+DATAOPS!O146*E143</f>
        <v>0</v>
      </c>
      <c r="L143" s="1">
        <f>+(DATAOPS!N146+DATAOPS!O146+DATAOPS!Q146)*E143</f>
        <v>0</v>
      </c>
    </row>
    <row r="144" spans="2:12" x14ac:dyDescent="0.3">
      <c r="B144" s="1" t="str">
        <f>+DATAOPS!C147</f>
        <v>FASHION VIEWS</v>
      </c>
      <c r="C144" s="1">
        <f>+DATAOPS!M147</f>
        <v>6</v>
      </c>
      <c r="D144" s="1">
        <f>+DATAOPS!N147+DATAOPS!O147+DATAOPS!Q147</f>
        <v>32</v>
      </c>
      <c r="E144" s="1">
        <f>+DATAOPS!W147</f>
        <v>0</v>
      </c>
      <c r="F144" s="1">
        <f>+DATAOPS!AA147</f>
        <v>2020</v>
      </c>
      <c r="G144" s="1" t="str">
        <f>+DATAOPS!D147</f>
        <v>ROPA DORMIR</v>
      </c>
      <c r="H144" s="1">
        <f>+DATAOPS!AB147</f>
        <v>11</v>
      </c>
      <c r="I144" s="1">
        <f t="shared" si="4"/>
        <v>0</v>
      </c>
      <c r="J144" s="1">
        <f t="shared" si="5"/>
        <v>0</v>
      </c>
      <c r="K144" s="1">
        <f>+DATAOPS!O147*E144</f>
        <v>0</v>
      </c>
      <c r="L144" s="1">
        <f>+(DATAOPS!N147+DATAOPS!O147+DATAOPS!Q147)*E144</f>
        <v>0</v>
      </c>
    </row>
    <row r="145" spans="2:12" x14ac:dyDescent="0.3">
      <c r="B145" s="1" t="str">
        <f>+DATAOPS!C148</f>
        <v>FASHION VIEWS</v>
      </c>
      <c r="C145" s="1">
        <f>+DATAOPS!M148</f>
        <v>10</v>
      </c>
      <c r="D145" s="1">
        <f>+DATAOPS!N148+DATAOPS!O148+DATAOPS!Q148</f>
        <v>52</v>
      </c>
      <c r="E145" s="1">
        <f>+DATAOPS!W148</f>
        <v>106</v>
      </c>
      <c r="F145" s="1">
        <f>+DATAOPS!AA148</f>
        <v>2020</v>
      </c>
      <c r="G145" s="1" t="str">
        <f>+DATAOPS!D148</f>
        <v>ROPA DORMIR</v>
      </c>
      <c r="H145" s="1">
        <f>+DATAOPS!AB148</f>
        <v>11</v>
      </c>
      <c r="I145" s="1">
        <f t="shared" si="4"/>
        <v>1060</v>
      </c>
      <c r="J145" s="1">
        <f t="shared" si="5"/>
        <v>5512</v>
      </c>
      <c r="K145" s="1">
        <f>+DATAOPS!O148*E145</f>
        <v>2968</v>
      </c>
      <c r="L145" s="1">
        <f>+(DATAOPS!N148+DATAOPS!O148+DATAOPS!Q148)*E145</f>
        <v>5512</v>
      </c>
    </row>
    <row r="146" spans="2:12" x14ac:dyDescent="0.3">
      <c r="B146" s="1" t="str">
        <f>+DATAOPS!C149</f>
        <v>BABY BOX</v>
      </c>
      <c r="C146" s="1">
        <f>+DATAOPS!M149</f>
        <v>21</v>
      </c>
      <c r="D146" s="1">
        <f>+DATAOPS!N149+DATAOPS!O149+DATAOPS!Q149</f>
        <v>60</v>
      </c>
      <c r="E146" s="1">
        <f>+DATAOPS!W149</f>
        <v>60</v>
      </c>
      <c r="F146" s="1">
        <f>+DATAOPS!AA149</f>
        <v>2020</v>
      </c>
      <c r="G146" s="1" t="str">
        <f>+DATAOPS!D149</f>
        <v>BEBES</v>
      </c>
      <c r="H146" s="1">
        <f>+DATAOPS!AB149</f>
        <v>11</v>
      </c>
      <c r="I146" s="1">
        <f t="shared" si="4"/>
        <v>1260</v>
      </c>
      <c r="J146" s="1">
        <f t="shared" si="5"/>
        <v>3600</v>
      </c>
      <c r="K146" s="1">
        <f>+DATAOPS!O149*E146</f>
        <v>2160</v>
      </c>
      <c r="L146" s="1">
        <f>+(DATAOPS!N149+DATAOPS!O149+DATAOPS!Q149)*E146</f>
        <v>3600</v>
      </c>
    </row>
    <row r="147" spans="2:12" x14ac:dyDescent="0.3">
      <c r="B147" s="1" t="str">
        <f>+DATAOPS!C150</f>
        <v>BABY BOX</v>
      </c>
      <c r="C147" s="1">
        <f>+DATAOPS!M150</f>
        <v>21.5</v>
      </c>
      <c r="D147" s="1">
        <f>+DATAOPS!N150+DATAOPS!O150+DATAOPS!Q150</f>
        <v>60</v>
      </c>
      <c r="E147" s="1">
        <f>+DATAOPS!W150</f>
        <v>90</v>
      </c>
      <c r="F147" s="1">
        <f>+DATAOPS!AA150</f>
        <v>2020</v>
      </c>
      <c r="G147" s="1" t="str">
        <f>+DATAOPS!D150</f>
        <v>BEBES</v>
      </c>
      <c r="H147" s="1">
        <f>+DATAOPS!AB150</f>
        <v>11</v>
      </c>
      <c r="I147" s="1">
        <f t="shared" si="4"/>
        <v>1935</v>
      </c>
      <c r="J147" s="1">
        <f t="shared" si="5"/>
        <v>5400</v>
      </c>
      <c r="K147" s="1">
        <f>+DATAOPS!O150*E147</f>
        <v>3240</v>
      </c>
      <c r="L147" s="1">
        <f>+(DATAOPS!N150+DATAOPS!O150+DATAOPS!Q150)*E147</f>
        <v>5400</v>
      </c>
    </row>
    <row r="148" spans="2:12" x14ac:dyDescent="0.3">
      <c r="B148" s="1" t="str">
        <f>+DATAOPS!C151</f>
        <v>BABY BOX</v>
      </c>
      <c r="C148" s="1">
        <f>+DATAOPS!M151</f>
        <v>57</v>
      </c>
      <c r="D148" s="1">
        <f>+DATAOPS!N151+DATAOPS!O151+DATAOPS!Q151</f>
        <v>204</v>
      </c>
      <c r="E148" s="1">
        <f>+DATAOPS!W151</f>
        <v>72</v>
      </c>
      <c r="F148" s="1">
        <f>+DATAOPS!AA151</f>
        <v>2020</v>
      </c>
      <c r="G148" s="1" t="str">
        <f>+DATAOPS!D151</f>
        <v>BEBES</v>
      </c>
      <c r="H148" s="1">
        <f>+DATAOPS!AB151</f>
        <v>11</v>
      </c>
      <c r="I148" s="1">
        <f t="shared" si="4"/>
        <v>4104</v>
      </c>
      <c r="J148" s="1">
        <f t="shared" si="5"/>
        <v>14688</v>
      </c>
      <c r="K148" s="1">
        <f>+DATAOPS!O151*E148</f>
        <v>12960</v>
      </c>
      <c r="L148" s="1">
        <f>+(DATAOPS!N151+DATAOPS!O151+DATAOPS!Q151)*E148</f>
        <v>14688</v>
      </c>
    </row>
    <row r="149" spans="2:12" x14ac:dyDescent="0.3">
      <c r="B149" s="1" t="str">
        <f>+DATAOPS!C152</f>
        <v>BABY BOX</v>
      </c>
      <c r="C149" s="1">
        <f>+DATAOPS!M152</f>
        <v>16.5</v>
      </c>
      <c r="D149" s="1">
        <f>+DATAOPS!N152+DATAOPS!O152+DATAOPS!Q152</f>
        <v>42</v>
      </c>
      <c r="E149" s="1">
        <f>+DATAOPS!W152</f>
        <v>50</v>
      </c>
      <c r="F149" s="1">
        <f>+DATAOPS!AA152</f>
        <v>2020</v>
      </c>
      <c r="G149" s="1" t="str">
        <f>+DATAOPS!D152</f>
        <v>BEBES</v>
      </c>
      <c r="H149" s="1">
        <f>+DATAOPS!AB152</f>
        <v>11</v>
      </c>
      <c r="I149" s="1">
        <f t="shared" si="4"/>
        <v>825</v>
      </c>
      <c r="J149" s="1">
        <f t="shared" si="5"/>
        <v>2100</v>
      </c>
      <c r="K149" s="1">
        <f>+DATAOPS!O152*E149</f>
        <v>900</v>
      </c>
      <c r="L149" s="1">
        <f>+(DATAOPS!N152+DATAOPS!O152+DATAOPS!Q152)*E149</f>
        <v>2100</v>
      </c>
    </row>
    <row r="150" spans="2:12" x14ac:dyDescent="0.3">
      <c r="B150" s="1" t="str">
        <f>+DATAOPS!C153</f>
        <v>BABY BOX</v>
      </c>
      <c r="C150" s="1">
        <f>+DATAOPS!M153</f>
        <v>17</v>
      </c>
      <c r="D150" s="1">
        <f>+DATAOPS!N153+DATAOPS!O153+DATAOPS!Q153</f>
        <v>44</v>
      </c>
      <c r="E150" s="1">
        <f>+DATAOPS!W153</f>
        <v>60</v>
      </c>
      <c r="F150" s="1">
        <f>+DATAOPS!AA153</f>
        <v>2020</v>
      </c>
      <c r="G150" s="1" t="str">
        <f>+DATAOPS!D153</f>
        <v>BEBES</v>
      </c>
      <c r="H150" s="1">
        <f>+DATAOPS!AB153</f>
        <v>11</v>
      </c>
      <c r="I150" s="1">
        <f t="shared" si="4"/>
        <v>1020</v>
      </c>
      <c r="J150" s="1">
        <f t="shared" si="5"/>
        <v>2640</v>
      </c>
      <c r="K150" s="1">
        <f>+DATAOPS!O153*E150</f>
        <v>1200</v>
      </c>
      <c r="L150" s="1">
        <f>+(DATAOPS!N153+DATAOPS!O153+DATAOPS!Q153)*E150</f>
        <v>2640</v>
      </c>
    </row>
    <row r="151" spans="2:12" x14ac:dyDescent="0.3">
      <c r="B151" s="1" t="str">
        <f>+DATAOPS!C154</f>
        <v>BABY BOX</v>
      </c>
      <c r="C151" s="1">
        <f>+DATAOPS!M154</f>
        <v>17</v>
      </c>
      <c r="D151" s="1">
        <f>+DATAOPS!N154+DATAOPS!O154+DATAOPS!Q154</f>
        <v>44</v>
      </c>
      <c r="E151" s="1">
        <f>+DATAOPS!W154</f>
        <v>40</v>
      </c>
      <c r="F151" s="1">
        <f>+DATAOPS!AA154</f>
        <v>2020</v>
      </c>
      <c r="G151" s="1" t="str">
        <f>+DATAOPS!D154</f>
        <v>BEBES</v>
      </c>
      <c r="H151" s="1">
        <f>+DATAOPS!AB154</f>
        <v>11</v>
      </c>
      <c r="I151" s="1">
        <f t="shared" si="4"/>
        <v>680</v>
      </c>
      <c r="J151" s="1">
        <f t="shared" si="5"/>
        <v>1760</v>
      </c>
      <c r="K151" s="1">
        <f>+DATAOPS!O154*E151</f>
        <v>800</v>
      </c>
      <c r="L151" s="1">
        <f>+(DATAOPS!N154+DATAOPS!O154+DATAOPS!Q154)*E151</f>
        <v>1760</v>
      </c>
    </row>
    <row r="152" spans="2:12" x14ac:dyDescent="0.3">
      <c r="B152" s="1" t="str">
        <f>+DATAOPS!C155</f>
        <v>BABY BOX</v>
      </c>
      <c r="C152" s="1">
        <f>+DATAOPS!M155</f>
        <v>11.5</v>
      </c>
      <c r="D152" s="1">
        <f>+DATAOPS!N155+DATAOPS!O155+DATAOPS!Q155</f>
        <v>38</v>
      </c>
      <c r="E152" s="1">
        <f>+DATAOPS!W155</f>
        <v>30</v>
      </c>
      <c r="F152" s="1">
        <f>+DATAOPS!AA155</f>
        <v>2020</v>
      </c>
      <c r="G152" s="1" t="str">
        <f>+DATAOPS!D155</f>
        <v>BEBES</v>
      </c>
      <c r="H152" s="1">
        <f>+DATAOPS!AB155</f>
        <v>11</v>
      </c>
      <c r="I152" s="1">
        <f t="shared" si="4"/>
        <v>345</v>
      </c>
      <c r="J152" s="1">
        <f t="shared" si="5"/>
        <v>1140</v>
      </c>
      <c r="K152" s="1">
        <f>+DATAOPS!O155*E152</f>
        <v>420</v>
      </c>
      <c r="L152" s="1">
        <f>+(DATAOPS!N155+DATAOPS!O155+DATAOPS!Q155)*E152</f>
        <v>1140</v>
      </c>
    </row>
    <row r="153" spans="2:12" x14ac:dyDescent="0.3">
      <c r="B153" s="1" t="str">
        <f>+DATAOPS!C156</f>
        <v>BABY BOX</v>
      </c>
      <c r="C153" s="1">
        <f>+DATAOPS!M156</f>
        <v>11.7</v>
      </c>
      <c r="D153" s="1">
        <f>+DATAOPS!N156+DATAOPS!O156+DATAOPS!Q156</f>
        <v>38.799999999999997</v>
      </c>
      <c r="E153" s="1">
        <f>+DATAOPS!W156</f>
        <v>30</v>
      </c>
      <c r="F153" s="1">
        <f>+DATAOPS!AA156</f>
        <v>2020</v>
      </c>
      <c r="G153" s="1" t="str">
        <f>+DATAOPS!D156</f>
        <v>BEBES</v>
      </c>
      <c r="H153" s="1">
        <f>+DATAOPS!AB156</f>
        <v>11</v>
      </c>
      <c r="I153" s="1">
        <f t="shared" si="4"/>
        <v>351</v>
      </c>
      <c r="J153" s="1">
        <f t="shared" si="5"/>
        <v>1164</v>
      </c>
      <c r="K153" s="1">
        <f>+DATAOPS!O156*E153</f>
        <v>444</v>
      </c>
      <c r="L153" s="1">
        <f>+(DATAOPS!N156+DATAOPS!O156+DATAOPS!Q156)*E153</f>
        <v>1164</v>
      </c>
    </row>
    <row r="154" spans="2:12" x14ac:dyDescent="0.3">
      <c r="B154" s="1" t="str">
        <f>+DATAOPS!C157</f>
        <v>BABY BOX</v>
      </c>
      <c r="C154" s="1">
        <f>+DATAOPS!M157</f>
        <v>21</v>
      </c>
      <c r="D154" s="1">
        <f>+DATAOPS!N157+DATAOPS!O157+DATAOPS!Q157</f>
        <v>56</v>
      </c>
      <c r="E154" s="1">
        <f>+DATAOPS!W157</f>
        <v>65</v>
      </c>
      <c r="F154" s="1">
        <f>+DATAOPS!AA157</f>
        <v>2020</v>
      </c>
      <c r="G154" s="1" t="str">
        <f>+DATAOPS!D157</f>
        <v>BEBES</v>
      </c>
      <c r="H154" s="1">
        <f>+DATAOPS!AB157</f>
        <v>11</v>
      </c>
      <c r="I154" s="1">
        <f t="shared" si="4"/>
        <v>1365</v>
      </c>
      <c r="J154" s="1">
        <f t="shared" si="5"/>
        <v>3640</v>
      </c>
      <c r="K154" s="1">
        <f>+DATAOPS!O157*E154</f>
        <v>2080</v>
      </c>
      <c r="L154" s="1">
        <f>+(DATAOPS!N157+DATAOPS!O157+DATAOPS!Q157)*E154</f>
        <v>3640</v>
      </c>
    </row>
    <row r="155" spans="2:12" x14ac:dyDescent="0.3">
      <c r="B155" s="1" t="str">
        <f>+DATAOPS!C158</f>
        <v>FASHION VIEWS</v>
      </c>
      <c r="C155" s="1">
        <f>+DATAOPS!M158</f>
        <v>15.5</v>
      </c>
      <c r="D155" s="1">
        <f>+DATAOPS!N158+DATAOPS!O158+DATAOPS!Q158</f>
        <v>78</v>
      </c>
      <c r="E155" s="1">
        <f>+DATAOPS!W158</f>
        <v>65</v>
      </c>
      <c r="F155" s="1">
        <f>+DATAOPS!AA158</f>
        <v>2020</v>
      </c>
      <c r="G155" s="1" t="str">
        <f>+DATAOPS!D158</f>
        <v>ROPA DORMIR</v>
      </c>
      <c r="H155" s="1">
        <f>+DATAOPS!AB158</f>
        <v>11</v>
      </c>
      <c r="I155" s="1">
        <f t="shared" si="4"/>
        <v>1007.5</v>
      </c>
      <c r="J155" s="1">
        <f t="shared" si="5"/>
        <v>5070</v>
      </c>
      <c r="K155" s="1">
        <f>+DATAOPS!O158*E155</f>
        <v>2990</v>
      </c>
      <c r="L155" s="1">
        <f>+(DATAOPS!N158+DATAOPS!O158+DATAOPS!Q158)*E155</f>
        <v>5070</v>
      </c>
    </row>
    <row r="156" spans="2:12" x14ac:dyDescent="0.3">
      <c r="B156" s="1" t="str">
        <f>+DATAOPS!C159</f>
        <v>FASHION VIEWS</v>
      </c>
      <c r="C156" s="1">
        <f>+DATAOPS!M159</f>
        <v>13.5</v>
      </c>
      <c r="D156" s="1">
        <f>+DATAOPS!N159+DATAOPS!O159+DATAOPS!Q159</f>
        <v>64</v>
      </c>
      <c r="E156" s="1">
        <f>+DATAOPS!W159</f>
        <v>36</v>
      </c>
      <c r="F156" s="1">
        <f>+DATAOPS!AA159</f>
        <v>2020</v>
      </c>
      <c r="G156" s="1" t="str">
        <f>+DATAOPS!D159</f>
        <v>ROPA DORMIR</v>
      </c>
      <c r="H156" s="1">
        <f>+DATAOPS!AB159</f>
        <v>11</v>
      </c>
      <c r="I156" s="1">
        <f t="shared" si="4"/>
        <v>486</v>
      </c>
      <c r="J156" s="1">
        <f t="shared" si="5"/>
        <v>2304</v>
      </c>
      <c r="K156" s="1">
        <f>+DATAOPS!O159*E156</f>
        <v>1584</v>
      </c>
      <c r="L156" s="1">
        <f>+(DATAOPS!N159+DATAOPS!O159+DATAOPS!Q159)*E156</f>
        <v>2304</v>
      </c>
    </row>
    <row r="157" spans="2:12" x14ac:dyDescent="0.3">
      <c r="B157" s="1" t="str">
        <f>+DATAOPS!C160</f>
        <v>CAPRILINA</v>
      </c>
      <c r="C157" s="1">
        <f>+DATAOPS!M160</f>
        <v>13.4</v>
      </c>
      <c r="D157" s="1">
        <f>+DATAOPS!N160+DATAOPS!O160+DATAOPS!Q160</f>
        <v>36.4</v>
      </c>
      <c r="E157" s="1">
        <f>+DATAOPS!W160</f>
        <v>20</v>
      </c>
      <c r="F157" s="1">
        <f>+DATAOPS!AA160</f>
        <v>2020</v>
      </c>
      <c r="G157" s="1" t="str">
        <f>+DATAOPS!D160</f>
        <v>BEBES</v>
      </c>
      <c r="H157" s="1">
        <f>+DATAOPS!AB160</f>
        <v>11</v>
      </c>
      <c r="I157" s="1">
        <f t="shared" si="4"/>
        <v>268</v>
      </c>
      <c r="J157" s="1">
        <f t="shared" si="5"/>
        <v>728</v>
      </c>
      <c r="K157" s="1">
        <f>+DATAOPS!O160*E157</f>
        <v>440</v>
      </c>
      <c r="L157" s="1">
        <f>+(DATAOPS!N160+DATAOPS!O160+DATAOPS!Q160)*E157</f>
        <v>728</v>
      </c>
    </row>
    <row r="158" spans="2:12" x14ac:dyDescent="0.3">
      <c r="B158" s="1" t="str">
        <f>+DATAOPS!C161</f>
        <v>CAPRILINA</v>
      </c>
      <c r="C158" s="1">
        <f>+DATAOPS!M161</f>
        <v>13.9</v>
      </c>
      <c r="D158" s="1">
        <f>+DATAOPS!N161+DATAOPS!O161+DATAOPS!Q161</f>
        <v>38.4</v>
      </c>
      <c r="E158" s="1">
        <f>+DATAOPS!W161</f>
        <v>20</v>
      </c>
      <c r="F158" s="1">
        <f>+DATAOPS!AA161</f>
        <v>2020</v>
      </c>
      <c r="G158" s="1" t="str">
        <f>+DATAOPS!D161</f>
        <v>BEBES</v>
      </c>
      <c r="H158" s="1">
        <f>+DATAOPS!AB161</f>
        <v>11</v>
      </c>
      <c r="I158" s="1">
        <f t="shared" si="4"/>
        <v>278</v>
      </c>
      <c r="J158" s="1">
        <f t="shared" si="5"/>
        <v>768</v>
      </c>
      <c r="K158" s="1">
        <f>+DATAOPS!O161*E158</f>
        <v>480</v>
      </c>
      <c r="L158" s="1">
        <f>+(DATAOPS!N161+DATAOPS!O161+DATAOPS!Q161)*E158</f>
        <v>768</v>
      </c>
    </row>
    <row r="159" spans="2:12" x14ac:dyDescent="0.3">
      <c r="B159" s="1" t="str">
        <f>+DATAOPS!C162</f>
        <v>CAPRILINA</v>
      </c>
      <c r="C159" s="1">
        <f>+DATAOPS!M162</f>
        <v>13.700000000000001</v>
      </c>
      <c r="D159" s="1">
        <f>+DATAOPS!N162+DATAOPS!O162+DATAOPS!Q162</f>
        <v>34.4</v>
      </c>
      <c r="E159" s="1">
        <f>+DATAOPS!W162</f>
        <v>20</v>
      </c>
      <c r="F159" s="1">
        <f>+DATAOPS!AA162</f>
        <v>2020</v>
      </c>
      <c r="G159" s="1" t="str">
        <f>+DATAOPS!D162</f>
        <v>BEBES</v>
      </c>
      <c r="H159" s="1">
        <f>+DATAOPS!AB162</f>
        <v>11</v>
      </c>
      <c r="I159" s="1">
        <f t="shared" si="4"/>
        <v>274</v>
      </c>
      <c r="J159" s="1">
        <f t="shared" si="5"/>
        <v>688</v>
      </c>
      <c r="K159" s="1">
        <f>+DATAOPS!O162*E159</f>
        <v>400</v>
      </c>
      <c r="L159" s="1">
        <f>+(DATAOPS!N162+DATAOPS!O162+DATAOPS!Q162)*E159</f>
        <v>688</v>
      </c>
    </row>
    <row r="160" spans="2:12" x14ac:dyDescent="0.3">
      <c r="B160" s="1" t="str">
        <f>+DATAOPS!C163</f>
        <v>CAPRILINA</v>
      </c>
      <c r="C160" s="1">
        <f>+DATAOPS!M163</f>
        <v>14.3</v>
      </c>
      <c r="D160" s="1">
        <f>+DATAOPS!N163+DATAOPS!O163+DATAOPS!Q163</f>
        <v>32.4</v>
      </c>
      <c r="E160" s="1">
        <f>+DATAOPS!W163</f>
        <v>21</v>
      </c>
      <c r="F160" s="1">
        <f>+DATAOPS!AA163</f>
        <v>2020</v>
      </c>
      <c r="G160" s="1" t="str">
        <f>+DATAOPS!D163</f>
        <v>BEBES</v>
      </c>
      <c r="H160" s="1">
        <f>+DATAOPS!AB163</f>
        <v>11</v>
      </c>
      <c r="I160" s="1">
        <f t="shared" si="4"/>
        <v>300.3</v>
      </c>
      <c r="J160" s="1">
        <f t="shared" si="5"/>
        <v>680.4</v>
      </c>
      <c r="K160" s="1">
        <f>+DATAOPS!O163*E160</f>
        <v>378</v>
      </c>
      <c r="L160" s="1">
        <f>+(DATAOPS!N163+DATAOPS!O163+DATAOPS!Q163)*E160</f>
        <v>680.4</v>
      </c>
    </row>
    <row r="161" spans="2:12" x14ac:dyDescent="0.3">
      <c r="B161" s="1" t="str">
        <f>+DATAOPS!C164</f>
        <v>CAPRILINA</v>
      </c>
      <c r="C161" s="1">
        <f>+DATAOPS!M164</f>
        <v>91.3</v>
      </c>
      <c r="D161" s="1">
        <f>+DATAOPS!N164+DATAOPS!O164+DATAOPS!Q164</f>
        <v>32.4</v>
      </c>
      <c r="E161" s="1">
        <f>+DATAOPS!W164</f>
        <v>21</v>
      </c>
      <c r="F161" s="1">
        <f>+DATAOPS!AA164</f>
        <v>2020</v>
      </c>
      <c r="G161" s="1" t="str">
        <f>+DATAOPS!D164</f>
        <v>BEBES</v>
      </c>
      <c r="H161" s="1">
        <f>+DATAOPS!AB164</f>
        <v>11</v>
      </c>
      <c r="I161" s="1">
        <f t="shared" si="4"/>
        <v>1917.3</v>
      </c>
      <c r="J161" s="1">
        <f t="shared" si="5"/>
        <v>680.4</v>
      </c>
      <c r="K161" s="1">
        <f>+DATAOPS!O164*E161</f>
        <v>378</v>
      </c>
      <c r="L161" s="1">
        <f>+(DATAOPS!N164+DATAOPS!O164+DATAOPS!Q164)*E161</f>
        <v>680.4</v>
      </c>
    </row>
    <row r="162" spans="2:12" x14ac:dyDescent="0.3">
      <c r="B162" s="1" t="str">
        <f>+DATAOPS!C165</f>
        <v>CAPRILINA</v>
      </c>
      <c r="C162" s="1">
        <f>+DATAOPS!M165</f>
        <v>14.100000000000001</v>
      </c>
      <c r="D162" s="1">
        <f>+DATAOPS!N165+DATAOPS!O165+DATAOPS!Q165</f>
        <v>28.4</v>
      </c>
      <c r="E162" s="1">
        <f>+DATAOPS!W165</f>
        <v>21</v>
      </c>
      <c r="F162" s="1">
        <f>+DATAOPS!AA165</f>
        <v>2020</v>
      </c>
      <c r="G162" s="1" t="str">
        <f>+DATAOPS!D165</f>
        <v>BEBES</v>
      </c>
      <c r="H162" s="1">
        <f>+DATAOPS!AB165</f>
        <v>11</v>
      </c>
      <c r="I162" s="1">
        <f t="shared" si="4"/>
        <v>296.10000000000002</v>
      </c>
      <c r="J162" s="1">
        <f t="shared" si="5"/>
        <v>596.4</v>
      </c>
      <c r="K162" s="1">
        <f>+DATAOPS!O165*E162</f>
        <v>294</v>
      </c>
      <c r="L162" s="1">
        <f>+(DATAOPS!N165+DATAOPS!O165+DATAOPS!Q165)*E162</f>
        <v>596.4</v>
      </c>
    </row>
    <row r="163" spans="2:12" x14ac:dyDescent="0.3">
      <c r="B163" s="1" t="str">
        <f>+DATAOPS!C166</f>
        <v>FASHION VIEWS</v>
      </c>
      <c r="C163" s="1">
        <f>+DATAOPS!M166</f>
        <v>16.5</v>
      </c>
      <c r="D163" s="1">
        <f>+DATAOPS!N166+DATAOPS!O166+DATAOPS!Q166</f>
        <v>76</v>
      </c>
      <c r="E163" s="1">
        <f>+DATAOPS!W166</f>
        <v>50</v>
      </c>
      <c r="F163" s="1">
        <f>+DATAOPS!AA166</f>
        <v>2020</v>
      </c>
      <c r="G163" s="1" t="str">
        <f>+DATAOPS!D166</f>
        <v>ROPA DORMIR</v>
      </c>
      <c r="H163" s="1">
        <f>+DATAOPS!AB166</f>
        <v>12</v>
      </c>
      <c r="I163" s="1">
        <f t="shared" si="4"/>
        <v>825</v>
      </c>
      <c r="J163" s="1">
        <f t="shared" si="5"/>
        <v>3800</v>
      </c>
      <c r="K163" s="1">
        <f>+DATAOPS!O166*E163</f>
        <v>2800</v>
      </c>
      <c r="L163" s="1">
        <f>+(DATAOPS!N166+DATAOPS!O166+DATAOPS!Q166)*E163</f>
        <v>3800</v>
      </c>
    </row>
    <row r="164" spans="2:12" x14ac:dyDescent="0.3">
      <c r="B164" s="1" t="str">
        <f>+DATAOPS!C167</f>
        <v>FASHION VIEWS</v>
      </c>
      <c r="C164" s="1">
        <f>+DATAOPS!M167</f>
        <v>14.5</v>
      </c>
      <c r="D164" s="1">
        <f>+DATAOPS!N167+DATAOPS!O167+DATAOPS!Q167</f>
        <v>70</v>
      </c>
      <c r="E164" s="1">
        <f>+DATAOPS!W167</f>
        <v>210</v>
      </c>
      <c r="F164" s="1">
        <f>+DATAOPS!AA167</f>
        <v>2020</v>
      </c>
      <c r="G164" s="1" t="str">
        <f>+DATAOPS!D167</f>
        <v>ROPA DORMIR</v>
      </c>
      <c r="H164" s="1">
        <f>+DATAOPS!AB167</f>
        <v>12</v>
      </c>
      <c r="I164" s="1">
        <f t="shared" si="4"/>
        <v>3045</v>
      </c>
      <c r="J164" s="1">
        <f t="shared" si="5"/>
        <v>14700</v>
      </c>
      <c r="K164" s="1">
        <f>+DATAOPS!O167*E164</f>
        <v>9660</v>
      </c>
      <c r="L164" s="1">
        <f>+(DATAOPS!N167+DATAOPS!O167+DATAOPS!Q167)*E164</f>
        <v>14700</v>
      </c>
    </row>
    <row r="165" spans="2:12" x14ac:dyDescent="0.3">
      <c r="B165" s="1" t="str">
        <f>+DATAOPS!C168</f>
        <v>LIVLY</v>
      </c>
      <c r="C165" s="1">
        <f>+DATAOPS!M168</f>
        <v>16.5</v>
      </c>
      <c r="D165" s="1">
        <f>+DATAOPS!N168+DATAOPS!O168+DATAOPS!Q168</f>
        <v>68</v>
      </c>
      <c r="E165" s="1">
        <f>+DATAOPS!W168</f>
        <v>40</v>
      </c>
      <c r="F165" s="1">
        <f>+DATAOPS!AA168</f>
        <v>2020</v>
      </c>
      <c r="G165" s="1" t="str">
        <f>+DATAOPS!D168</f>
        <v>ROPA DORMIR</v>
      </c>
      <c r="H165" s="1">
        <f>+DATAOPS!AB168</f>
        <v>12</v>
      </c>
      <c r="I165" s="1">
        <f t="shared" si="4"/>
        <v>660</v>
      </c>
      <c r="J165" s="1">
        <f t="shared" si="5"/>
        <v>2720</v>
      </c>
      <c r="K165" s="1">
        <f>+DATAOPS!O168*E165</f>
        <v>2080</v>
      </c>
      <c r="L165" s="1">
        <f>+(DATAOPS!N168+DATAOPS!O168+DATAOPS!Q168)*E165</f>
        <v>2720</v>
      </c>
    </row>
    <row r="166" spans="2:12" x14ac:dyDescent="0.3">
      <c r="B166" s="1" t="str">
        <f>+DATAOPS!C169</f>
        <v>LIVLY</v>
      </c>
      <c r="C166" s="1">
        <f>+DATAOPS!M169</f>
        <v>16.5</v>
      </c>
      <c r="D166" s="1">
        <f>+DATAOPS!N169+DATAOPS!O169+DATAOPS!Q169</f>
        <v>68</v>
      </c>
      <c r="E166" s="1">
        <f>+DATAOPS!W169</f>
        <v>100</v>
      </c>
      <c r="F166" s="1">
        <f>+DATAOPS!AA169</f>
        <v>2020</v>
      </c>
      <c r="G166" s="1" t="str">
        <f>+DATAOPS!D169</f>
        <v>ROPA DORMIR</v>
      </c>
      <c r="H166" s="1">
        <f>+DATAOPS!AB169</f>
        <v>12</v>
      </c>
      <c r="I166" s="1">
        <f t="shared" si="4"/>
        <v>1650</v>
      </c>
      <c r="J166" s="1">
        <f t="shared" si="5"/>
        <v>6800</v>
      </c>
      <c r="K166" s="1">
        <f>+DATAOPS!O169*E166</f>
        <v>5200</v>
      </c>
      <c r="L166" s="1">
        <f>+(DATAOPS!N169+DATAOPS!O169+DATAOPS!Q169)*E166</f>
        <v>6800</v>
      </c>
    </row>
    <row r="167" spans="2:12" x14ac:dyDescent="0.3">
      <c r="B167" s="1" t="str">
        <f>+DATAOPS!C170</f>
        <v>KISSY KISSY</v>
      </c>
      <c r="C167" s="1">
        <f>+DATAOPS!M170</f>
        <v>27</v>
      </c>
      <c r="D167" s="1">
        <f>+DATAOPS!N170+DATAOPS!O170+DATAOPS!Q170</f>
        <v>84</v>
      </c>
      <c r="E167" s="1">
        <f>+DATAOPS!W170</f>
        <v>7</v>
      </c>
      <c r="F167" s="1">
        <f>+DATAOPS!AA170</f>
        <v>2020</v>
      </c>
      <c r="G167" s="1" t="str">
        <f>+DATAOPS!D170</f>
        <v>BEBES</v>
      </c>
      <c r="H167" s="1">
        <f>+DATAOPS!AB170</f>
        <v>12</v>
      </c>
      <c r="I167" s="1">
        <f t="shared" si="4"/>
        <v>189</v>
      </c>
      <c r="J167" s="1">
        <f t="shared" si="5"/>
        <v>588</v>
      </c>
      <c r="K167" s="1">
        <f>+DATAOPS!O170*E167</f>
        <v>420</v>
      </c>
      <c r="L167" s="1">
        <f>+(DATAOPS!N170+DATAOPS!O170+DATAOPS!Q170)*E167</f>
        <v>588</v>
      </c>
    </row>
    <row r="168" spans="2:12" x14ac:dyDescent="0.3">
      <c r="B168" s="1" t="str">
        <f>+DATAOPS!C171</f>
        <v>KISSY KISSY</v>
      </c>
      <c r="C168" s="1">
        <f>+DATAOPS!M171</f>
        <v>33</v>
      </c>
      <c r="D168" s="1">
        <f>+DATAOPS!N171+DATAOPS!O171+DATAOPS!Q171</f>
        <v>84</v>
      </c>
      <c r="E168" s="1">
        <f>+DATAOPS!W171</f>
        <v>8</v>
      </c>
      <c r="F168" s="1">
        <f>+DATAOPS!AA171</f>
        <v>2020</v>
      </c>
      <c r="G168" s="1" t="str">
        <f>+DATAOPS!D171</f>
        <v>BEBES</v>
      </c>
      <c r="H168" s="1">
        <f>+DATAOPS!AB171</f>
        <v>12</v>
      </c>
      <c r="I168" s="1">
        <f t="shared" si="4"/>
        <v>264</v>
      </c>
      <c r="J168" s="1">
        <f t="shared" si="5"/>
        <v>672</v>
      </c>
      <c r="K168" s="1">
        <f>+DATAOPS!O171*E168</f>
        <v>480</v>
      </c>
      <c r="L168" s="1">
        <f>+(DATAOPS!N171+DATAOPS!O171+DATAOPS!Q171)*E168</f>
        <v>672</v>
      </c>
    </row>
    <row r="169" spans="2:12" x14ac:dyDescent="0.3">
      <c r="B169" s="1" t="str">
        <f>+DATAOPS!C172</f>
        <v>KISSY KISSY</v>
      </c>
      <c r="C169" s="1">
        <f>+DATAOPS!M172</f>
        <v>27</v>
      </c>
      <c r="D169" s="1">
        <f>+DATAOPS!N172+DATAOPS!O172+DATAOPS!Q172</f>
        <v>72</v>
      </c>
      <c r="E169" s="1">
        <f>+DATAOPS!W172</f>
        <v>7</v>
      </c>
      <c r="F169" s="1">
        <f>+DATAOPS!AA172</f>
        <v>2020</v>
      </c>
      <c r="G169" s="1" t="str">
        <f>+DATAOPS!D172</f>
        <v>BEBES</v>
      </c>
      <c r="H169" s="1">
        <f>+DATAOPS!AB172</f>
        <v>12</v>
      </c>
      <c r="I169" s="1">
        <f t="shared" si="4"/>
        <v>189</v>
      </c>
      <c r="J169" s="1">
        <f t="shared" si="5"/>
        <v>504</v>
      </c>
      <c r="K169" s="1">
        <f>+DATAOPS!O172*E169</f>
        <v>336</v>
      </c>
      <c r="L169" s="1">
        <f>+(DATAOPS!N172+DATAOPS!O172+DATAOPS!Q172)*E169</f>
        <v>504</v>
      </c>
    </row>
    <row r="170" spans="2:12" x14ac:dyDescent="0.3">
      <c r="B170" s="1" t="str">
        <f>+DATAOPS!C173</f>
        <v>KISSY KISSY</v>
      </c>
      <c r="C170" s="1">
        <f>+DATAOPS!M173</f>
        <v>30</v>
      </c>
      <c r="D170" s="1">
        <f>+DATAOPS!N173+DATAOPS!O173+DATAOPS!Q173</f>
        <v>84</v>
      </c>
      <c r="E170" s="1">
        <f>+DATAOPS!W173</f>
        <v>7</v>
      </c>
      <c r="F170" s="1">
        <f>+DATAOPS!AA173</f>
        <v>2020</v>
      </c>
      <c r="G170" s="1" t="str">
        <f>+DATAOPS!D173</f>
        <v>BEBES</v>
      </c>
      <c r="H170" s="1">
        <f>+DATAOPS!AB173</f>
        <v>12</v>
      </c>
      <c r="I170" s="1">
        <f t="shared" si="4"/>
        <v>210</v>
      </c>
      <c r="J170" s="1">
        <f t="shared" si="5"/>
        <v>588</v>
      </c>
      <c r="K170" s="1">
        <f>+DATAOPS!O173*E170</f>
        <v>420</v>
      </c>
      <c r="L170" s="1">
        <f>+(DATAOPS!N173+DATAOPS!O173+DATAOPS!Q173)*E170</f>
        <v>588</v>
      </c>
    </row>
    <row r="171" spans="2:12" x14ac:dyDescent="0.3">
      <c r="B171" s="1" t="str">
        <f>+DATAOPS!C174</f>
        <v>KISSY KISSY</v>
      </c>
      <c r="C171" s="1">
        <f>+DATAOPS!M174</f>
        <v>30</v>
      </c>
      <c r="D171" s="1">
        <f>+DATAOPS!N174+DATAOPS!O174+DATAOPS!Q174</f>
        <v>84</v>
      </c>
      <c r="E171" s="1">
        <f>+DATAOPS!W174</f>
        <v>7</v>
      </c>
      <c r="F171" s="1">
        <f>+DATAOPS!AA174</f>
        <v>2020</v>
      </c>
      <c r="G171" s="1" t="str">
        <f>+DATAOPS!D174</f>
        <v>BEBES</v>
      </c>
      <c r="H171" s="1">
        <f>+DATAOPS!AB174</f>
        <v>12</v>
      </c>
      <c r="I171" s="1">
        <f t="shared" si="4"/>
        <v>210</v>
      </c>
      <c r="J171" s="1">
        <f t="shared" si="5"/>
        <v>588</v>
      </c>
      <c r="K171" s="1">
        <f>+DATAOPS!O174*E171</f>
        <v>420</v>
      </c>
      <c r="L171" s="1">
        <f>+(DATAOPS!N174+DATAOPS!O174+DATAOPS!Q174)*E171</f>
        <v>588</v>
      </c>
    </row>
    <row r="172" spans="2:12" x14ac:dyDescent="0.3">
      <c r="B172" s="1" t="str">
        <f>+DATAOPS!C175</f>
        <v>KISSY KISSY</v>
      </c>
      <c r="C172" s="1">
        <f>+DATAOPS!M175</f>
        <v>12</v>
      </c>
      <c r="D172" s="1">
        <f>+DATAOPS!N175+DATAOPS!O175+DATAOPS!Q175</f>
        <v>32</v>
      </c>
      <c r="E172" s="1">
        <f>+DATAOPS!W175</f>
        <v>7</v>
      </c>
      <c r="F172" s="1">
        <f>+DATAOPS!AA175</f>
        <v>2020</v>
      </c>
      <c r="G172" s="1" t="str">
        <f>+DATAOPS!D175</f>
        <v>BEBES</v>
      </c>
      <c r="H172" s="1">
        <f>+DATAOPS!AB175</f>
        <v>12</v>
      </c>
      <c r="I172" s="1">
        <f t="shared" si="4"/>
        <v>84</v>
      </c>
      <c r="J172" s="1">
        <f t="shared" si="5"/>
        <v>224</v>
      </c>
      <c r="K172" s="1">
        <f>+DATAOPS!O175*E172</f>
        <v>140</v>
      </c>
      <c r="L172" s="1">
        <f>+(DATAOPS!N175+DATAOPS!O175+DATAOPS!Q175)*E172</f>
        <v>224</v>
      </c>
    </row>
    <row r="173" spans="2:12" x14ac:dyDescent="0.3">
      <c r="B173" s="1" t="str">
        <f>+DATAOPS!C176</f>
        <v>KISSY KISSY</v>
      </c>
      <c r="C173" s="1">
        <f>+DATAOPS!M176</f>
        <v>12</v>
      </c>
      <c r="D173" s="1">
        <f>+DATAOPS!N176+DATAOPS!O176+DATAOPS!Q176</f>
        <v>32</v>
      </c>
      <c r="E173" s="1">
        <f>+DATAOPS!W176</f>
        <v>15</v>
      </c>
      <c r="F173" s="1">
        <f>+DATAOPS!AA176</f>
        <v>2020</v>
      </c>
      <c r="G173" s="1" t="str">
        <f>+DATAOPS!D176</f>
        <v>BEBES</v>
      </c>
      <c r="H173" s="1">
        <f>+DATAOPS!AB176</f>
        <v>12</v>
      </c>
      <c r="I173" s="1">
        <f t="shared" si="4"/>
        <v>180</v>
      </c>
      <c r="J173" s="1">
        <f t="shared" si="5"/>
        <v>480</v>
      </c>
      <c r="K173" s="1">
        <f>+DATAOPS!O176*E173</f>
        <v>300</v>
      </c>
      <c r="L173" s="1">
        <f>+(DATAOPS!N176+DATAOPS!O176+DATAOPS!Q176)*E173</f>
        <v>480</v>
      </c>
    </row>
    <row r="174" spans="2:12" x14ac:dyDescent="0.3">
      <c r="B174" s="1" t="str">
        <f>+DATAOPS!C177</f>
        <v>KISSY KISSY</v>
      </c>
      <c r="C174" s="1">
        <f>+DATAOPS!M177</f>
        <v>29</v>
      </c>
      <c r="D174" s="1">
        <f>+DATAOPS!N177+DATAOPS!O177+DATAOPS!Q177</f>
        <v>84</v>
      </c>
      <c r="E174" s="1">
        <f>+DATAOPS!W177</f>
        <v>7</v>
      </c>
      <c r="F174" s="1">
        <f>+DATAOPS!AA177</f>
        <v>2020</v>
      </c>
      <c r="G174" s="1" t="str">
        <f>+DATAOPS!D177</f>
        <v>BEBES</v>
      </c>
      <c r="H174" s="1">
        <f>+DATAOPS!AB177</f>
        <v>12</v>
      </c>
      <c r="I174" s="1">
        <f t="shared" si="4"/>
        <v>203</v>
      </c>
      <c r="J174" s="1">
        <f t="shared" si="5"/>
        <v>588</v>
      </c>
      <c r="K174" s="1">
        <f>+DATAOPS!O177*E174</f>
        <v>420</v>
      </c>
      <c r="L174" s="1">
        <f>+(DATAOPS!N177+DATAOPS!O177+DATAOPS!Q177)*E174</f>
        <v>588</v>
      </c>
    </row>
    <row r="175" spans="2:12" x14ac:dyDescent="0.3">
      <c r="B175" s="1" t="str">
        <f>+DATAOPS!C178</f>
        <v>KISSY KISSY</v>
      </c>
      <c r="C175" s="1">
        <f>+DATAOPS!M178</f>
        <v>29</v>
      </c>
      <c r="D175" s="1">
        <f>+DATAOPS!N178+DATAOPS!O178+DATAOPS!Q178</f>
        <v>84</v>
      </c>
      <c r="E175" s="1">
        <f>+DATAOPS!W178</f>
        <v>7</v>
      </c>
      <c r="F175" s="1">
        <f>+DATAOPS!AA178</f>
        <v>2020</v>
      </c>
      <c r="G175" s="1" t="str">
        <f>+DATAOPS!D178</f>
        <v>BEBES</v>
      </c>
      <c r="H175" s="1">
        <f>+DATAOPS!AB178</f>
        <v>12</v>
      </c>
      <c r="I175" s="1">
        <f t="shared" si="4"/>
        <v>203</v>
      </c>
      <c r="J175" s="1">
        <f t="shared" si="5"/>
        <v>588</v>
      </c>
      <c r="K175" s="1">
        <f>+DATAOPS!O178*E175</f>
        <v>420</v>
      </c>
      <c r="L175" s="1">
        <f>+(DATAOPS!N178+DATAOPS!O178+DATAOPS!Q178)*E175</f>
        <v>588</v>
      </c>
    </row>
    <row r="176" spans="2:12" x14ac:dyDescent="0.3">
      <c r="B176" s="1" t="str">
        <f>+DATAOPS!C179</f>
        <v>KISSY KISSY</v>
      </c>
      <c r="C176" s="1">
        <f>+DATAOPS!M179</f>
        <v>31</v>
      </c>
      <c r="D176" s="1">
        <f>+DATAOPS!N179+DATAOPS!O179+DATAOPS!Q179</f>
        <v>84</v>
      </c>
      <c r="E176" s="1">
        <f>+DATAOPS!W179</f>
        <v>7</v>
      </c>
      <c r="F176" s="1">
        <f>+DATAOPS!AA179</f>
        <v>2020</v>
      </c>
      <c r="G176" s="1" t="str">
        <f>+DATAOPS!D179</f>
        <v>BEBES</v>
      </c>
      <c r="H176" s="1">
        <f>+DATAOPS!AB179</f>
        <v>12</v>
      </c>
      <c r="I176" s="1">
        <f t="shared" si="4"/>
        <v>217</v>
      </c>
      <c r="J176" s="1">
        <f t="shared" si="5"/>
        <v>588</v>
      </c>
      <c r="K176" s="1">
        <f>+DATAOPS!O179*E176</f>
        <v>420</v>
      </c>
      <c r="L176" s="1">
        <f>+(DATAOPS!N179+DATAOPS!O179+DATAOPS!Q179)*E176</f>
        <v>588</v>
      </c>
    </row>
    <row r="177" spans="2:12" x14ac:dyDescent="0.3">
      <c r="B177" s="1" t="str">
        <f>+DATAOPS!C180</f>
        <v>KISSY KISSY</v>
      </c>
      <c r="C177" s="1">
        <f>+DATAOPS!M180</f>
        <v>26</v>
      </c>
      <c r="D177" s="1">
        <f>+DATAOPS!N180+DATAOPS!O180+DATAOPS!Q180</f>
        <v>72</v>
      </c>
      <c r="E177" s="1">
        <f>+DATAOPS!W180</f>
        <v>7</v>
      </c>
      <c r="F177" s="1">
        <f>+DATAOPS!AA180</f>
        <v>2020</v>
      </c>
      <c r="G177" s="1" t="str">
        <f>+DATAOPS!D180</f>
        <v>BEBES</v>
      </c>
      <c r="H177" s="1">
        <f>+DATAOPS!AB180</f>
        <v>12</v>
      </c>
      <c r="I177" s="1">
        <f t="shared" si="4"/>
        <v>182</v>
      </c>
      <c r="J177" s="1">
        <f t="shared" si="5"/>
        <v>504</v>
      </c>
      <c r="K177" s="1">
        <f>+DATAOPS!O180*E177</f>
        <v>336</v>
      </c>
      <c r="L177" s="1">
        <f>+(DATAOPS!N180+DATAOPS!O180+DATAOPS!Q180)*E177</f>
        <v>504</v>
      </c>
    </row>
    <row r="178" spans="2:12" x14ac:dyDescent="0.3">
      <c r="B178" s="1" t="str">
        <f>+DATAOPS!C181</f>
        <v>KISSY KISSY</v>
      </c>
      <c r="C178" s="1">
        <f>+DATAOPS!M181</f>
        <v>29</v>
      </c>
      <c r="D178" s="1">
        <f>+DATAOPS!N181+DATAOPS!O181+DATAOPS!Q181</f>
        <v>84</v>
      </c>
      <c r="E178" s="1">
        <f>+DATAOPS!W181</f>
        <v>7</v>
      </c>
      <c r="F178" s="1">
        <f>+DATAOPS!AA181</f>
        <v>2020</v>
      </c>
      <c r="G178" s="1" t="str">
        <f>+DATAOPS!D181</f>
        <v>BEBES</v>
      </c>
      <c r="H178" s="1">
        <f>+DATAOPS!AB181</f>
        <v>12</v>
      </c>
      <c r="I178" s="1">
        <f t="shared" si="4"/>
        <v>203</v>
      </c>
      <c r="J178" s="1">
        <f t="shared" si="5"/>
        <v>588</v>
      </c>
      <c r="K178" s="1">
        <f>+DATAOPS!O181*E178</f>
        <v>420</v>
      </c>
      <c r="L178" s="1">
        <f>+(DATAOPS!N181+DATAOPS!O181+DATAOPS!Q181)*E178</f>
        <v>588</v>
      </c>
    </row>
    <row r="179" spans="2:12" x14ac:dyDescent="0.3">
      <c r="B179" s="1" t="str">
        <f>+DATAOPS!C182</f>
        <v>KISSY KISSY</v>
      </c>
      <c r="C179" s="1">
        <f>+DATAOPS!M182</f>
        <v>29</v>
      </c>
      <c r="D179" s="1">
        <f>+DATAOPS!N182+DATAOPS!O182+DATAOPS!Q182</f>
        <v>84</v>
      </c>
      <c r="E179" s="1">
        <f>+DATAOPS!W182</f>
        <v>7</v>
      </c>
      <c r="F179" s="1">
        <f>+DATAOPS!AA182</f>
        <v>2020</v>
      </c>
      <c r="G179" s="1" t="str">
        <f>+DATAOPS!D182</f>
        <v>BEBES</v>
      </c>
      <c r="H179" s="1">
        <f>+DATAOPS!AB182</f>
        <v>12</v>
      </c>
      <c r="I179" s="1">
        <f t="shared" si="4"/>
        <v>203</v>
      </c>
      <c r="J179" s="1">
        <f t="shared" si="5"/>
        <v>588</v>
      </c>
      <c r="K179" s="1">
        <f>+DATAOPS!O182*E179</f>
        <v>420</v>
      </c>
      <c r="L179" s="1">
        <f>+(DATAOPS!N182+DATAOPS!O182+DATAOPS!Q182)*E179</f>
        <v>588</v>
      </c>
    </row>
    <row r="180" spans="2:12" x14ac:dyDescent="0.3">
      <c r="B180" s="1" t="str">
        <f>+DATAOPS!C183</f>
        <v>KISSY KISSY</v>
      </c>
      <c r="C180" s="1">
        <f>+DATAOPS!M183</f>
        <v>29</v>
      </c>
      <c r="D180" s="1">
        <f>+DATAOPS!N183+DATAOPS!O183+DATAOPS!Q183</f>
        <v>84</v>
      </c>
      <c r="E180" s="1">
        <f>+DATAOPS!W183</f>
        <v>7</v>
      </c>
      <c r="F180" s="1">
        <f>+DATAOPS!AA183</f>
        <v>2020</v>
      </c>
      <c r="G180" s="1" t="str">
        <f>+DATAOPS!D183</f>
        <v>BEBES</v>
      </c>
      <c r="H180" s="1">
        <f>+DATAOPS!AB183</f>
        <v>12</v>
      </c>
      <c r="I180" s="1">
        <f t="shared" si="4"/>
        <v>203</v>
      </c>
      <c r="J180" s="1">
        <f t="shared" si="5"/>
        <v>588</v>
      </c>
      <c r="K180" s="1">
        <f>+DATAOPS!O183*E180</f>
        <v>420</v>
      </c>
      <c r="L180" s="1">
        <f>+(DATAOPS!N183+DATAOPS!O183+DATAOPS!Q183)*E180</f>
        <v>588</v>
      </c>
    </row>
    <row r="181" spans="2:12" x14ac:dyDescent="0.3">
      <c r="B181" s="1" t="str">
        <f>+DATAOPS!C184</f>
        <v>KISSY KISSY</v>
      </c>
      <c r="C181" s="1">
        <f>+DATAOPS!M184</f>
        <v>13</v>
      </c>
      <c r="D181" s="1">
        <f>+DATAOPS!N184+DATAOPS!O184+DATAOPS!Q184</f>
        <v>40</v>
      </c>
      <c r="E181" s="1">
        <f>+DATAOPS!W184</f>
        <v>14</v>
      </c>
      <c r="F181" s="1">
        <f>+DATAOPS!AA184</f>
        <v>2020</v>
      </c>
      <c r="G181" s="1" t="str">
        <f>+DATAOPS!D184</f>
        <v>BEBES</v>
      </c>
      <c r="H181" s="1">
        <f>+DATAOPS!AB184</f>
        <v>12</v>
      </c>
      <c r="I181" s="1">
        <f t="shared" si="4"/>
        <v>182</v>
      </c>
      <c r="J181" s="1">
        <f t="shared" si="5"/>
        <v>560</v>
      </c>
      <c r="K181" s="1">
        <f>+DATAOPS!O184*E181</f>
        <v>280</v>
      </c>
      <c r="L181" s="1">
        <f>+(DATAOPS!N184+DATAOPS!O184+DATAOPS!Q184)*E181</f>
        <v>560</v>
      </c>
    </row>
    <row r="182" spans="2:12" x14ac:dyDescent="0.3">
      <c r="B182" s="1" t="str">
        <f>+DATAOPS!C185</f>
        <v>MFC</v>
      </c>
      <c r="C182" s="1">
        <f>+DATAOPS!M185</f>
        <v>8</v>
      </c>
      <c r="D182" s="1">
        <f>+DATAOPS!N185+DATAOPS!O185+DATAOPS!Q185</f>
        <v>44</v>
      </c>
      <c r="E182" s="1">
        <f>+DATAOPS!W185</f>
        <v>30</v>
      </c>
      <c r="F182" s="1">
        <f>+DATAOPS!AA185</f>
        <v>2020</v>
      </c>
      <c r="G182" s="1" t="str">
        <f>+DATAOPS!D185</f>
        <v>ROPA DORMIR</v>
      </c>
      <c r="H182" s="1">
        <f>+DATAOPS!AB185</f>
        <v>12</v>
      </c>
      <c r="I182" s="1">
        <f t="shared" si="4"/>
        <v>240</v>
      </c>
      <c r="J182" s="1">
        <f t="shared" si="5"/>
        <v>1320</v>
      </c>
      <c r="K182" s="1">
        <f>+DATAOPS!O185*E182</f>
        <v>600</v>
      </c>
      <c r="L182" s="1">
        <f>+(DATAOPS!N185+DATAOPS!O185+DATAOPS!Q185)*E182</f>
        <v>1320</v>
      </c>
    </row>
    <row r="183" spans="2:12" x14ac:dyDescent="0.3">
      <c r="B183" s="1" t="str">
        <f>+DATAOPS!C186</f>
        <v>MFC</v>
      </c>
      <c r="C183" s="1">
        <f>+DATAOPS!M186</f>
        <v>10.199999999999999</v>
      </c>
      <c r="D183" s="1">
        <f>+DATAOPS!N186+DATAOPS!O186+DATAOPS!Q186</f>
        <v>52.8</v>
      </c>
      <c r="E183" s="1">
        <f>+DATAOPS!W186</f>
        <v>60</v>
      </c>
      <c r="F183" s="1">
        <f>+DATAOPS!AA186</f>
        <v>2020</v>
      </c>
      <c r="G183" s="1" t="str">
        <f>+DATAOPS!D186</f>
        <v>ROPA DORMIR</v>
      </c>
      <c r="H183" s="1">
        <f>+DATAOPS!AB186</f>
        <v>12</v>
      </c>
      <c r="I183" s="1">
        <f t="shared" si="4"/>
        <v>612</v>
      </c>
      <c r="J183" s="1">
        <f t="shared" si="5"/>
        <v>3168</v>
      </c>
      <c r="K183" s="1">
        <f>+DATAOPS!O186*E183</f>
        <v>1728</v>
      </c>
      <c r="L183" s="1">
        <f>+(DATAOPS!N186+DATAOPS!O186+DATAOPS!Q186)*E183</f>
        <v>3168</v>
      </c>
    </row>
    <row r="184" spans="2:12" x14ac:dyDescent="0.3">
      <c r="B184" s="1" t="str">
        <f>+DATAOPS!C187</f>
        <v>MFC</v>
      </c>
      <c r="C184" s="1">
        <f>+DATAOPS!M187</f>
        <v>11.5</v>
      </c>
      <c r="D184" s="1">
        <f>+DATAOPS!N187+DATAOPS!O187+DATAOPS!Q187</f>
        <v>60</v>
      </c>
      <c r="E184" s="1">
        <f>+DATAOPS!W187</f>
        <v>42</v>
      </c>
      <c r="F184" s="1">
        <f>+DATAOPS!AA187</f>
        <v>2020</v>
      </c>
      <c r="G184" s="1" t="str">
        <f>+DATAOPS!D187</f>
        <v>ROPA DORMIR</v>
      </c>
      <c r="H184" s="1">
        <f>+DATAOPS!AB187</f>
        <v>12</v>
      </c>
      <c r="I184" s="1">
        <f t="shared" si="4"/>
        <v>483</v>
      </c>
      <c r="J184" s="1">
        <f t="shared" si="5"/>
        <v>2520</v>
      </c>
      <c r="K184" s="1">
        <f>+DATAOPS!O187*E184</f>
        <v>1344</v>
      </c>
      <c r="L184" s="1">
        <f>+(DATAOPS!N187+DATAOPS!O187+DATAOPS!Q187)*E184</f>
        <v>2520</v>
      </c>
    </row>
    <row r="185" spans="2:12" x14ac:dyDescent="0.3">
      <c r="B185" s="1" t="str">
        <f>+DATAOPS!C188</f>
        <v>FASHION VIEWS</v>
      </c>
      <c r="C185" s="1">
        <f>+DATAOPS!M188</f>
        <v>13</v>
      </c>
      <c r="D185" s="1">
        <f>+DATAOPS!N188+DATAOPS!O188+DATAOPS!Q188</f>
        <v>64</v>
      </c>
      <c r="E185" s="1">
        <f>+DATAOPS!W188</f>
        <v>106</v>
      </c>
      <c r="F185" s="1">
        <f>+DATAOPS!AA188</f>
        <v>2021</v>
      </c>
      <c r="G185" s="1" t="str">
        <f>+DATAOPS!D188</f>
        <v>ROPA DORMIR</v>
      </c>
      <c r="H185" s="1">
        <f>+DATAOPS!AB188</f>
        <v>1</v>
      </c>
      <c r="I185" s="1">
        <f t="shared" si="4"/>
        <v>1378</v>
      </c>
      <c r="J185" s="1">
        <f t="shared" si="5"/>
        <v>6784</v>
      </c>
      <c r="K185" s="1">
        <f>+DATAOPS!O188*E185</f>
        <v>4240</v>
      </c>
      <c r="L185" s="1">
        <f>+(DATAOPS!N188+DATAOPS!O188+DATAOPS!Q188)*E185</f>
        <v>6784</v>
      </c>
    </row>
    <row r="186" spans="2:12" x14ac:dyDescent="0.3">
      <c r="B186" s="1" t="str">
        <f>+DATAOPS!C189</f>
        <v>FASHION VIEWS</v>
      </c>
      <c r="C186" s="1">
        <f>+DATAOPS!M189</f>
        <v>46</v>
      </c>
      <c r="D186" s="1">
        <f>+DATAOPS!N189+DATAOPS!O189+DATAOPS!Q189</f>
        <v>68</v>
      </c>
      <c r="E186" s="1">
        <f>+DATAOPS!W189</f>
        <v>90</v>
      </c>
      <c r="F186" s="1">
        <f>+DATAOPS!AA189</f>
        <v>2021</v>
      </c>
      <c r="G186" s="1" t="str">
        <f>+DATAOPS!D189</f>
        <v>ROPA DORMIR</v>
      </c>
      <c r="H186" s="1">
        <f>+DATAOPS!AB189</f>
        <v>1</v>
      </c>
      <c r="I186" s="1">
        <f t="shared" si="4"/>
        <v>4140</v>
      </c>
      <c r="J186" s="1">
        <f t="shared" si="5"/>
        <v>6120</v>
      </c>
      <c r="K186" s="1">
        <f>+DATAOPS!O189*E186</f>
        <v>3960</v>
      </c>
      <c r="L186" s="1">
        <f>+(DATAOPS!N189+DATAOPS!O189+DATAOPS!Q189)*E186</f>
        <v>6120</v>
      </c>
    </row>
    <row r="187" spans="2:12" x14ac:dyDescent="0.3">
      <c r="B187" s="1" t="str">
        <f>+DATAOPS!C190</f>
        <v>KISSY KISSY</v>
      </c>
      <c r="C187" s="1">
        <f>+DATAOPS!M190</f>
        <v>9.5</v>
      </c>
      <c r="D187" s="1">
        <f>+DATAOPS!N190+DATAOPS!O190+DATAOPS!Q190</f>
        <v>22</v>
      </c>
      <c r="E187" s="1">
        <f>+DATAOPS!W190</f>
        <v>108</v>
      </c>
      <c r="F187" s="1">
        <f>+DATAOPS!AA190</f>
        <v>2021</v>
      </c>
      <c r="G187" s="1" t="str">
        <f>+DATAOPS!D190</f>
        <v>BEBES</v>
      </c>
      <c r="H187" s="1">
        <f>+DATAOPS!AB190</f>
        <v>1</v>
      </c>
      <c r="I187" s="1">
        <f t="shared" si="4"/>
        <v>1026</v>
      </c>
      <c r="J187" s="1">
        <f t="shared" si="5"/>
        <v>2376</v>
      </c>
      <c r="K187" s="1">
        <f>+DATAOPS!O190*E187</f>
        <v>1080</v>
      </c>
      <c r="L187" s="1">
        <f>+(DATAOPS!N190+DATAOPS!O190+DATAOPS!Q190)*E187</f>
        <v>2376</v>
      </c>
    </row>
    <row r="188" spans="2:12" x14ac:dyDescent="0.3">
      <c r="B188" s="1" t="str">
        <f>+DATAOPS!C191</f>
        <v>KISSY KISSY</v>
      </c>
      <c r="C188" s="1">
        <f>+DATAOPS!M191</f>
        <v>9.5</v>
      </c>
      <c r="D188" s="1">
        <f>+DATAOPS!N191+DATAOPS!O191+DATAOPS!Q191</f>
        <v>22</v>
      </c>
      <c r="E188" s="1">
        <f>+DATAOPS!W191</f>
        <v>170</v>
      </c>
      <c r="F188" s="1">
        <f>+DATAOPS!AA191</f>
        <v>2021</v>
      </c>
      <c r="G188" s="1" t="str">
        <f>+DATAOPS!D191</f>
        <v>BEBES</v>
      </c>
      <c r="H188" s="1">
        <f>+DATAOPS!AB191</f>
        <v>1</v>
      </c>
      <c r="I188" s="1">
        <f t="shared" si="4"/>
        <v>1615</v>
      </c>
      <c r="J188" s="1">
        <f t="shared" si="5"/>
        <v>3740</v>
      </c>
      <c r="K188" s="1">
        <f>+DATAOPS!O191*E188</f>
        <v>1700</v>
      </c>
      <c r="L188" s="1">
        <f>+(DATAOPS!N191+DATAOPS!O191+DATAOPS!Q191)*E188</f>
        <v>3740</v>
      </c>
    </row>
    <row r="189" spans="2:12" x14ac:dyDescent="0.3">
      <c r="B189" s="1" t="str">
        <f>+DATAOPS!C192</f>
        <v>KISSY KISSY</v>
      </c>
      <c r="C189" s="1">
        <f>+DATAOPS!M192</f>
        <v>11</v>
      </c>
      <c r="D189" s="1">
        <f>+DATAOPS!N192+DATAOPS!O192+DATAOPS!Q192</f>
        <v>28</v>
      </c>
      <c r="E189" s="1">
        <f>+DATAOPS!W192</f>
        <v>152</v>
      </c>
      <c r="F189" s="1">
        <f>+DATAOPS!AA192</f>
        <v>2021</v>
      </c>
      <c r="G189" s="1" t="str">
        <f>+DATAOPS!D192</f>
        <v>BEBES</v>
      </c>
      <c r="H189" s="1">
        <f>+DATAOPS!AB192</f>
        <v>1</v>
      </c>
      <c r="I189" s="1">
        <f t="shared" si="4"/>
        <v>1672</v>
      </c>
      <c r="J189" s="1">
        <f t="shared" si="5"/>
        <v>4256</v>
      </c>
      <c r="K189" s="1">
        <f>+DATAOPS!O192*E189</f>
        <v>2432</v>
      </c>
      <c r="L189" s="1">
        <f>+(DATAOPS!N192+DATAOPS!O192+DATAOPS!Q192)*E189</f>
        <v>4256</v>
      </c>
    </row>
    <row r="190" spans="2:12" x14ac:dyDescent="0.3">
      <c r="B190" s="1" t="str">
        <f>+DATAOPS!C193</f>
        <v>KISSY KISSY</v>
      </c>
      <c r="C190" s="1">
        <f>+DATAOPS!M193</f>
        <v>13.7</v>
      </c>
      <c r="D190" s="1">
        <f>+DATAOPS!N193+DATAOPS!O193+DATAOPS!Q193</f>
        <v>42.8</v>
      </c>
      <c r="E190" s="1">
        <f>+DATAOPS!W193</f>
        <v>138</v>
      </c>
      <c r="F190" s="1">
        <f>+DATAOPS!AA193</f>
        <v>2021</v>
      </c>
      <c r="G190" s="1" t="str">
        <f>+DATAOPS!D193</f>
        <v>BEBES</v>
      </c>
      <c r="H190" s="1">
        <f>+DATAOPS!AB193</f>
        <v>1</v>
      </c>
      <c r="I190" s="1">
        <f t="shared" si="4"/>
        <v>1890.6</v>
      </c>
      <c r="J190" s="1">
        <f t="shared" si="5"/>
        <v>5906.4</v>
      </c>
      <c r="K190" s="1">
        <f>+DATAOPS!O193*E190</f>
        <v>2594.4</v>
      </c>
      <c r="L190" s="1">
        <f>+(DATAOPS!N193+DATAOPS!O193+DATAOPS!Q193)*E190</f>
        <v>5906.4</v>
      </c>
    </row>
    <row r="191" spans="2:12" x14ac:dyDescent="0.3">
      <c r="B191" s="1" t="str">
        <f>+DATAOPS!C194</f>
        <v>KISSY KISSY</v>
      </c>
      <c r="C191" s="1">
        <f>+DATAOPS!M194</f>
        <v>21.5</v>
      </c>
      <c r="D191" s="1">
        <f>+DATAOPS!N194+DATAOPS!O194+DATAOPS!Q194</f>
        <v>64</v>
      </c>
      <c r="E191" s="1">
        <f>+DATAOPS!W194</f>
        <v>212</v>
      </c>
      <c r="F191" s="1">
        <f>+DATAOPS!AA194</f>
        <v>2021</v>
      </c>
      <c r="G191" s="1" t="str">
        <f>+DATAOPS!D194</f>
        <v>BEBES</v>
      </c>
      <c r="H191" s="1">
        <f>+DATAOPS!AB194</f>
        <v>1</v>
      </c>
      <c r="I191" s="1">
        <f t="shared" si="4"/>
        <v>4558</v>
      </c>
      <c r="J191" s="1">
        <f t="shared" si="5"/>
        <v>13568</v>
      </c>
      <c r="K191" s="1">
        <f>+DATAOPS!O194*E191</f>
        <v>8480</v>
      </c>
      <c r="L191" s="1">
        <f>+(DATAOPS!N194+DATAOPS!O194+DATAOPS!Q194)*E191</f>
        <v>13568</v>
      </c>
    </row>
    <row r="192" spans="2:12" x14ac:dyDescent="0.3">
      <c r="B192" s="1" t="str">
        <f>+DATAOPS!C195</f>
        <v>KISSY KISSY</v>
      </c>
      <c r="C192" s="1">
        <f>+DATAOPS!M195</f>
        <v>21.2</v>
      </c>
      <c r="D192" s="1">
        <f>+DATAOPS!N195+DATAOPS!O195+DATAOPS!Q195</f>
        <v>64</v>
      </c>
      <c r="E192" s="1">
        <f>+DATAOPS!W195</f>
        <v>220</v>
      </c>
      <c r="F192" s="1">
        <f>+DATAOPS!AA195</f>
        <v>2021</v>
      </c>
      <c r="G192" s="1" t="str">
        <f>+DATAOPS!D195</f>
        <v>BEBES</v>
      </c>
      <c r="H192" s="1">
        <f>+DATAOPS!AB195</f>
        <v>1</v>
      </c>
      <c r="I192" s="1">
        <f t="shared" si="4"/>
        <v>4664</v>
      </c>
      <c r="J192" s="1">
        <f t="shared" si="5"/>
        <v>14080</v>
      </c>
      <c r="K192" s="1">
        <f>+DATAOPS!O195*E192</f>
        <v>8800</v>
      </c>
      <c r="L192" s="1">
        <f>+(DATAOPS!N195+DATAOPS!O195+DATAOPS!Q195)*E192</f>
        <v>14080</v>
      </c>
    </row>
    <row r="193" spans="2:12" x14ac:dyDescent="0.3">
      <c r="B193" s="1" t="str">
        <f>+DATAOPS!C196</f>
        <v>KISSY KISSY</v>
      </c>
      <c r="C193" s="1">
        <f>+DATAOPS!M196</f>
        <v>20.2</v>
      </c>
      <c r="D193" s="1">
        <f>+DATAOPS!N196+DATAOPS!O196+DATAOPS!Q196</f>
        <v>60</v>
      </c>
      <c r="E193" s="1">
        <f>+DATAOPS!W196</f>
        <v>204</v>
      </c>
      <c r="F193" s="1">
        <f>+DATAOPS!AA196</f>
        <v>2021</v>
      </c>
      <c r="G193" s="1" t="str">
        <f>+DATAOPS!D196</f>
        <v>BEBES</v>
      </c>
      <c r="H193" s="1">
        <f>+DATAOPS!AB196</f>
        <v>1</v>
      </c>
      <c r="I193" s="1">
        <f t="shared" ref="I193:I256" si="6">+C193*E193</f>
        <v>4120.8</v>
      </c>
      <c r="J193" s="1">
        <f t="shared" ref="J193:J256" si="7">+D193*E193</f>
        <v>12240</v>
      </c>
      <c r="K193" s="1">
        <f>+DATAOPS!O196*E193</f>
        <v>7344</v>
      </c>
      <c r="L193" s="1">
        <f>+(DATAOPS!N196+DATAOPS!O196+DATAOPS!Q196)*E193</f>
        <v>12240</v>
      </c>
    </row>
    <row r="194" spans="2:12" x14ac:dyDescent="0.3">
      <c r="B194" s="1" t="str">
        <f>+DATAOPS!C197</f>
        <v>KISSY KISSY</v>
      </c>
      <c r="C194" s="1">
        <f>+DATAOPS!M197</f>
        <v>28</v>
      </c>
      <c r="D194" s="1">
        <f>+DATAOPS!N197+DATAOPS!O197+DATAOPS!Q197</f>
        <v>60</v>
      </c>
      <c r="E194" s="1">
        <f>+DATAOPS!W197</f>
        <v>189</v>
      </c>
      <c r="F194" s="1">
        <f>+DATAOPS!AA197</f>
        <v>2021</v>
      </c>
      <c r="G194" s="1" t="str">
        <f>+DATAOPS!D197</f>
        <v>BEBES</v>
      </c>
      <c r="H194" s="1">
        <f>+DATAOPS!AB197</f>
        <v>1</v>
      </c>
      <c r="I194" s="1">
        <f t="shared" si="6"/>
        <v>5292</v>
      </c>
      <c r="J194" s="1">
        <f t="shared" si="7"/>
        <v>11340</v>
      </c>
      <c r="K194" s="1">
        <f>+DATAOPS!O197*E194</f>
        <v>6804</v>
      </c>
      <c r="L194" s="1">
        <f>+(DATAOPS!N197+DATAOPS!O197+DATAOPS!Q197)*E194</f>
        <v>11340</v>
      </c>
    </row>
    <row r="195" spans="2:12" x14ac:dyDescent="0.3">
      <c r="B195" s="1" t="str">
        <f>+DATAOPS!C198</f>
        <v>KISSY KISSY</v>
      </c>
      <c r="C195" s="1">
        <f>+DATAOPS!M198</f>
        <v>20.2</v>
      </c>
      <c r="D195" s="1">
        <f>+DATAOPS!N198+DATAOPS!O198+DATAOPS!Q198</f>
        <v>60</v>
      </c>
      <c r="E195" s="1">
        <f>+DATAOPS!W198</f>
        <v>224</v>
      </c>
      <c r="F195" s="1">
        <f>+DATAOPS!AA198</f>
        <v>2021</v>
      </c>
      <c r="G195" s="1" t="str">
        <f>+DATAOPS!D198</f>
        <v>BEBES</v>
      </c>
      <c r="H195" s="1">
        <f>+DATAOPS!AB198</f>
        <v>1</v>
      </c>
      <c r="I195" s="1">
        <f t="shared" si="6"/>
        <v>4524.8</v>
      </c>
      <c r="J195" s="1">
        <f t="shared" si="7"/>
        <v>13440</v>
      </c>
      <c r="K195" s="1">
        <f>+DATAOPS!O198*E195</f>
        <v>8064</v>
      </c>
      <c r="L195" s="1">
        <f>+(DATAOPS!N198+DATAOPS!O198+DATAOPS!Q198)*E195</f>
        <v>13440</v>
      </c>
    </row>
    <row r="196" spans="2:12" x14ac:dyDescent="0.3">
      <c r="B196" s="1" t="str">
        <f>+DATAOPS!C199</f>
        <v>KISSY KISSY</v>
      </c>
      <c r="C196" s="1">
        <f>+DATAOPS!M199</f>
        <v>27.5</v>
      </c>
      <c r="D196" s="1">
        <f>+DATAOPS!N199+DATAOPS!O199+DATAOPS!Q199</f>
        <v>58</v>
      </c>
      <c r="E196" s="1">
        <f>+DATAOPS!W199</f>
        <v>189</v>
      </c>
      <c r="F196" s="1">
        <f>+DATAOPS!AA199</f>
        <v>2021</v>
      </c>
      <c r="G196" s="1" t="str">
        <f>+DATAOPS!D199</f>
        <v>BEBES</v>
      </c>
      <c r="H196" s="1">
        <f>+DATAOPS!AB199</f>
        <v>1</v>
      </c>
      <c r="I196" s="1">
        <f t="shared" si="6"/>
        <v>5197.5</v>
      </c>
      <c r="J196" s="1">
        <f t="shared" si="7"/>
        <v>10962</v>
      </c>
      <c r="K196" s="1">
        <f>+DATAOPS!O199*E196</f>
        <v>6426</v>
      </c>
      <c r="L196" s="1">
        <f>+(DATAOPS!N199+DATAOPS!O199+DATAOPS!Q199)*E196</f>
        <v>10962</v>
      </c>
    </row>
    <row r="197" spans="2:12" x14ac:dyDescent="0.3">
      <c r="B197" s="1" t="str">
        <f>+DATAOPS!C200</f>
        <v>KISSY KISSY</v>
      </c>
      <c r="C197" s="1">
        <f>+DATAOPS!M200</f>
        <v>20</v>
      </c>
      <c r="D197" s="1">
        <f>+DATAOPS!N200+DATAOPS!O200+DATAOPS!Q200</f>
        <v>58</v>
      </c>
      <c r="E197" s="1">
        <f>+DATAOPS!W200</f>
        <v>115</v>
      </c>
      <c r="F197" s="1">
        <f>+DATAOPS!AA200</f>
        <v>2021</v>
      </c>
      <c r="G197" s="1" t="str">
        <f>+DATAOPS!D200</f>
        <v>BEBES</v>
      </c>
      <c r="H197" s="1">
        <f>+DATAOPS!AB200</f>
        <v>1</v>
      </c>
      <c r="I197" s="1">
        <f t="shared" si="6"/>
        <v>2300</v>
      </c>
      <c r="J197" s="1">
        <f t="shared" si="7"/>
        <v>6670</v>
      </c>
      <c r="K197" s="1">
        <f>+DATAOPS!O200*E197</f>
        <v>3910</v>
      </c>
      <c r="L197" s="1">
        <f>+(DATAOPS!N200+DATAOPS!O200+DATAOPS!Q200)*E197</f>
        <v>6670</v>
      </c>
    </row>
    <row r="198" spans="2:12" x14ac:dyDescent="0.3">
      <c r="B198" s="1" t="str">
        <f>+DATAOPS!C201</f>
        <v>KISSY KISSY</v>
      </c>
      <c r="C198" s="1">
        <f>+DATAOPS!M201</f>
        <v>19.7</v>
      </c>
      <c r="D198" s="1">
        <f>+DATAOPS!N201+DATAOPS!O201+DATAOPS!Q201</f>
        <v>58</v>
      </c>
      <c r="E198" s="1">
        <f>+DATAOPS!W201</f>
        <v>174</v>
      </c>
      <c r="F198" s="1">
        <f>+DATAOPS!AA201</f>
        <v>2021</v>
      </c>
      <c r="G198" s="1" t="str">
        <f>+DATAOPS!D201</f>
        <v>BEBES</v>
      </c>
      <c r="H198" s="1">
        <f>+DATAOPS!AB201</f>
        <v>1</v>
      </c>
      <c r="I198" s="1">
        <f t="shared" si="6"/>
        <v>3427.7999999999997</v>
      </c>
      <c r="J198" s="1">
        <f t="shared" si="7"/>
        <v>10092</v>
      </c>
      <c r="K198" s="1">
        <f>+DATAOPS!O201*E198</f>
        <v>5916</v>
      </c>
      <c r="L198" s="1">
        <f>+(DATAOPS!N201+DATAOPS!O201+DATAOPS!Q201)*E198</f>
        <v>10092</v>
      </c>
    </row>
    <row r="199" spans="2:12" x14ac:dyDescent="0.3">
      <c r="B199" s="1" t="str">
        <f>+DATAOPS!C202</f>
        <v>BAMBOLA</v>
      </c>
      <c r="C199" s="1">
        <f>+DATAOPS!M202</f>
        <v>21.5</v>
      </c>
      <c r="D199" s="1">
        <f>+DATAOPS!N202+DATAOPS!O202+DATAOPS!Q202</f>
        <v>64</v>
      </c>
      <c r="E199" s="1">
        <f>+DATAOPS!W202</f>
        <v>102</v>
      </c>
      <c r="F199" s="1">
        <f>+DATAOPS!AA202</f>
        <v>2021</v>
      </c>
      <c r="G199" s="1" t="str">
        <f>+DATAOPS!D202</f>
        <v>BEBES</v>
      </c>
      <c r="H199" s="1">
        <f>+DATAOPS!AB202</f>
        <v>1</v>
      </c>
      <c r="I199" s="1">
        <f t="shared" si="6"/>
        <v>2193</v>
      </c>
      <c r="J199" s="1">
        <f t="shared" si="7"/>
        <v>6528</v>
      </c>
      <c r="K199" s="1">
        <f>+DATAOPS!O202*E199</f>
        <v>4080</v>
      </c>
      <c r="L199" s="1">
        <f>+(DATAOPS!N202+DATAOPS!O202+DATAOPS!Q202)*E199</f>
        <v>6528</v>
      </c>
    </row>
    <row r="200" spans="2:12" x14ac:dyDescent="0.3">
      <c r="B200" s="1" t="str">
        <f>+DATAOPS!C203</f>
        <v>BAMBOLA</v>
      </c>
      <c r="C200" s="1">
        <f>+DATAOPS!M203</f>
        <v>26</v>
      </c>
      <c r="D200" s="1">
        <f>+DATAOPS!N203+DATAOPS!O203+DATAOPS!Q203</f>
        <v>64</v>
      </c>
      <c r="E200" s="1">
        <f>+DATAOPS!W203</f>
        <v>78</v>
      </c>
      <c r="F200" s="1">
        <f>+DATAOPS!AA203</f>
        <v>2021</v>
      </c>
      <c r="G200" s="1" t="str">
        <f>+DATAOPS!D203</f>
        <v>BEBES</v>
      </c>
      <c r="H200" s="1">
        <f>+DATAOPS!AB203</f>
        <v>1</v>
      </c>
      <c r="I200" s="1">
        <f t="shared" si="6"/>
        <v>2028</v>
      </c>
      <c r="J200" s="1">
        <f t="shared" si="7"/>
        <v>4992</v>
      </c>
      <c r="K200" s="1">
        <f>+DATAOPS!O203*E200</f>
        <v>3120</v>
      </c>
      <c r="L200" s="1">
        <f>+(DATAOPS!N203+DATAOPS!O203+DATAOPS!Q203)*E200</f>
        <v>4992</v>
      </c>
    </row>
    <row r="201" spans="2:12" x14ac:dyDescent="0.3">
      <c r="B201" s="1" t="str">
        <f>+DATAOPS!C204</f>
        <v>BAMBOLA</v>
      </c>
      <c r="C201" s="1">
        <f>+DATAOPS!M204</f>
        <v>26</v>
      </c>
      <c r="D201" s="1">
        <f>+DATAOPS!N204+DATAOPS!O204+DATAOPS!Q204</f>
        <v>64</v>
      </c>
      <c r="E201" s="1">
        <f>+DATAOPS!W204</f>
        <v>12</v>
      </c>
      <c r="F201" s="1">
        <f>+DATAOPS!AA204</f>
        <v>2021</v>
      </c>
      <c r="G201" s="1" t="str">
        <f>+DATAOPS!D204</f>
        <v>BEBES</v>
      </c>
      <c r="H201" s="1">
        <f>+DATAOPS!AB204</f>
        <v>1</v>
      </c>
      <c r="I201" s="1">
        <f t="shared" si="6"/>
        <v>312</v>
      </c>
      <c r="J201" s="1">
        <f t="shared" si="7"/>
        <v>768</v>
      </c>
      <c r="K201" s="1">
        <f>+DATAOPS!O204*E201</f>
        <v>480</v>
      </c>
      <c r="L201" s="1">
        <f>+(DATAOPS!N204+DATAOPS!O204+DATAOPS!Q204)*E201</f>
        <v>768</v>
      </c>
    </row>
    <row r="202" spans="2:12" x14ac:dyDescent="0.3">
      <c r="B202" s="1" t="str">
        <f>+DATAOPS!C205</f>
        <v>BAMBOLA</v>
      </c>
      <c r="C202" s="1">
        <f>+DATAOPS!M205</f>
        <v>9.5</v>
      </c>
      <c r="D202" s="1">
        <f>+DATAOPS!N205+DATAOPS!O205+DATAOPS!Q205</f>
        <v>22</v>
      </c>
      <c r="E202" s="1">
        <f>+DATAOPS!W205</f>
        <v>12</v>
      </c>
      <c r="F202" s="1">
        <f>+DATAOPS!AA205</f>
        <v>2021</v>
      </c>
      <c r="G202" s="1" t="str">
        <f>+DATAOPS!D205</f>
        <v>BEBES</v>
      </c>
      <c r="H202" s="1">
        <f>+DATAOPS!AB205</f>
        <v>1</v>
      </c>
      <c r="I202" s="1">
        <f t="shared" si="6"/>
        <v>114</v>
      </c>
      <c r="J202" s="1">
        <f t="shared" si="7"/>
        <v>264</v>
      </c>
      <c r="K202" s="1">
        <f>+DATAOPS!O205*E202</f>
        <v>120</v>
      </c>
      <c r="L202" s="1">
        <f>+(DATAOPS!N205+DATAOPS!O205+DATAOPS!Q205)*E202</f>
        <v>264</v>
      </c>
    </row>
    <row r="203" spans="2:12" x14ac:dyDescent="0.3">
      <c r="B203" s="1" t="str">
        <f>+DATAOPS!C206</f>
        <v>BAMBOLA</v>
      </c>
      <c r="C203" s="1">
        <f>+DATAOPS!M206</f>
        <v>22</v>
      </c>
      <c r="D203" s="1">
        <f>+DATAOPS!N206+DATAOPS!O206+DATAOPS!Q206</f>
        <v>60</v>
      </c>
      <c r="E203" s="1">
        <f>+DATAOPS!W206</f>
        <v>20</v>
      </c>
      <c r="F203" s="1">
        <f>+DATAOPS!AA206</f>
        <v>2021</v>
      </c>
      <c r="G203" s="1" t="str">
        <f>+DATAOPS!D206</f>
        <v>BEBES</v>
      </c>
      <c r="H203" s="1">
        <f>+DATAOPS!AB206</f>
        <v>1</v>
      </c>
      <c r="I203" s="1">
        <f t="shared" si="6"/>
        <v>440</v>
      </c>
      <c r="J203" s="1">
        <f t="shared" si="7"/>
        <v>1200</v>
      </c>
      <c r="K203" s="1">
        <f>+DATAOPS!O206*E203</f>
        <v>720</v>
      </c>
      <c r="L203" s="1">
        <f>+(DATAOPS!N206+DATAOPS!O206+DATAOPS!Q206)*E203</f>
        <v>1200</v>
      </c>
    </row>
    <row r="204" spans="2:12" x14ac:dyDescent="0.3">
      <c r="B204" s="1" t="str">
        <f>+DATAOPS!C207</f>
        <v>KISSY KISSY</v>
      </c>
      <c r="C204" s="1">
        <f>+DATAOPS!M207</f>
        <v>9.5</v>
      </c>
      <c r="D204" s="1">
        <f>+DATAOPS!N207+DATAOPS!O207+DATAOPS!Q207</f>
        <v>22</v>
      </c>
      <c r="E204" s="1">
        <f>+DATAOPS!W207</f>
        <v>70</v>
      </c>
      <c r="F204" s="1">
        <f>+DATAOPS!AA207</f>
        <v>2021</v>
      </c>
      <c r="G204" s="1" t="str">
        <f>+DATAOPS!D207</f>
        <v>BEBES</v>
      </c>
      <c r="H204" s="1">
        <f>+DATAOPS!AB207</f>
        <v>1</v>
      </c>
      <c r="I204" s="1">
        <f t="shared" si="6"/>
        <v>665</v>
      </c>
      <c r="J204" s="1">
        <f t="shared" si="7"/>
        <v>1540</v>
      </c>
      <c r="K204" s="1">
        <f>+DATAOPS!O207*E204</f>
        <v>700</v>
      </c>
      <c r="L204" s="1">
        <f>+(DATAOPS!N207+DATAOPS!O207+DATAOPS!Q207)*E204</f>
        <v>1540</v>
      </c>
    </row>
    <row r="205" spans="2:12" x14ac:dyDescent="0.3">
      <c r="B205" s="1" t="str">
        <f>+DATAOPS!C208</f>
        <v>KISSY KISSY</v>
      </c>
      <c r="C205" s="1">
        <f>+DATAOPS!M208</f>
        <v>9.5</v>
      </c>
      <c r="D205" s="1">
        <f>+DATAOPS!N208+DATAOPS!O208+DATAOPS!Q208</f>
        <v>22</v>
      </c>
      <c r="E205" s="1">
        <f>+DATAOPS!W208</f>
        <v>140</v>
      </c>
      <c r="F205" s="1">
        <f>+DATAOPS!AA208</f>
        <v>2021</v>
      </c>
      <c r="G205" s="1" t="str">
        <f>+DATAOPS!D208</f>
        <v>BEBES</v>
      </c>
      <c r="H205" s="1">
        <f>+DATAOPS!AB208</f>
        <v>1</v>
      </c>
      <c r="I205" s="1">
        <f t="shared" si="6"/>
        <v>1330</v>
      </c>
      <c r="J205" s="1">
        <f t="shared" si="7"/>
        <v>3080</v>
      </c>
      <c r="K205" s="1">
        <f>+DATAOPS!O208*E205</f>
        <v>1400</v>
      </c>
      <c r="L205" s="1">
        <f>+(DATAOPS!N208+DATAOPS!O208+DATAOPS!Q208)*E205</f>
        <v>3080</v>
      </c>
    </row>
    <row r="206" spans="2:12" x14ac:dyDescent="0.3">
      <c r="B206" s="1" t="str">
        <f>+DATAOPS!C209</f>
        <v>KISSY KISSY</v>
      </c>
      <c r="C206" s="1">
        <f>+DATAOPS!M209</f>
        <v>11</v>
      </c>
      <c r="D206" s="1">
        <f>+DATAOPS!N209+DATAOPS!O209+DATAOPS!Q209</f>
        <v>26</v>
      </c>
      <c r="E206" s="1">
        <f>+DATAOPS!W209</f>
        <v>78</v>
      </c>
      <c r="F206" s="1">
        <f>+DATAOPS!AA209</f>
        <v>2021</v>
      </c>
      <c r="G206" s="1" t="str">
        <f>+DATAOPS!D209</f>
        <v>BEBES</v>
      </c>
      <c r="H206" s="1">
        <f>+DATAOPS!AB209</f>
        <v>1</v>
      </c>
      <c r="I206" s="1">
        <f t="shared" si="6"/>
        <v>858</v>
      </c>
      <c r="J206" s="1">
        <f t="shared" si="7"/>
        <v>2028</v>
      </c>
      <c r="K206" s="1">
        <f>+DATAOPS!O209*E206</f>
        <v>780</v>
      </c>
      <c r="L206" s="1">
        <f>+(DATAOPS!N209+DATAOPS!O209+DATAOPS!Q209)*E206</f>
        <v>2028</v>
      </c>
    </row>
    <row r="207" spans="2:12" x14ac:dyDescent="0.3">
      <c r="B207" s="1" t="str">
        <f>+DATAOPS!C210</f>
        <v>KISSY KISSY</v>
      </c>
      <c r="C207" s="1">
        <f>+DATAOPS!M210</f>
        <v>20</v>
      </c>
      <c r="D207" s="1">
        <f>+DATAOPS!N210+DATAOPS!O210+DATAOPS!Q210</f>
        <v>52</v>
      </c>
      <c r="E207" s="1">
        <f>+DATAOPS!W210</f>
        <v>232</v>
      </c>
      <c r="F207" s="1">
        <f>+DATAOPS!AA210</f>
        <v>2021</v>
      </c>
      <c r="G207" s="1" t="str">
        <f>+DATAOPS!D210</f>
        <v>BEBES</v>
      </c>
      <c r="H207" s="1">
        <f>+DATAOPS!AB210</f>
        <v>1</v>
      </c>
      <c r="I207" s="1">
        <f t="shared" si="6"/>
        <v>4640</v>
      </c>
      <c r="J207" s="1">
        <f t="shared" si="7"/>
        <v>12064</v>
      </c>
      <c r="K207" s="1">
        <f>+DATAOPS!O210*E207</f>
        <v>8352</v>
      </c>
      <c r="L207" s="1">
        <f>+(DATAOPS!N210+DATAOPS!O210+DATAOPS!Q210)*E207</f>
        <v>12064</v>
      </c>
    </row>
    <row r="208" spans="2:12" x14ac:dyDescent="0.3">
      <c r="B208" s="1" t="str">
        <f>+DATAOPS!C211</f>
        <v>KISSY KISSY</v>
      </c>
      <c r="C208" s="1">
        <f>+DATAOPS!M211</f>
        <v>20</v>
      </c>
      <c r="D208" s="1">
        <f>+DATAOPS!N211+DATAOPS!O211+DATAOPS!Q211</f>
        <v>52</v>
      </c>
      <c r="E208" s="1">
        <f>+DATAOPS!W211</f>
        <v>140</v>
      </c>
      <c r="F208" s="1">
        <f>+DATAOPS!AA211</f>
        <v>2021</v>
      </c>
      <c r="G208" s="1" t="str">
        <f>+DATAOPS!D211</f>
        <v>BEBES</v>
      </c>
      <c r="H208" s="1">
        <f>+DATAOPS!AB211</f>
        <v>1</v>
      </c>
      <c r="I208" s="1">
        <f t="shared" si="6"/>
        <v>2800</v>
      </c>
      <c r="J208" s="1">
        <f t="shared" si="7"/>
        <v>7280</v>
      </c>
      <c r="K208" s="1">
        <f>+DATAOPS!O211*E208</f>
        <v>5040</v>
      </c>
      <c r="L208" s="1">
        <f>+(DATAOPS!N211+DATAOPS!O211+DATAOPS!Q211)*E208</f>
        <v>7280</v>
      </c>
    </row>
    <row r="209" spans="2:12" x14ac:dyDescent="0.3">
      <c r="B209" s="1" t="str">
        <f>+DATAOPS!C212</f>
        <v>KISSY KISSY</v>
      </c>
      <c r="C209" s="1">
        <f>+DATAOPS!M212</f>
        <v>20</v>
      </c>
      <c r="D209" s="1">
        <f>+DATAOPS!N212+DATAOPS!O212+DATAOPS!Q212</f>
        <v>52</v>
      </c>
      <c r="E209" s="1">
        <f>+DATAOPS!W212</f>
        <v>82</v>
      </c>
      <c r="F209" s="1">
        <f>+DATAOPS!AA212</f>
        <v>2021</v>
      </c>
      <c r="G209" s="1" t="str">
        <f>+DATAOPS!D212</f>
        <v>BEBES</v>
      </c>
      <c r="H209" s="1">
        <f>+DATAOPS!AB212</f>
        <v>1</v>
      </c>
      <c r="I209" s="1">
        <f t="shared" si="6"/>
        <v>1640</v>
      </c>
      <c r="J209" s="1">
        <f t="shared" si="7"/>
        <v>4264</v>
      </c>
      <c r="K209" s="1">
        <f>+DATAOPS!O212*E209</f>
        <v>2952</v>
      </c>
      <c r="L209" s="1">
        <f>+(DATAOPS!N212+DATAOPS!O212+DATAOPS!Q212)*E209</f>
        <v>4264</v>
      </c>
    </row>
    <row r="210" spans="2:12" x14ac:dyDescent="0.3">
      <c r="B210" s="1" t="str">
        <f>+DATAOPS!C213</f>
        <v>KISSY KISSY</v>
      </c>
      <c r="C210" s="1">
        <f>+DATAOPS!M213</f>
        <v>20</v>
      </c>
      <c r="D210" s="1">
        <f>+DATAOPS!N213+DATAOPS!O213+DATAOPS!Q213</f>
        <v>52</v>
      </c>
      <c r="E210" s="1">
        <f>+DATAOPS!W213</f>
        <v>92</v>
      </c>
      <c r="F210" s="1">
        <f>+DATAOPS!AA213</f>
        <v>2021</v>
      </c>
      <c r="G210" s="1" t="str">
        <f>+DATAOPS!D213</f>
        <v>BEBES</v>
      </c>
      <c r="H210" s="1">
        <f>+DATAOPS!AB213</f>
        <v>1</v>
      </c>
      <c r="I210" s="1">
        <f t="shared" si="6"/>
        <v>1840</v>
      </c>
      <c r="J210" s="1">
        <f t="shared" si="7"/>
        <v>4784</v>
      </c>
      <c r="K210" s="1">
        <f>+DATAOPS!O213*E210</f>
        <v>3312</v>
      </c>
      <c r="L210" s="1">
        <f>+(DATAOPS!N213+DATAOPS!O213+DATAOPS!Q213)*E210</f>
        <v>4784</v>
      </c>
    </row>
    <row r="211" spans="2:12" x14ac:dyDescent="0.3">
      <c r="B211" s="1" t="str">
        <f>+DATAOPS!C214</f>
        <v>KISSY KISSY</v>
      </c>
      <c r="C211" s="1">
        <f>+DATAOPS!M214</f>
        <v>20</v>
      </c>
      <c r="D211" s="1">
        <f>+DATAOPS!N214+DATAOPS!O214+DATAOPS!Q214</f>
        <v>52</v>
      </c>
      <c r="E211" s="1">
        <f>+DATAOPS!W214</f>
        <v>110</v>
      </c>
      <c r="F211" s="1">
        <f>+DATAOPS!AA214</f>
        <v>2021</v>
      </c>
      <c r="G211" s="1" t="str">
        <f>+DATAOPS!D214</f>
        <v>BEBES</v>
      </c>
      <c r="H211" s="1">
        <f>+DATAOPS!AB214</f>
        <v>1</v>
      </c>
      <c r="I211" s="1">
        <f t="shared" si="6"/>
        <v>2200</v>
      </c>
      <c r="J211" s="1">
        <f t="shared" si="7"/>
        <v>5720</v>
      </c>
      <c r="K211" s="1">
        <f>+DATAOPS!O214*E211</f>
        <v>3960</v>
      </c>
      <c r="L211" s="1">
        <f>+(DATAOPS!N214+DATAOPS!O214+DATAOPS!Q214)*E211</f>
        <v>5720</v>
      </c>
    </row>
    <row r="212" spans="2:12" x14ac:dyDescent="0.3">
      <c r="B212" s="1" t="str">
        <f>+DATAOPS!C215</f>
        <v>KISSY KISSY</v>
      </c>
      <c r="C212" s="1">
        <f>+DATAOPS!M215</f>
        <v>18</v>
      </c>
      <c r="D212" s="1">
        <f>+DATAOPS!N215+DATAOPS!O215+DATAOPS!Q215</f>
        <v>44</v>
      </c>
      <c r="E212" s="1">
        <f>+DATAOPS!W215</f>
        <v>144</v>
      </c>
      <c r="F212" s="1">
        <f>+DATAOPS!AA215</f>
        <v>2021</v>
      </c>
      <c r="G212" s="1" t="str">
        <f>+DATAOPS!D215</f>
        <v>BEBES</v>
      </c>
      <c r="H212" s="1">
        <f>+DATAOPS!AB215</f>
        <v>1</v>
      </c>
      <c r="I212" s="1">
        <f t="shared" si="6"/>
        <v>2592</v>
      </c>
      <c r="J212" s="1">
        <f t="shared" si="7"/>
        <v>6336</v>
      </c>
      <c r="K212" s="1">
        <f>+DATAOPS!O215*E212</f>
        <v>4032</v>
      </c>
      <c r="L212" s="1">
        <f>+(DATAOPS!N215+DATAOPS!O215+DATAOPS!Q215)*E212</f>
        <v>6336</v>
      </c>
    </row>
    <row r="213" spans="2:12" x14ac:dyDescent="0.3">
      <c r="B213" s="1" t="str">
        <f>+DATAOPS!C216</f>
        <v>MARELLE</v>
      </c>
      <c r="C213" s="1">
        <f>+DATAOPS!M216</f>
        <v>25.2</v>
      </c>
      <c r="D213" s="1">
        <f>+DATAOPS!N216+DATAOPS!O216+DATAOPS!Q216</f>
        <v>49.6</v>
      </c>
      <c r="E213" s="1">
        <f>+DATAOPS!W216</f>
        <v>89</v>
      </c>
      <c r="F213" s="1">
        <f>+DATAOPS!AA216</f>
        <v>2021</v>
      </c>
      <c r="G213" s="1" t="str">
        <f>+DATAOPS!D216</f>
        <v>ROPA DORMIR</v>
      </c>
      <c r="H213" s="1">
        <f>+DATAOPS!AB216</f>
        <v>1</v>
      </c>
      <c r="I213" s="1">
        <f t="shared" si="6"/>
        <v>2242.7999999999997</v>
      </c>
      <c r="J213" s="1">
        <f t="shared" si="7"/>
        <v>4414.4000000000005</v>
      </c>
      <c r="K213" s="1">
        <f>+DATAOPS!O216*E213</f>
        <v>2848</v>
      </c>
      <c r="L213" s="1">
        <f>+(DATAOPS!N216+DATAOPS!O216+DATAOPS!Q216)*E213</f>
        <v>4414.4000000000005</v>
      </c>
    </row>
    <row r="214" spans="2:12" x14ac:dyDescent="0.3">
      <c r="B214" s="1" t="str">
        <f>+DATAOPS!C217</f>
        <v>MARELLE</v>
      </c>
      <c r="C214" s="1">
        <f>+DATAOPS!M217</f>
        <v>24.8</v>
      </c>
      <c r="D214" s="1">
        <f>+DATAOPS!N217+DATAOPS!O217+DATAOPS!Q217</f>
        <v>46.4</v>
      </c>
      <c r="E214" s="1">
        <f>+DATAOPS!W217</f>
        <v>86</v>
      </c>
      <c r="F214" s="1">
        <f>+DATAOPS!AA217</f>
        <v>2021</v>
      </c>
      <c r="G214" s="1" t="str">
        <f>+DATAOPS!D217</f>
        <v>ROPA DORMIR</v>
      </c>
      <c r="H214" s="1">
        <f>+DATAOPS!AB217</f>
        <v>1</v>
      </c>
      <c r="I214" s="1">
        <f t="shared" si="6"/>
        <v>2132.8000000000002</v>
      </c>
      <c r="J214" s="1">
        <f t="shared" si="7"/>
        <v>3990.4</v>
      </c>
      <c r="K214" s="1">
        <f>+DATAOPS!O217*E214</f>
        <v>2752</v>
      </c>
      <c r="L214" s="1">
        <f>+(DATAOPS!N217+DATAOPS!O217+DATAOPS!Q217)*E214</f>
        <v>3990.4</v>
      </c>
    </row>
    <row r="215" spans="2:12" x14ac:dyDescent="0.3">
      <c r="B215" s="1" t="str">
        <f>+DATAOPS!C218</f>
        <v>MARELLE</v>
      </c>
      <c r="C215" s="1">
        <f>+DATAOPS!M218</f>
        <v>21.9</v>
      </c>
      <c r="D215" s="1">
        <f>+DATAOPS!N218+DATAOPS!O218+DATAOPS!Q218</f>
        <v>47.2</v>
      </c>
      <c r="E215" s="1">
        <f>+DATAOPS!W218</f>
        <v>46</v>
      </c>
      <c r="F215" s="1">
        <f>+DATAOPS!AA218</f>
        <v>2021</v>
      </c>
      <c r="G215" s="1" t="str">
        <f>+DATAOPS!D218</f>
        <v>ROPA DORMIR</v>
      </c>
      <c r="H215" s="1">
        <f>+DATAOPS!AB218</f>
        <v>1</v>
      </c>
      <c r="I215" s="1">
        <f t="shared" si="6"/>
        <v>1007.4</v>
      </c>
      <c r="J215" s="1">
        <f t="shared" si="7"/>
        <v>2171.2000000000003</v>
      </c>
      <c r="K215" s="1">
        <f>+DATAOPS!O218*E215</f>
        <v>1472</v>
      </c>
      <c r="L215" s="1">
        <f>+(DATAOPS!N218+DATAOPS!O218+DATAOPS!Q218)*E215</f>
        <v>2171.2000000000003</v>
      </c>
    </row>
    <row r="216" spans="2:12" x14ac:dyDescent="0.3">
      <c r="B216" s="1" t="str">
        <f>+DATAOPS!C219</f>
        <v>MARELLE</v>
      </c>
      <c r="C216" s="1">
        <f>+DATAOPS!M219</f>
        <v>10.5</v>
      </c>
      <c r="D216" s="1">
        <f>+DATAOPS!N219+DATAOPS!O219+DATAOPS!Q219</f>
        <v>54</v>
      </c>
      <c r="E216" s="1">
        <f>+DATAOPS!W219</f>
        <v>210</v>
      </c>
      <c r="F216" s="1">
        <f>+DATAOPS!AA219</f>
        <v>2021</v>
      </c>
      <c r="G216" s="1" t="str">
        <f>+DATAOPS!D219</f>
        <v>ROPA DORMIR</v>
      </c>
      <c r="H216" s="1">
        <f>+DATAOPS!AB219</f>
        <v>1</v>
      </c>
      <c r="I216" s="1">
        <f t="shared" si="6"/>
        <v>2205</v>
      </c>
      <c r="J216" s="1">
        <f t="shared" si="7"/>
        <v>11340</v>
      </c>
      <c r="K216" s="1">
        <f>+DATAOPS!O219*E216</f>
        <v>6300</v>
      </c>
      <c r="L216" s="1">
        <f>+(DATAOPS!N219+DATAOPS!O219+DATAOPS!Q219)*E216</f>
        <v>11340</v>
      </c>
    </row>
    <row r="217" spans="2:12" x14ac:dyDescent="0.3">
      <c r="B217" s="1" t="str">
        <f>+DATAOPS!C220</f>
        <v>MARELLE</v>
      </c>
      <c r="C217" s="1">
        <f>+DATAOPS!M220</f>
        <v>16.5</v>
      </c>
      <c r="D217" s="1">
        <f>+DATAOPS!N220+DATAOPS!O220+DATAOPS!Q220</f>
        <v>92</v>
      </c>
      <c r="E217" s="1">
        <f>+DATAOPS!W220</f>
        <v>210</v>
      </c>
      <c r="F217" s="1">
        <f>+DATAOPS!AA220</f>
        <v>2021</v>
      </c>
      <c r="G217" s="1" t="str">
        <f>+DATAOPS!D220</f>
        <v>ROPA DORMIR</v>
      </c>
      <c r="H217" s="1">
        <f>+DATAOPS!AB220</f>
        <v>1</v>
      </c>
      <c r="I217" s="1">
        <f t="shared" si="6"/>
        <v>3465</v>
      </c>
      <c r="J217" s="1">
        <f t="shared" si="7"/>
        <v>19320</v>
      </c>
      <c r="K217" s="1">
        <f>+DATAOPS!O220*E217</f>
        <v>8400</v>
      </c>
      <c r="L217" s="1">
        <f>+(DATAOPS!N220+DATAOPS!O220+DATAOPS!Q220)*E217</f>
        <v>19320</v>
      </c>
    </row>
    <row r="218" spans="2:12" x14ac:dyDescent="0.3">
      <c r="B218" s="1" t="str">
        <f>+DATAOPS!C221</f>
        <v>MARELLE</v>
      </c>
      <c r="C218" s="1">
        <f>+DATAOPS!M221</f>
        <v>15.8</v>
      </c>
      <c r="D218" s="1">
        <f>+DATAOPS!N221+DATAOPS!O221+DATAOPS!Q221</f>
        <v>74.400000000000006</v>
      </c>
      <c r="E218" s="1">
        <f>+DATAOPS!W221</f>
        <v>90</v>
      </c>
      <c r="F218" s="1">
        <f>+DATAOPS!AA221</f>
        <v>2021</v>
      </c>
      <c r="G218" s="1" t="str">
        <f>+DATAOPS!D221</f>
        <v>ROPA DORMIR</v>
      </c>
      <c r="H218" s="1">
        <f>+DATAOPS!AB221</f>
        <v>1</v>
      </c>
      <c r="I218" s="1">
        <f t="shared" si="6"/>
        <v>1422</v>
      </c>
      <c r="J218" s="1">
        <f t="shared" si="7"/>
        <v>6696.0000000000009</v>
      </c>
      <c r="K218" s="1">
        <f>+DATAOPS!O221*E218</f>
        <v>4680</v>
      </c>
      <c r="L218" s="1">
        <f>+(DATAOPS!N221+DATAOPS!O221+DATAOPS!Q221)*E218</f>
        <v>6696.0000000000009</v>
      </c>
    </row>
    <row r="219" spans="2:12" x14ac:dyDescent="0.3">
      <c r="B219" s="1" t="str">
        <f>+DATAOPS!C222</f>
        <v>FASHION VIEWS</v>
      </c>
      <c r="C219" s="1">
        <f>+DATAOPS!M222</f>
        <v>13.3</v>
      </c>
      <c r="D219" s="1">
        <f>+DATAOPS!N222+DATAOPS!O222+DATAOPS!Q222</f>
        <v>64.400000000000006</v>
      </c>
      <c r="E219" s="1">
        <f>+DATAOPS!W222</f>
        <v>72</v>
      </c>
      <c r="F219" s="1">
        <f>+DATAOPS!AA222</f>
        <v>2021</v>
      </c>
      <c r="G219" s="1" t="str">
        <f>+DATAOPS!D222</f>
        <v>ROPA DORMIR</v>
      </c>
      <c r="H219" s="1">
        <f>+DATAOPS!AB222</f>
        <v>1</v>
      </c>
      <c r="I219" s="1">
        <f t="shared" si="6"/>
        <v>957.6</v>
      </c>
      <c r="J219" s="1">
        <f t="shared" si="7"/>
        <v>4636.8</v>
      </c>
      <c r="K219" s="1">
        <f>+DATAOPS!O222*E219</f>
        <v>3024</v>
      </c>
      <c r="L219" s="1">
        <f>+(DATAOPS!N222+DATAOPS!O222+DATAOPS!Q222)*E219</f>
        <v>4636.8</v>
      </c>
    </row>
    <row r="220" spans="2:12" x14ac:dyDescent="0.3">
      <c r="B220" s="1" t="str">
        <f>+DATAOPS!C223</f>
        <v>FASHION VIEWS</v>
      </c>
      <c r="C220" s="1">
        <f>+DATAOPS!M223</f>
        <v>12</v>
      </c>
      <c r="D220" s="1">
        <f>+DATAOPS!N223+DATAOPS!O223+DATAOPS!Q223</f>
        <v>56</v>
      </c>
      <c r="E220" s="1">
        <f>+DATAOPS!W223</f>
        <v>112</v>
      </c>
      <c r="F220" s="1">
        <f>+DATAOPS!AA223</f>
        <v>2021</v>
      </c>
      <c r="G220" s="1" t="str">
        <f>+DATAOPS!D223</f>
        <v>ROPA DORMIR</v>
      </c>
      <c r="H220" s="1">
        <f>+DATAOPS!AB223</f>
        <v>1</v>
      </c>
      <c r="I220" s="1">
        <f t="shared" si="6"/>
        <v>1344</v>
      </c>
      <c r="J220" s="1">
        <f t="shared" si="7"/>
        <v>6272</v>
      </c>
      <c r="K220" s="1">
        <f>+DATAOPS!O223*E220</f>
        <v>4480</v>
      </c>
      <c r="L220" s="1">
        <f>+(DATAOPS!N223+DATAOPS!O223+DATAOPS!Q223)*E220</f>
        <v>6272</v>
      </c>
    </row>
    <row r="221" spans="2:12" x14ac:dyDescent="0.3">
      <c r="B221" s="1" t="str">
        <f>+DATAOPS!C224</f>
        <v>MARELLE</v>
      </c>
      <c r="C221" s="1">
        <f>+DATAOPS!M224</f>
        <v>11</v>
      </c>
      <c r="D221" s="1">
        <f>+DATAOPS!N224+DATAOPS!O224+DATAOPS!Q224</f>
        <v>58</v>
      </c>
      <c r="E221" s="1">
        <f>+DATAOPS!W224</f>
        <v>81</v>
      </c>
      <c r="F221" s="1">
        <f>+DATAOPS!AA224</f>
        <v>2021</v>
      </c>
      <c r="G221" s="1" t="str">
        <f>+DATAOPS!D224</f>
        <v>ROPA DORMIR</v>
      </c>
      <c r="H221" s="1">
        <f>+DATAOPS!AB224</f>
        <v>1</v>
      </c>
      <c r="I221" s="1">
        <f t="shared" si="6"/>
        <v>891</v>
      </c>
      <c r="J221" s="1">
        <f t="shared" si="7"/>
        <v>4698</v>
      </c>
      <c r="K221" s="1">
        <f>+DATAOPS!O224*E221</f>
        <v>2430</v>
      </c>
      <c r="L221" s="1">
        <f>+(DATAOPS!N224+DATAOPS!O224+DATAOPS!Q224)*E221</f>
        <v>4698</v>
      </c>
    </row>
    <row r="222" spans="2:12" x14ac:dyDescent="0.3">
      <c r="B222" s="1" t="str">
        <f>+DATAOPS!C225</f>
        <v>MARELLE</v>
      </c>
      <c r="C222" s="1">
        <f>+DATAOPS!M225</f>
        <v>14.3</v>
      </c>
      <c r="D222" s="1">
        <f>+DATAOPS!N225+DATAOPS!O225+DATAOPS!Q225</f>
        <v>45.2</v>
      </c>
      <c r="E222" s="1">
        <f>+DATAOPS!W225</f>
        <v>80</v>
      </c>
      <c r="F222" s="1">
        <f>+DATAOPS!AA225</f>
        <v>2021</v>
      </c>
      <c r="G222" s="1" t="str">
        <f>+DATAOPS!D225</f>
        <v>ROPA DORMIR</v>
      </c>
      <c r="H222" s="1">
        <f>+DATAOPS!AB225</f>
        <v>1</v>
      </c>
      <c r="I222" s="1">
        <f t="shared" si="6"/>
        <v>1144</v>
      </c>
      <c r="J222" s="1">
        <f t="shared" si="7"/>
        <v>3616</v>
      </c>
      <c r="K222" s="1">
        <f>+DATAOPS!O225*E222</f>
        <v>2016</v>
      </c>
      <c r="L222" s="1">
        <f>+(DATAOPS!N225+DATAOPS!O225+DATAOPS!Q225)*E222</f>
        <v>3616</v>
      </c>
    </row>
    <row r="223" spans="2:12" x14ac:dyDescent="0.3">
      <c r="B223" s="1" t="str">
        <f>+DATAOPS!C226</f>
        <v>MARELLE</v>
      </c>
      <c r="C223" s="1">
        <f>+DATAOPS!M226</f>
        <v>6.8</v>
      </c>
      <c r="D223" s="1">
        <f>+DATAOPS!N226+DATAOPS!O226+DATAOPS!Q226</f>
        <v>34.4</v>
      </c>
      <c r="E223" s="1">
        <f>+DATAOPS!W226</f>
        <v>80</v>
      </c>
      <c r="F223" s="1">
        <f>+DATAOPS!AA226</f>
        <v>2021</v>
      </c>
      <c r="G223" s="1" t="str">
        <f>+DATAOPS!D226</f>
        <v>ROPA DORMIR</v>
      </c>
      <c r="H223" s="1">
        <f>+DATAOPS!AB226</f>
        <v>1</v>
      </c>
      <c r="I223" s="1">
        <f t="shared" si="6"/>
        <v>544</v>
      </c>
      <c r="J223" s="1">
        <f t="shared" si="7"/>
        <v>2752</v>
      </c>
      <c r="K223" s="1">
        <f>+DATAOPS!O226*E223</f>
        <v>1600</v>
      </c>
      <c r="L223" s="1">
        <f>+(DATAOPS!N226+DATAOPS!O226+DATAOPS!Q226)*E223</f>
        <v>2752</v>
      </c>
    </row>
    <row r="224" spans="2:12" x14ac:dyDescent="0.3">
      <c r="B224" s="1" t="str">
        <f>+DATAOPS!C227</f>
        <v>MARELLE</v>
      </c>
      <c r="C224" s="1">
        <f>+DATAOPS!M227</f>
        <v>13.8</v>
      </c>
      <c r="D224" s="1">
        <f>+DATAOPS!N227+DATAOPS!O227+DATAOPS!Q227</f>
        <v>66.400000000000006</v>
      </c>
      <c r="E224" s="1">
        <f>+DATAOPS!W227</f>
        <v>45</v>
      </c>
      <c r="F224" s="1">
        <f>+DATAOPS!AA227</f>
        <v>2021</v>
      </c>
      <c r="G224" s="1" t="str">
        <f>+DATAOPS!D227</f>
        <v>ROPA DORMIR</v>
      </c>
      <c r="H224" s="1">
        <f>+DATAOPS!AB227</f>
        <v>1</v>
      </c>
      <c r="I224" s="1">
        <f t="shared" si="6"/>
        <v>621</v>
      </c>
      <c r="J224" s="1">
        <f t="shared" si="7"/>
        <v>2988.0000000000005</v>
      </c>
      <c r="K224" s="1">
        <f>+DATAOPS!O227*E224</f>
        <v>1980</v>
      </c>
      <c r="L224" s="1">
        <f>+(DATAOPS!N227+DATAOPS!O227+DATAOPS!Q227)*E224</f>
        <v>2988.0000000000005</v>
      </c>
    </row>
    <row r="225" spans="2:12" x14ac:dyDescent="0.3">
      <c r="B225" s="1" t="str">
        <f>+DATAOPS!C228</f>
        <v>MARELLE</v>
      </c>
      <c r="C225" s="1">
        <f>+DATAOPS!M228</f>
        <v>10.6</v>
      </c>
      <c r="D225" s="1">
        <f>+DATAOPS!N228+DATAOPS!O228+DATAOPS!Q228</f>
        <v>53.6</v>
      </c>
      <c r="E225" s="1">
        <f>+DATAOPS!W228</f>
        <v>91</v>
      </c>
      <c r="F225" s="1">
        <f>+DATAOPS!AA228</f>
        <v>2021</v>
      </c>
      <c r="G225" s="1" t="str">
        <f>+DATAOPS!D228</f>
        <v>ROPA DORMIR</v>
      </c>
      <c r="H225" s="1">
        <f>+DATAOPS!AB228</f>
        <v>1</v>
      </c>
      <c r="I225" s="1">
        <f t="shared" si="6"/>
        <v>964.6</v>
      </c>
      <c r="J225" s="1">
        <f t="shared" si="7"/>
        <v>4877.6000000000004</v>
      </c>
      <c r="K225" s="1">
        <f>+DATAOPS!O228*E225</f>
        <v>2839.2</v>
      </c>
      <c r="L225" s="1">
        <f>+(DATAOPS!N228+DATAOPS!O228+DATAOPS!Q228)*E225</f>
        <v>4877.6000000000004</v>
      </c>
    </row>
    <row r="226" spans="2:12" x14ac:dyDescent="0.3">
      <c r="B226" s="1" t="str">
        <f>+DATAOPS!C229</f>
        <v>KISSY KISSY</v>
      </c>
      <c r="C226" s="1">
        <f>+DATAOPS!M229</f>
        <v>9.5</v>
      </c>
      <c r="D226" s="1">
        <f>+DATAOPS!N229+DATAOPS!O229+DATAOPS!Q229</f>
        <v>22</v>
      </c>
      <c r="E226" s="1">
        <f>+DATAOPS!W229</f>
        <v>90</v>
      </c>
      <c r="F226" s="1">
        <f>+DATAOPS!AA229</f>
        <v>2021</v>
      </c>
      <c r="G226" s="1" t="str">
        <f>+DATAOPS!D229</f>
        <v>BEBES</v>
      </c>
      <c r="H226" s="1">
        <f>+DATAOPS!AB229</f>
        <v>2</v>
      </c>
      <c r="I226" s="1">
        <f t="shared" si="6"/>
        <v>855</v>
      </c>
      <c r="J226" s="1">
        <f t="shared" si="7"/>
        <v>1980</v>
      </c>
      <c r="K226" s="1">
        <f>+DATAOPS!O229*E226</f>
        <v>900</v>
      </c>
      <c r="L226" s="1">
        <f>+(DATAOPS!N229+DATAOPS!O229+DATAOPS!Q229)*E226</f>
        <v>1980</v>
      </c>
    </row>
    <row r="227" spans="2:12" x14ac:dyDescent="0.3">
      <c r="B227" s="1" t="str">
        <f>+DATAOPS!C230</f>
        <v>KISSY KISSY</v>
      </c>
      <c r="C227" s="1">
        <f>+DATAOPS!M230</f>
        <v>9.5</v>
      </c>
      <c r="D227" s="1">
        <f>+DATAOPS!N230+DATAOPS!O230+DATAOPS!Q230</f>
        <v>22</v>
      </c>
      <c r="E227" s="1">
        <f>+DATAOPS!W230</f>
        <v>142</v>
      </c>
      <c r="F227" s="1">
        <f>+DATAOPS!AA230</f>
        <v>2021</v>
      </c>
      <c r="G227" s="1" t="str">
        <f>+DATAOPS!D230</f>
        <v>BEBES</v>
      </c>
      <c r="H227" s="1">
        <f>+DATAOPS!AB230</f>
        <v>2</v>
      </c>
      <c r="I227" s="1">
        <f t="shared" si="6"/>
        <v>1349</v>
      </c>
      <c r="J227" s="1">
        <f t="shared" si="7"/>
        <v>3124</v>
      </c>
      <c r="K227" s="1">
        <f>+DATAOPS!O230*E227</f>
        <v>1420</v>
      </c>
      <c r="L227" s="1">
        <f>+(DATAOPS!N230+DATAOPS!O230+DATAOPS!Q230)*E227</f>
        <v>3124</v>
      </c>
    </row>
    <row r="228" spans="2:12" x14ac:dyDescent="0.3">
      <c r="B228" s="1" t="str">
        <f>+DATAOPS!C231</f>
        <v>KISSY KISSY</v>
      </c>
      <c r="C228" s="1">
        <f>+DATAOPS!M231</f>
        <v>15.7</v>
      </c>
      <c r="D228" s="1">
        <f>+DATAOPS!N231+DATAOPS!O231+DATAOPS!Q231</f>
        <v>42.8</v>
      </c>
      <c r="E228" s="1">
        <f>+DATAOPS!W231</f>
        <v>46</v>
      </c>
      <c r="F228" s="1">
        <f>+DATAOPS!AA231</f>
        <v>2021</v>
      </c>
      <c r="G228" s="1" t="str">
        <f>+DATAOPS!D231</f>
        <v>BEBES</v>
      </c>
      <c r="H228" s="1">
        <f>+DATAOPS!AB231</f>
        <v>2</v>
      </c>
      <c r="I228" s="1">
        <f t="shared" si="6"/>
        <v>722.19999999999993</v>
      </c>
      <c r="J228" s="1">
        <f t="shared" si="7"/>
        <v>1968.8</v>
      </c>
      <c r="K228" s="1">
        <f>+DATAOPS!O231*E228</f>
        <v>864.80000000000007</v>
      </c>
      <c r="L228" s="1">
        <f>+(DATAOPS!N231+DATAOPS!O231+DATAOPS!Q231)*E228</f>
        <v>1968.8</v>
      </c>
    </row>
    <row r="229" spans="2:12" x14ac:dyDescent="0.3">
      <c r="B229" s="1" t="str">
        <f>+DATAOPS!C232</f>
        <v>KISSY KISSY</v>
      </c>
      <c r="C229" s="1">
        <f>+DATAOPS!M232</f>
        <v>21</v>
      </c>
      <c r="D229" s="1">
        <f>+DATAOPS!N232+DATAOPS!O232+DATAOPS!Q232</f>
        <v>60</v>
      </c>
      <c r="E229" s="1">
        <f>+DATAOPS!W232</f>
        <v>310</v>
      </c>
      <c r="F229" s="1">
        <f>+DATAOPS!AA232</f>
        <v>2021</v>
      </c>
      <c r="G229" s="1" t="str">
        <f>+DATAOPS!D232</f>
        <v>BEBES</v>
      </c>
      <c r="H229" s="1">
        <f>+DATAOPS!AB232</f>
        <v>2</v>
      </c>
      <c r="I229" s="1">
        <f t="shared" si="6"/>
        <v>6510</v>
      </c>
      <c r="J229" s="1">
        <f t="shared" si="7"/>
        <v>18600</v>
      </c>
      <c r="K229" s="1">
        <f>+DATAOPS!O232*E229</f>
        <v>11160</v>
      </c>
      <c r="L229" s="1">
        <f>+(DATAOPS!N232+DATAOPS!O232+DATAOPS!Q232)*E229</f>
        <v>18600</v>
      </c>
    </row>
    <row r="230" spans="2:12" x14ac:dyDescent="0.3">
      <c r="B230" s="1" t="str">
        <f>+DATAOPS!C233</f>
        <v>KISSY KISSY</v>
      </c>
      <c r="C230" s="1">
        <f>+DATAOPS!M233</f>
        <v>21</v>
      </c>
      <c r="D230" s="1">
        <f>+DATAOPS!N233+DATAOPS!O233+DATAOPS!Q233</f>
        <v>60</v>
      </c>
      <c r="E230" s="1">
        <f>+DATAOPS!W233</f>
        <v>88</v>
      </c>
      <c r="F230" s="1">
        <f>+DATAOPS!AA233</f>
        <v>2021</v>
      </c>
      <c r="G230" s="1" t="str">
        <f>+DATAOPS!D233</f>
        <v>BEBES</v>
      </c>
      <c r="H230" s="1">
        <f>+DATAOPS!AB233</f>
        <v>2</v>
      </c>
      <c r="I230" s="1">
        <f t="shared" si="6"/>
        <v>1848</v>
      </c>
      <c r="J230" s="1">
        <f t="shared" si="7"/>
        <v>5280</v>
      </c>
      <c r="K230" s="1">
        <f>+DATAOPS!O233*E230</f>
        <v>3168</v>
      </c>
      <c r="L230" s="1">
        <f>+(DATAOPS!N233+DATAOPS!O233+DATAOPS!Q233)*E230</f>
        <v>5280</v>
      </c>
    </row>
    <row r="231" spans="2:12" x14ac:dyDescent="0.3">
      <c r="B231" s="1" t="str">
        <f>+DATAOPS!C234</f>
        <v>KISSY KISSY</v>
      </c>
      <c r="C231" s="1">
        <f>+DATAOPS!M234</f>
        <v>21.5</v>
      </c>
      <c r="D231" s="1">
        <f>+DATAOPS!N234+DATAOPS!O234+DATAOPS!Q234</f>
        <v>62</v>
      </c>
      <c r="E231" s="1">
        <f>+DATAOPS!W234</f>
        <v>226</v>
      </c>
      <c r="F231" s="1">
        <f>+DATAOPS!AA234</f>
        <v>2021</v>
      </c>
      <c r="G231" s="1" t="str">
        <f>+DATAOPS!D234</f>
        <v>BEBES</v>
      </c>
      <c r="H231" s="1">
        <f>+DATAOPS!AB234</f>
        <v>2</v>
      </c>
      <c r="I231" s="1">
        <f t="shared" si="6"/>
        <v>4859</v>
      </c>
      <c r="J231" s="1">
        <f t="shared" si="7"/>
        <v>14012</v>
      </c>
      <c r="K231" s="1">
        <f>+DATAOPS!O234*E231</f>
        <v>8588</v>
      </c>
      <c r="L231" s="1">
        <f>+(DATAOPS!N234+DATAOPS!O234+DATAOPS!Q234)*E231</f>
        <v>14012</v>
      </c>
    </row>
    <row r="232" spans="2:12" x14ac:dyDescent="0.3">
      <c r="B232" s="1" t="str">
        <f>+DATAOPS!C235</f>
        <v>KISSY KISSY</v>
      </c>
      <c r="C232" s="1">
        <f>+DATAOPS!M235</f>
        <v>19</v>
      </c>
      <c r="D232" s="1">
        <f>+DATAOPS!N235+DATAOPS!O235+DATAOPS!Q235</f>
        <v>52</v>
      </c>
      <c r="E232" s="1">
        <f>+DATAOPS!W235</f>
        <v>158</v>
      </c>
      <c r="F232" s="1">
        <f>+DATAOPS!AA235</f>
        <v>2021</v>
      </c>
      <c r="G232" s="1" t="str">
        <f>+DATAOPS!D235</f>
        <v>BEBES</v>
      </c>
      <c r="H232" s="1">
        <f>+DATAOPS!AB235</f>
        <v>2</v>
      </c>
      <c r="I232" s="1">
        <f t="shared" si="6"/>
        <v>3002</v>
      </c>
      <c r="J232" s="1">
        <f t="shared" si="7"/>
        <v>8216</v>
      </c>
      <c r="K232" s="1">
        <f>+DATAOPS!O235*E232</f>
        <v>4424</v>
      </c>
      <c r="L232" s="1">
        <f>+(DATAOPS!N235+DATAOPS!O235+DATAOPS!Q235)*E232</f>
        <v>8216</v>
      </c>
    </row>
    <row r="233" spans="2:12" x14ac:dyDescent="0.3">
      <c r="B233" s="1" t="str">
        <f>+DATAOPS!C236</f>
        <v>KISSY KISSY</v>
      </c>
      <c r="C233" s="1">
        <f>+DATAOPS!M236</f>
        <v>8.5</v>
      </c>
      <c r="D233" s="1">
        <f>+DATAOPS!N236+DATAOPS!O236+DATAOPS!Q236</f>
        <v>22</v>
      </c>
      <c r="E233" s="1">
        <f>+DATAOPS!W236</f>
        <v>90</v>
      </c>
      <c r="F233" s="1">
        <f>+DATAOPS!AA236</f>
        <v>2021</v>
      </c>
      <c r="G233" s="1" t="str">
        <f>+DATAOPS!D236</f>
        <v>BEBES</v>
      </c>
      <c r="H233" s="1">
        <f>+DATAOPS!AB236</f>
        <v>2</v>
      </c>
      <c r="I233" s="1">
        <f t="shared" si="6"/>
        <v>765</v>
      </c>
      <c r="J233" s="1">
        <f t="shared" si="7"/>
        <v>1980</v>
      </c>
      <c r="K233" s="1">
        <f>+DATAOPS!O236*E233</f>
        <v>900</v>
      </c>
      <c r="L233" s="1">
        <f>+(DATAOPS!N236+DATAOPS!O236+DATAOPS!Q236)*E233</f>
        <v>1980</v>
      </c>
    </row>
    <row r="234" spans="2:12" x14ac:dyDescent="0.3">
      <c r="B234" s="1" t="str">
        <f>+DATAOPS!C237</f>
        <v>KISSY KISSY</v>
      </c>
      <c r="C234" s="1">
        <f>+DATAOPS!M237</f>
        <v>8</v>
      </c>
      <c r="D234" s="1">
        <f>+DATAOPS!N237+DATAOPS!O237+DATAOPS!Q237</f>
        <v>20</v>
      </c>
      <c r="E234" s="1">
        <f>+DATAOPS!W237</f>
        <v>164</v>
      </c>
      <c r="F234" s="1">
        <f>+DATAOPS!AA237</f>
        <v>2021</v>
      </c>
      <c r="G234" s="1" t="str">
        <f>+DATAOPS!D237</f>
        <v>BEBES</v>
      </c>
      <c r="H234" s="1">
        <f>+DATAOPS!AB237</f>
        <v>2</v>
      </c>
      <c r="I234" s="1">
        <f t="shared" si="6"/>
        <v>1312</v>
      </c>
      <c r="J234" s="1">
        <f t="shared" si="7"/>
        <v>3280</v>
      </c>
      <c r="K234" s="1">
        <f>+DATAOPS!O237*E234</f>
        <v>1312</v>
      </c>
      <c r="L234" s="1">
        <f>+(DATAOPS!N237+DATAOPS!O237+DATAOPS!Q237)*E234</f>
        <v>3280</v>
      </c>
    </row>
    <row r="235" spans="2:12" x14ac:dyDescent="0.3">
      <c r="B235" s="1" t="str">
        <f>+DATAOPS!C238</f>
        <v>KISSY KISSY</v>
      </c>
      <c r="C235" s="1">
        <f>+DATAOPS!M238</f>
        <v>11.3</v>
      </c>
      <c r="D235" s="1">
        <f>+DATAOPS!N238+DATAOPS!O238+DATAOPS!Q238</f>
        <v>30.4</v>
      </c>
      <c r="E235" s="1">
        <f>+DATAOPS!W238</f>
        <v>96</v>
      </c>
      <c r="F235" s="1">
        <f>+DATAOPS!AA238</f>
        <v>2021</v>
      </c>
      <c r="G235" s="1" t="str">
        <f>+DATAOPS!D238</f>
        <v>BEBES</v>
      </c>
      <c r="H235" s="1">
        <f>+DATAOPS!AB238</f>
        <v>2</v>
      </c>
      <c r="I235" s="1">
        <f t="shared" si="6"/>
        <v>1084.8000000000002</v>
      </c>
      <c r="J235" s="1">
        <f t="shared" si="7"/>
        <v>2918.3999999999996</v>
      </c>
      <c r="K235" s="1">
        <f>+DATAOPS!O238*E235</f>
        <v>1536</v>
      </c>
      <c r="L235" s="1">
        <f>+(DATAOPS!N238+DATAOPS!O238+DATAOPS!Q238)*E235</f>
        <v>2918.3999999999996</v>
      </c>
    </row>
    <row r="236" spans="2:12" x14ac:dyDescent="0.3">
      <c r="B236" s="1" t="str">
        <f>+DATAOPS!C239</f>
        <v>KISSY KISSY</v>
      </c>
      <c r="C236" s="1">
        <f>+DATAOPS!M239</f>
        <v>17.7</v>
      </c>
      <c r="D236" s="1">
        <f>+DATAOPS!N239+DATAOPS!O239+DATAOPS!Q239</f>
        <v>42.8</v>
      </c>
      <c r="E236" s="1">
        <f>+DATAOPS!W239</f>
        <v>104</v>
      </c>
      <c r="F236" s="1">
        <f>+DATAOPS!AA239</f>
        <v>2021</v>
      </c>
      <c r="G236" s="1" t="str">
        <f>+DATAOPS!D239</f>
        <v>BEBES</v>
      </c>
      <c r="H236" s="1">
        <f>+DATAOPS!AB239</f>
        <v>2</v>
      </c>
      <c r="I236" s="1">
        <f t="shared" si="6"/>
        <v>1840.8</v>
      </c>
      <c r="J236" s="1">
        <f t="shared" si="7"/>
        <v>4451.2</v>
      </c>
      <c r="K236" s="1">
        <f>+DATAOPS!O239*E236</f>
        <v>1955.2</v>
      </c>
      <c r="L236" s="1">
        <f>+(DATAOPS!N239+DATAOPS!O239+DATAOPS!Q239)*E236</f>
        <v>4451.2</v>
      </c>
    </row>
    <row r="237" spans="2:12" x14ac:dyDescent="0.3">
      <c r="B237" s="1" t="str">
        <f>+DATAOPS!C240</f>
        <v>KISSY KISSY</v>
      </c>
      <c r="C237" s="1">
        <f>+DATAOPS!M240</f>
        <v>23.5</v>
      </c>
      <c r="D237" s="1">
        <f>+DATAOPS!N240+DATAOPS!O240+DATAOPS!Q240</f>
        <v>66</v>
      </c>
      <c r="E237" s="1">
        <f>+DATAOPS!W240</f>
        <v>301</v>
      </c>
      <c r="F237" s="1">
        <f>+DATAOPS!AA240</f>
        <v>2021</v>
      </c>
      <c r="G237" s="1" t="str">
        <f>+DATAOPS!D240</f>
        <v>BEBES</v>
      </c>
      <c r="H237" s="1">
        <f>+DATAOPS!AB240</f>
        <v>2</v>
      </c>
      <c r="I237" s="1">
        <f t="shared" si="6"/>
        <v>7073.5</v>
      </c>
      <c r="J237" s="1">
        <f t="shared" si="7"/>
        <v>19866</v>
      </c>
      <c r="K237" s="1">
        <f>+DATAOPS!O240*E237</f>
        <v>12642</v>
      </c>
      <c r="L237" s="1">
        <f>+(DATAOPS!N240+DATAOPS!O240+DATAOPS!Q240)*E237</f>
        <v>19866</v>
      </c>
    </row>
    <row r="238" spans="2:12" x14ac:dyDescent="0.3">
      <c r="B238" s="1" t="str">
        <f>+DATAOPS!C241</f>
        <v>KISSY KISSY</v>
      </c>
      <c r="C238" s="1">
        <f>+DATAOPS!M241</f>
        <v>24</v>
      </c>
      <c r="D238" s="1">
        <f>+DATAOPS!N241+DATAOPS!O241+DATAOPS!Q241</f>
        <v>68</v>
      </c>
      <c r="E238" s="1">
        <f>+DATAOPS!W241</f>
        <v>330</v>
      </c>
      <c r="F238" s="1">
        <f>+DATAOPS!AA241</f>
        <v>2021</v>
      </c>
      <c r="G238" s="1" t="str">
        <f>+DATAOPS!D241</f>
        <v>BEBES</v>
      </c>
      <c r="H238" s="1">
        <f>+DATAOPS!AB241</f>
        <v>2</v>
      </c>
      <c r="I238" s="1">
        <f t="shared" si="6"/>
        <v>7920</v>
      </c>
      <c r="J238" s="1">
        <f t="shared" si="7"/>
        <v>22440</v>
      </c>
      <c r="K238" s="1">
        <f>+DATAOPS!O241*E238</f>
        <v>14520</v>
      </c>
      <c r="L238" s="1">
        <f>+(DATAOPS!N241+DATAOPS!O241+DATAOPS!Q241)*E238</f>
        <v>22440</v>
      </c>
    </row>
    <row r="239" spans="2:12" x14ac:dyDescent="0.3">
      <c r="B239" s="1" t="str">
        <f>+DATAOPS!C242</f>
        <v>KISSY KISSY</v>
      </c>
      <c r="C239" s="1">
        <f>+DATAOPS!M242</f>
        <v>22.3</v>
      </c>
      <c r="D239" s="1">
        <f>+DATAOPS!N242+DATAOPS!O242+DATAOPS!Q242</f>
        <v>61.2</v>
      </c>
      <c r="E239" s="1">
        <f>+DATAOPS!W242</f>
        <v>134</v>
      </c>
      <c r="F239" s="1">
        <f>+DATAOPS!AA242</f>
        <v>2021</v>
      </c>
      <c r="G239" s="1" t="str">
        <f>+DATAOPS!D242</f>
        <v>BEBES</v>
      </c>
      <c r="H239" s="1">
        <f>+DATAOPS!AB242</f>
        <v>2</v>
      </c>
      <c r="I239" s="1">
        <f t="shared" si="6"/>
        <v>2988.2000000000003</v>
      </c>
      <c r="J239" s="1">
        <f t="shared" si="7"/>
        <v>8200.8000000000011</v>
      </c>
      <c r="K239" s="1">
        <f>+DATAOPS!O242*E239</f>
        <v>4984.8</v>
      </c>
      <c r="L239" s="1">
        <f>+(DATAOPS!N242+DATAOPS!O242+DATAOPS!Q242)*E239</f>
        <v>8200.8000000000011</v>
      </c>
    </row>
    <row r="240" spans="2:12" x14ac:dyDescent="0.3">
      <c r="B240" s="1" t="str">
        <f>+DATAOPS!C243</f>
        <v>KISSY KISSY</v>
      </c>
      <c r="C240" s="1">
        <f>+DATAOPS!M243</f>
        <v>21.5</v>
      </c>
      <c r="D240" s="1">
        <f>+DATAOPS!N243+DATAOPS!O243+DATAOPS!Q243</f>
        <v>58</v>
      </c>
      <c r="E240" s="1">
        <f>+DATAOPS!W243</f>
        <v>210</v>
      </c>
      <c r="F240" s="1">
        <f>+DATAOPS!AA243</f>
        <v>2021</v>
      </c>
      <c r="G240" s="1" t="str">
        <f>+DATAOPS!D243</f>
        <v>BEBES</v>
      </c>
      <c r="H240" s="1">
        <f>+DATAOPS!AB243</f>
        <v>2</v>
      </c>
      <c r="I240" s="1">
        <f t="shared" si="6"/>
        <v>4515</v>
      </c>
      <c r="J240" s="1">
        <f t="shared" si="7"/>
        <v>12180</v>
      </c>
      <c r="K240" s="1">
        <f>+DATAOPS!O243*E240</f>
        <v>7140</v>
      </c>
      <c r="L240" s="1">
        <f>+(DATAOPS!N243+DATAOPS!O243+DATAOPS!Q243)*E240</f>
        <v>12180</v>
      </c>
    </row>
    <row r="241" spans="2:12" x14ac:dyDescent="0.3">
      <c r="B241" s="1" t="str">
        <f>+DATAOPS!C244</f>
        <v>FASHION VIEWS</v>
      </c>
      <c r="C241" s="1">
        <f>+DATAOPS!M244</f>
        <v>12.5</v>
      </c>
      <c r="D241" s="1">
        <f>+DATAOPS!N244+DATAOPS!O244+DATAOPS!Q244</f>
        <v>60</v>
      </c>
      <c r="E241" s="1">
        <f>+DATAOPS!W244</f>
        <v>86</v>
      </c>
      <c r="F241" s="1">
        <f>+DATAOPS!AA244</f>
        <v>2021</v>
      </c>
      <c r="G241" s="1" t="str">
        <f>+DATAOPS!D244</f>
        <v>ROPA DORMIR</v>
      </c>
      <c r="H241" s="1">
        <f>+DATAOPS!AB244</f>
        <v>2</v>
      </c>
      <c r="I241" s="1">
        <f t="shared" si="6"/>
        <v>1075</v>
      </c>
      <c r="J241" s="1">
        <f t="shared" si="7"/>
        <v>5160</v>
      </c>
      <c r="K241" s="1">
        <f>+DATAOPS!O244*E241</f>
        <v>3440</v>
      </c>
      <c r="L241" s="1">
        <f>+(DATAOPS!N244+DATAOPS!O244+DATAOPS!Q244)*E241</f>
        <v>5160</v>
      </c>
    </row>
    <row r="242" spans="2:12" x14ac:dyDescent="0.3">
      <c r="B242" s="1" t="str">
        <f>+DATAOPS!C245</f>
        <v>FASHION VIEWS</v>
      </c>
      <c r="C242" s="1">
        <f>+DATAOPS!M245</f>
        <v>16</v>
      </c>
      <c r="D242" s="1">
        <f>+DATAOPS!N245+DATAOPS!O245+DATAOPS!Q245</f>
        <v>76</v>
      </c>
      <c r="E242" s="1">
        <f>+DATAOPS!W245</f>
        <v>80</v>
      </c>
      <c r="F242" s="1">
        <f>+DATAOPS!AA245</f>
        <v>2021</v>
      </c>
      <c r="G242" s="1" t="str">
        <f>+DATAOPS!D245</f>
        <v>ROPA DORMIR</v>
      </c>
      <c r="H242" s="1">
        <f>+DATAOPS!AB245</f>
        <v>2</v>
      </c>
      <c r="I242" s="1">
        <f t="shared" si="6"/>
        <v>1280</v>
      </c>
      <c r="J242" s="1">
        <f t="shared" si="7"/>
        <v>6080</v>
      </c>
      <c r="K242" s="1">
        <f>+DATAOPS!O245*E242</f>
        <v>4160</v>
      </c>
      <c r="L242" s="1">
        <f>+(DATAOPS!N245+DATAOPS!O245+DATAOPS!Q245)*E242</f>
        <v>6080</v>
      </c>
    </row>
    <row r="243" spans="2:12" x14ac:dyDescent="0.3">
      <c r="B243" s="1" t="str">
        <f>+DATAOPS!C246</f>
        <v>FASHION VIEWS</v>
      </c>
      <c r="C243" s="1">
        <f>+DATAOPS!M246</f>
        <v>16</v>
      </c>
      <c r="D243" s="1">
        <f>+DATAOPS!N246+DATAOPS!O246+DATAOPS!Q246</f>
        <v>76</v>
      </c>
      <c r="E243" s="1">
        <f>+DATAOPS!W246</f>
        <v>58</v>
      </c>
      <c r="F243" s="1">
        <f>+DATAOPS!AA246</f>
        <v>2021</v>
      </c>
      <c r="G243" s="1" t="str">
        <f>+DATAOPS!D246</f>
        <v>ROPA DORMIR</v>
      </c>
      <c r="H243" s="1">
        <f>+DATAOPS!AB246</f>
        <v>2</v>
      </c>
      <c r="I243" s="1">
        <f t="shared" si="6"/>
        <v>928</v>
      </c>
      <c r="J243" s="1">
        <f t="shared" si="7"/>
        <v>4408</v>
      </c>
      <c r="K243" s="1">
        <f>+DATAOPS!O246*E243</f>
        <v>3016</v>
      </c>
      <c r="L243" s="1">
        <f>+(DATAOPS!N246+DATAOPS!O246+DATAOPS!Q246)*E243</f>
        <v>4408</v>
      </c>
    </row>
    <row r="244" spans="2:12" x14ac:dyDescent="0.3">
      <c r="B244" s="1" t="str">
        <f>+DATAOPS!C247</f>
        <v>FASHION VIEWS</v>
      </c>
      <c r="C244" s="1">
        <f>+DATAOPS!M247</f>
        <v>10</v>
      </c>
      <c r="D244" s="1">
        <f>+DATAOPS!N247+DATAOPS!O247+DATAOPS!Q247</f>
        <v>52</v>
      </c>
      <c r="E244" s="1">
        <f>+DATAOPS!W247</f>
        <v>74</v>
      </c>
      <c r="F244" s="1">
        <f>+DATAOPS!AA247</f>
        <v>2021</v>
      </c>
      <c r="G244" s="1" t="str">
        <f>+DATAOPS!D247</f>
        <v>ROPA DORMIR</v>
      </c>
      <c r="H244" s="1">
        <f>+DATAOPS!AB247</f>
        <v>2</v>
      </c>
      <c r="I244" s="1">
        <f t="shared" si="6"/>
        <v>740</v>
      </c>
      <c r="J244" s="1">
        <f t="shared" si="7"/>
        <v>3848</v>
      </c>
      <c r="K244" s="1">
        <f>+DATAOPS!O247*E244</f>
        <v>2072</v>
      </c>
      <c r="L244" s="1">
        <f>+(DATAOPS!N247+DATAOPS!O247+DATAOPS!Q247)*E244</f>
        <v>3848</v>
      </c>
    </row>
    <row r="245" spans="2:12" x14ac:dyDescent="0.3">
      <c r="B245" s="1" t="str">
        <f>+DATAOPS!C248</f>
        <v>FASHION VIEWS</v>
      </c>
      <c r="C245" s="1">
        <f>+DATAOPS!M248</f>
        <v>19.5</v>
      </c>
      <c r="D245" s="1">
        <f>+DATAOPS!N248+DATAOPS!O248+DATAOPS!Q248</f>
        <v>48</v>
      </c>
      <c r="E245" s="1">
        <f>+DATAOPS!W248</f>
        <v>134</v>
      </c>
      <c r="F245" s="1">
        <f>+DATAOPS!AA248</f>
        <v>2021</v>
      </c>
      <c r="G245" s="1" t="str">
        <f>+DATAOPS!D248</f>
        <v>ROPA DORMIR</v>
      </c>
      <c r="H245" s="1">
        <f>+DATAOPS!AB248</f>
        <v>2</v>
      </c>
      <c r="I245" s="1">
        <f t="shared" si="6"/>
        <v>2613</v>
      </c>
      <c r="J245" s="1">
        <f t="shared" si="7"/>
        <v>6432</v>
      </c>
      <c r="K245" s="397">
        <f>+DATAOPS!O248*E245</f>
        <v>3752</v>
      </c>
      <c r="L245" s="1">
        <f>+(DATAOPS!N248+DATAOPS!O248+DATAOPS!Q248)*E245</f>
        <v>6432</v>
      </c>
    </row>
    <row r="246" spans="2:12" x14ac:dyDescent="0.3">
      <c r="B246" s="1" t="str">
        <f>+DATAOPS!C249</f>
        <v>FASHION VIEWS</v>
      </c>
      <c r="C246" s="1">
        <f>+DATAOPS!M249</f>
        <v>8.9</v>
      </c>
      <c r="D246" s="1">
        <f>+DATAOPS!N249+DATAOPS!O249+DATAOPS!Q249</f>
        <v>45.6</v>
      </c>
      <c r="E246" s="1">
        <f>+DATAOPS!W249</f>
        <v>65</v>
      </c>
      <c r="F246" s="1">
        <f>+DATAOPS!AA249</f>
        <v>2021</v>
      </c>
      <c r="G246" s="1" t="str">
        <f>+DATAOPS!D249</f>
        <v>ROPA DORMIR</v>
      </c>
      <c r="H246" s="1">
        <f>+DATAOPS!AB249</f>
        <v>2</v>
      </c>
      <c r="I246" s="1">
        <f t="shared" si="6"/>
        <v>578.5</v>
      </c>
      <c r="J246" s="1">
        <f t="shared" si="7"/>
        <v>2964</v>
      </c>
      <c r="K246" s="1">
        <f>+DATAOPS!O249*E246</f>
        <v>1664</v>
      </c>
      <c r="L246" s="1">
        <f>+(DATAOPS!N249+DATAOPS!O249+DATAOPS!Q249)*E246</f>
        <v>2964</v>
      </c>
    </row>
    <row r="247" spans="2:12" x14ac:dyDescent="0.3">
      <c r="B247" s="1" t="str">
        <f>+DATAOPS!C250</f>
        <v>FASHION VIEWS</v>
      </c>
      <c r="C247" s="1">
        <f>+DATAOPS!M250</f>
        <v>6.5</v>
      </c>
      <c r="D247" s="1">
        <f>+DATAOPS!N250+DATAOPS!O250+DATAOPS!Q250</f>
        <v>34</v>
      </c>
      <c r="E247" s="1">
        <f>+DATAOPS!W250</f>
        <v>128</v>
      </c>
      <c r="F247" s="1">
        <f>+DATAOPS!AA250</f>
        <v>2021</v>
      </c>
      <c r="G247" s="1" t="str">
        <f>+DATAOPS!D250</f>
        <v>ROPA DORMIR</v>
      </c>
      <c r="H247" s="1">
        <f>+DATAOPS!AB250</f>
        <v>2</v>
      </c>
      <c r="I247" s="1">
        <f t="shared" si="6"/>
        <v>832</v>
      </c>
      <c r="J247" s="1">
        <f t="shared" si="7"/>
        <v>4352</v>
      </c>
      <c r="K247" s="1">
        <f>+DATAOPS!O250*E247</f>
        <v>2304</v>
      </c>
      <c r="L247" s="1">
        <f>+(DATAOPS!N250+DATAOPS!O250+DATAOPS!Q250)*E247</f>
        <v>4352</v>
      </c>
    </row>
    <row r="248" spans="2:12" x14ac:dyDescent="0.3">
      <c r="B248" s="1" t="str">
        <f>+DATAOPS!C251</f>
        <v>FASHION VIEWS</v>
      </c>
      <c r="C248" s="1">
        <f>+DATAOPS!M251</f>
        <v>10</v>
      </c>
      <c r="D248" s="1">
        <f>+DATAOPS!N251+DATAOPS!O251+DATAOPS!Q251</f>
        <v>48</v>
      </c>
      <c r="E248" s="1">
        <f>+DATAOPS!W251</f>
        <v>132</v>
      </c>
      <c r="F248" s="1">
        <f>+DATAOPS!AA251</f>
        <v>2021</v>
      </c>
      <c r="G248" s="1" t="str">
        <f>+DATAOPS!D251</f>
        <v>ROPA DORMIR</v>
      </c>
      <c r="H248" s="1">
        <f>+DATAOPS!AB251</f>
        <v>2</v>
      </c>
      <c r="I248" s="1">
        <f t="shared" si="6"/>
        <v>1320</v>
      </c>
      <c r="J248" s="1">
        <f t="shared" si="7"/>
        <v>6336</v>
      </c>
      <c r="K248" s="1">
        <f>+DATAOPS!O251*E248</f>
        <v>4224</v>
      </c>
      <c r="L248" s="1">
        <f>+(DATAOPS!N251+DATAOPS!O251+DATAOPS!Q251)*E248</f>
        <v>6336</v>
      </c>
    </row>
    <row r="249" spans="2:12" x14ac:dyDescent="0.3">
      <c r="B249" s="1" t="str">
        <f>+DATAOPS!C252</f>
        <v>FASHION VIEWS</v>
      </c>
      <c r="C249" s="1">
        <f>+DATAOPS!M252</f>
        <v>9.1999999999999993</v>
      </c>
      <c r="D249" s="1">
        <f>+DATAOPS!N252+DATAOPS!O252+DATAOPS!Q252</f>
        <v>45.6</v>
      </c>
      <c r="E249" s="1">
        <f>+DATAOPS!W252</f>
        <v>53</v>
      </c>
      <c r="F249" s="1">
        <f>+DATAOPS!AA252</f>
        <v>2021</v>
      </c>
      <c r="G249" s="1" t="str">
        <f>+DATAOPS!D252</f>
        <v>ROPA DORMIR</v>
      </c>
      <c r="H249" s="1">
        <f>+DATAOPS!AB252</f>
        <v>2</v>
      </c>
      <c r="I249" s="1">
        <f t="shared" si="6"/>
        <v>487.59999999999997</v>
      </c>
      <c r="J249" s="1">
        <f t="shared" si="7"/>
        <v>2416.8000000000002</v>
      </c>
      <c r="K249" s="1">
        <f>+DATAOPS!O252*E249</f>
        <v>1484</v>
      </c>
      <c r="L249" s="1">
        <f>+(DATAOPS!N252+DATAOPS!O252+DATAOPS!Q252)*E249</f>
        <v>2416.8000000000002</v>
      </c>
    </row>
    <row r="250" spans="2:12" x14ac:dyDescent="0.3">
      <c r="B250" s="1" t="str">
        <f>+DATAOPS!C253</f>
        <v>FASHION VIEWS</v>
      </c>
      <c r="C250" s="1">
        <f>+DATAOPS!M253</f>
        <v>7.5</v>
      </c>
      <c r="D250" s="1">
        <f>+DATAOPS!N253+DATAOPS!O253+DATAOPS!Q253</f>
        <v>42</v>
      </c>
      <c r="E250" s="1">
        <f>+DATAOPS!W253</f>
        <v>45</v>
      </c>
      <c r="F250" s="1">
        <f>+DATAOPS!AA253</f>
        <v>2021</v>
      </c>
      <c r="G250" s="1" t="str">
        <f>+DATAOPS!D253</f>
        <v>ROPA DORMIR</v>
      </c>
      <c r="H250" s="1">
        <f>+DATAOPS!AB253</f>
        <v>2</v>
      </c>
      <c r="I250" s="1">
        <f t="shared" si="6"/>
        <v>337.5</v>
      </c>
      <c r="J250" s="1">
        <f t="shared" si="7"/>
        <v>1890</v>
      </c>
      <c r="K250" s="1">
        <f>+DATAOPS!O253*E250</f>
        <v>810</v>
      </c>
      <c r="L250" s="1">
        <f>+(DATAOPS!N253+DATAOPS!O253+DATAOPS!Q253)*E250</f>
        <v>1890</v>
      </c>
    </row>
    <row r="251" spans="2:12" x14ac:dyDescent="0.3">
      <c r="B251" s="1" t="str">
        <f>+DATAOPS!C254</f>
        <v>FASHION VIEWS</v>
      </c>
      <c r="C251" s="1">
        <f>+DATAOPS!M254</f>
        <v>9.5</v>
      </c>
      <c r="D251" s="1">
        <f>+DATAOPS!N254+DATAOPS!O254+DATAOPS!Q254</f>
        <v>50</v>
      </c>
      <c r="E251" s="1">
        <f>+DATAOPS!W254</f>
        <v>62</v>
      </c>
      <c r="F251" s="1">
        <f>+DATAOPS!AA254</f>
        <v>2021</v>
      </c>
      <c r="G251" s="1" t="str">
        <f>+DATAOPS!D254</f>
        <v>ROPA DORMIR</v>
      </c>
      <c r="H251" s="1">
        <f>+DATAOPS!AB254</f>
        <v>3</v>
      </c>
      <c r="I251" s="1">
        <f t="shared" si="6"/>
        <v>589</v>
      </c>
      <c r="J251" s="1">
        <f t="shared" si="7"/>
        <v>3100</v>
      </c>
      <c r="K251" s="1">
        <f>+DATAOPS!O254*E251</f>
        <v>1612</v>
      </c>
      <c r="L251" s="1">
        <f>+(DATAOPS!N254+DATAOPS!O254+DATAOPS!Q254)*E251</f>
        <v>3100</v>
      </c>
    </row>
    <row r="252" spans="2:12" x14ac:dyDescent="0.3">
      <c r="B252" s="1" t="str">
        <f>+DATAOPS!C255</f>
        <v>FASHION VIEWS</v>
      </c>
      <c r="C252" s="1">
        <f>+DATAOPS!M255</f>
        <v>13</v>
      </c>
      <c r="D252" s="1">
        <f>+DATAOPS!N255+DATAOPS!O255+DATAOPS!Q255</f>
        <v>64</v>
      </c>
      <c r="E252" s="1">
        <f>+DATAOPS!W255</f>
        <v>57</v>
      </c>
      <c r="F252" s="1">
        <f>+DATAOPS!AA255</f>
        <v>2021</v>
      </c>
      <c r="G252" s="1" t="str">
        <f>+DATAOPS!D255</f>
        <v>ROPA DORMIR</v>
      </c>
      <c r="H252" s="1">
        <f>+DATAOPS!AB255</f>
        <v>3</v>
      </c>
      <c r="I252" s="1">
        <f t="shared" si="6"/>
        <v>741</v>
      </c>
      <c r="J252" s="1">
        <f t="shared" si="7"/>
        <v>3648</v>
      </c>
      <c r="K252" s="1">
        <f>+DATAOPS!O255*E252</f>
        <v>2280</v>
      </c>
      <c r="L252" s="1">
        <f>+(DATAOPS!N255+DATAOPS!O255+DATAOPS!Q255)*E252</f>
        <v>3648</v>
      </c>
    </row>
    <row r="253" spans="2:12" x14ac:dyDescent="0.3">
      <c r="B253" s="1" t="str">
        <f>+DATAOPS!C256</f>
        <v>FASHION VIEWS</v>
      </c>
      <c r="C253" s="1">
        <f>+DATAOPS!M256</f>
        <v>17</v>
      </c>
      <c r="D253" s="1">
        <f>+DATAOPS!N256+DATAOPS!O256+DATAOPS!Q256</f>
        <v>48</v>
      </c>
      <c r="E253" s="1">
        <f>+DATAOPS!W256</f>
        <v>67</v>
      </c>
      <c r="F253" s="1">
        <f>+DATAOPS!AA256</f>
        <v>2021</v>
      </c>
      <c r="G253" s="1" t="str">
        <f>+DATAOPS!D256</f>
        <v>ROPA DORMIR</v>
      </c>
      <c r="H253" s="1">
        <f>+DATAOPS!AB256</f>
        <v>3</v>
      </c>
      <c r="I253" s="1">
        <f t="shared" si="6"/>
        <v>1139</v>
      </c>
      <c r="J253" s="1">
        <f t="shared" si="7"/>
        <v>3216</v>
      </c>
      <c r="K253" s="1">
        <f>+DATAOPS!O256*E253</f>
        <v>1608</v>
      </c>
      <c r="L253" s="1">
        <f>+(DATAOPS!N256+DATAOPS!O256+DATAOPS!Q256)*E253</f>
        <v>3216</v>
      </c>
    </row>
    <row r="254" spans="2:12" x14ac:dyDescent="0.3">
      <c r="B254" s="1" t="str">
        <f>+DATAOPS!C257</f>
        <v>MARELLE</v>
      </c>
      <c r="C254" s="1">
        <f>+DATAOPS!M257</f>
        <v>11.399999999999999</v>
      </c>
      <c r="D254" s="1">
        <f>+DATAOPS!N257+DATAOPS!O257+DATAOPS!Q257</f>
        <v>58.4</v>
      </c>
      <c r="E254" s="1">
        <f>+DATAOPS!W257</f>
        <v>66</v>
      </c>
      <c r="F254" s="1">
        <f>+DATAOPS!AA257</f>
        <v>2021</v>
      </c>
      <c r="G254" s="1" t="str">
        <f>+DATAOPS!D257</f>
        <v>ROPA DORMIR</v>
      </c>
      <c r="H254" s="1">
        <f>+DATAOPS!AB257</f>
        <v>3</v>
      </c>
      <c r="I254" s="1">
        <f t="shared" si="6"/>
        <v>752.39999999999986</v>
      </c>
      <c r="J254" s="1">
        <f t="shared" si="7"/>
        <v>3854.4</v>
      </c>
      <c r="K254" s="1">
        <f>+DATAOPS!O257*E254</f>
        <v>2164.7999999999997</v>
      </c>
      <c r="L254" s="1">
        <f>+(DATAOPS!N257+DATAOPS!O257+DATAOPS!Q257)*E254</f>
        <v>3854.4</v>
      </c>
    </row>
    <row r="255" spans="2:12" x14ac:dyDescent="0.3">
      <c r="B255" s="1" t="str">
        <f>+DATAOPS!C258</f>
        <v>FASHION VIEWS</v>
      </c>
      <c r="C255" s="1">
        <f>+DATAOPS!M258</f>
        <v>39</v>
      </c>
      <c r="D255" s="1">
        <f>+DATAOPS!N258+DATAOPS!O258+DATAOPS!Q258</f>
        <v>52</v>
      </c>
      <c r="E255" s="1">
        <f>+DATAOPS!W258</f>
        <v>94</v>
      </c>
      <c r="F255" s="1">
        <f>+DATAOPS!AA258</f>
        <v>2021</v>
      </c>
      <c r="G255" s="1" t="str">
        <f>+DATAOPS!D258</f>
        <v>ROPA DORMIR</v>
      </c>
      <c r="H255" s="1">
        <f>+DATAOPS!AB258</f>
        <v>3</v>
      </c>
      <c r="I255" s="1">
        <f t="shared" si="6"/>
        <v>3666</v>
      </c>
      <c r="J255" s="1">
        <f t="shared" si="7"/>
        <v>4888</v>
      </c>
      <c r="K255" s="1">
        <f>+DATAOPS!O258*E255</f>
        <v>2632</v>
      </c>
      <c r="L255" s="1">
        <f>+(DATAOPS!N258+DATAOPS!O258+DATAOPS!Q258)*E255</f>
        <v>4888</v>
      </c>
    </row>
    <row r="256" spans="2:12" x14ac:dyDescent="0.3">
      <c r="B256" s="1" t="str">
        <f>+DATAOPS!C259</f>
        <v>FASHION VIEWS</v>
      </c>
      <c r="C256" s="1">
        <f>+DATAOPS!M259</f>
        <v>39.5</v>
      </c>
      <c r="D256" s="1">
        <f>+DATAOPS!N259+DATAOPS!O259+DATAOPS!Q259</f>
        <v>54</v>
      </c>
      <c r="E256" s="1">
        <f>+DATAOPS!W259</f>
        <v>82</v>
      </c>
      <c r="F256" s="1">
        <f>+DATAOPS!AA259</f>
        <v>2021</v>
      </c>
      <c r="G256" s="1" t="str">
        <f>+DATAOPS!D259</f>
        <v>ROPA DORMIR</v>
      </c>
      <c r="H256" s="1">
        <f>+DATAOPS!AB259</f>
        <v>3</v>
      </c>
      <c r="I256" s="1">
        <f t="shared" si="6"/>
        <v>3239</v>
      </c>
      <c r="J256" s="1">
        <f t="shared" si="7"/>
        <v>4428</v>
      </c>
      <c r="K256" s="1">
        <f>+DATAOPS!O259*E256</f>
        <v>2460</v>
      </c>
      <c r="L256" s="1">
        <f>+(DATAOPS!N259+DATAOPS!O259+DATAOPS!Q259)*E256</f>
        <v>4428</v>
      </c>
    </row>
    <row r="257" spans="2:12" x14ac:dyDescent="0.3">
      <c r="B257" s="1" t="str">
        <f>+DATAOPS!C260</f>
        <v>FASHION VIEWS</v>
      </c>
      <c r="C257" s="1">
        <f>+DATAOPS!M260</f>
        <v>39.5</v>
      </c>
      <c r="D257" s="1">
        <f>+DATAOPS!N260+DATAOPS!O260+DATAOPS!Q260</f>
        <v>54</v>
      </c>
      <c r="E257" s="1">
        <f>+DATAOPS!W260</f>
        <v>86</v>
      </c>
      <c r="F257" s="1">
        <f>+DATAOPS!AA260</f>
        <v>2021</v>
      </c>
      <c r="G257" s="1" t="str">
        <f>+DATAOPS!D260</f>
        <v>ROPA DORMIR</v>
      </c>
      <c r="H257" s="1">
        <f>+DATAOPS!AB260</f>
        <v>3</v>
      </c>
      <c r="I257" s="1">
        <f t="shared" ref="I257:I321" si="8">+C257*E257</f>
        <v>3397</v>
      </c>
      <c r="J257" s="1">
        <f t="shared" ref="J257:J321" si="9">+D257*E257</f>
        <v>4644</v>
      </c>
      <c r="K257" s="1">
        <f>+DATAOPS!O260*E257</f>
        <v>2580</v>
      </c>
      <c r="L257" s="1">
        <f>+(DATAOPS!N260+DATAOPS!O260+DATAOPS!Q260)*E257</f>
        <v>4644</v>
      </c>
    </row>
    <row r="258" spans="2:12" x14ac:dyDescent="0.3">
      <c r="B258" s="1" t="str">
        <f>+DATAOPS!C261</f>
        <v>FASHION VIEWS</v>
      </c>
      <c r="C258" s="1">
        <f>+DATAOPS!M261</f>
        <v>40</v>
      </c>
      <c r="D258" s="1">
        <f>+DATAOPS!N261+DATAOPS!O261+DATAOPS!Q261</f>
        <v>56</v>
      </c>
      <c r="E258" s="1">
        <f>+DATAOPS!W261</f>
        <v>24</v>
      </c>
      <c r="F258" s="1">
        <f>+DATAOPS!AA261</f>
        <v>2021</v>
      </c>
      <c r="G258" s="1" t="str">
        <f>+DATAOPS!D261</f>
        <v>ROPA DORMIR</v>
      </c>
      <c r="H258" s="1">
        <f>+DATAOPS!AB261</f>
        <v>3</v>
      </c>
      <c r="I258" s="1">
        <f t="shared" si="8"/>
        <v>960</v>
      </c>
      <c r="J258" s="1">
        <f t="shared" si="9"/>
        <v>1344</v>
      </c>
      <c r="K258" s="1">
        <f>+DATAOPS!O261*E258</f>
        <v>768</v>
      </c>
      <c r="L258" s="1">
        <f>+(DATAOPS!N261+DATAOPS!O261+DATAOPS!Q261)*E258</f>
        <v>1344</v>
      </c>
    </row>
    <row r="259" spans="2:12" x14ac:dyDescent="0.3">
      <c r="B259" s="1" t="str">
        <f>+DATAOPS!C262</f>
        <v>FASHION VIEWS</v>
      </c>
      <c r="C259" s="1">
        <f>+DATAOPS!M262</f>
        <v>9</v>
      </c>
      <c r="D259" s="1">
        <f>+DATAOPS!N262+DATAOPS!O262+DATAOPS!Q262</f>
        <v>48</v>
      </c>
      <c r="E259" s="1">
        <f>+DATAOPS!W262</f>
        <v>56</v>
      </c>
      <c r="F259" s="1">
        <f>+DATAOPS!AA262</f>
        <v>2021</v>
      </c>
      <c r="G259" s="1" t="str">
        <f>+DATAOPS!D262</f>
        <v>ROPA DORMIR</v>
      </c>
      <c r="H259" s="1">
        <f>+DATAOPS!AB262</f>
        <v>3</v>
      </c>
      <c r="I259" s="1">
        <f t="shared" si="8"/>
        <v>504</v>
      </c>
      <c r="J259" s="1">
        <f t="shared" si="9"/>
        <v>2688</v>
      </c>
      <c r="K259" s="1">
        <f>+DATAOPS!O262*E259</f>
        <v>1344</v>
      </c>
      <c r="L259" s="1">
        <f>+(DATAOPS!N262+DATAOPS!O262+DATAOPS!Q262)*E259</f>
        <v>2688</v>
      </c>
    </row>
    <row r="260" spans="2:12" x14ac:dyDescent="0.3">
      <c r="B260" s="1" t="str">
        <f>+DATAOPS!C263</f>
        <v>FASHION VIEWS</v>
      </c>
      <c r="C260" s="1">
        <f>+DATAOPS!M263</f>
        <v>9.5</v>
      </c>
      <c r="D260" s="1">
        <f>+DATAOPS!N263+DATAOPS!O263+DATAOPS!Q263</f>
        <v>50</v>
      </c>
      <c r="E260" s="1">
        <f>+DATAOPS!W263</f>
        <v>47</v>
      </c>
      <c r="F260" s="1">
        <f>+DATAOPS!AA263</f>
        <v>2021</v>
      </c>
      <c r="G260" s="1" t="str">
        <f>+DATAOPS!D263</f>
        <v>ROPA DORMIR</v>
      </c>
      <c r="H260" s="1">
        <f>+DATAOPS!AB263</f>
        <v>3</v>
      </c>
      <c r="I260" s="1">
        <f t="shared" si="8"/>
        <v>446.5</v>
      </c>
      <c r="J260" s="1">
        <f t="shared" si="9"/>
        <v>2350</v>
      </c>
      <c r="K260" s="1">
        <f>+DATAOPS!O263*E260</f>
        <v>1222</v>
      </c>
      <c r="L260" s="1">
        <f>+(DATAOPS!N263+DATAOPS!O263+DATAOPS!Q263)*E260</f>
        <v>2350</v>
      </c>
    </row>
    <row r="261" spans="2:12" x14ac:dyDescent="0.3">
      <c r="B261" s="1" t="str">
        <f>+DATAOPS!C264</f>
        <v>FASHION VIEWS</v>
      </c>
      <c r="C261" s="1">
        <f>+DATAOPS!M264</f>
        <v>10</v>
      </c>
      <c r="D261" s="1">
        <f>+DATAOPS!N264+DATAOPS!O264+DATAOPS!Q264</f>
        <v>52</v>
      </c>
      <c r="E261" s="1">
        <f>+DATAOPS!W264</f>
        <v>69</v>
      </c>
      <c r="F261" s="1">
        <f>+DATAOPS!AA264</f>
        <v>2021</v>
      </c>
      <c r="G261" s="1" t="str">
        <f>+DATAOPS!D264</f>
        <v>ROPA DORMIR</v>
      </c>
      <c r="H261" s="1">
        <f>+DATAOPS!AB264</f>
        <v>3</v>
      </c>
      <c r="I261" s="1">
        <f t="shared" si="8"/>
        <v>690</v>
      </c>
      <c r="J261" s="1">
        <f t="shared" si="9"/>
        <v>3588</v>
      </c>
      <c r="K261" s="1">
        <f>+DATAOPS!O264*E261</f>
        <v>1932</v>
      </c>
      <c r="L261" s="1">
        <f>+(DATAOPS!N264+DATAOPS!O264+DATAOPS!Q264)*E261</f>
        <v>3588</v>
      </c>
    </row>
    <row r="262" spans="2:12" x14ac:dyDescent="0.3">
      <c r="B262" s="1" t="str">
        <f>+DATAOPS!C265</f>
        <v>FASHION VIEWS</v>
      </c>
      <c r="C262" s="1">
        <f>+DATAOPS!M265</f>
        <v>17.8</v>
      </c>
      <c r="D262" s="1">
        <f>+DATAOPS!N265+DATAOPS!O265+DATAOPS!Q265</f>
        <v>82.4</v>
      </c>
      <c r="E262" s="1">
        <f>+DATAOPS!W265</f>
        <v>170</v>
      </c>
      <c r="F262" s="1">
        <f>+DATAOPS!AA265</f>
        <v>2021</v>
      </c>
      <c r="G262" s="1" t="str">
        <f>+DATAOPS!D265</f>
        <v>ROPA DORMIR</v>
      </c>
      <c r="H262" s="1">
        <f>+DATAOPS!AB265</f>
        <v>3</v>
      </c>
      <c r="I262" s="1">
        <f t="shared" si="8"/>
        <v>3026</v>
      </c>
      <c r="J262" s="1">
        <f t="shared" si="9"/>
        <v>14008.000000000002</v>
      </c>
      <c r="K262" s="1">
        <f>+DATAOPS!O265*E262</f>
        <v>10200</v>
      </c>
      <c r="L262" s="1">
        <f>+(DATAOPS!N265+DATAOPS!O265+DATAOPS!Q265)*E262</f>
        <v>14008.000000000002</v>
      </c>
    </row>
    <row r="263" spans="2:12" x14ac:dyDescent="0.3">
      <c r="B263" s="1" t="str">
        <f>+DATAOPS!C266</f>
        <v>FASHION VIEWS</v>
      </c>
      <c r="C263" s="1">
        <f>+DATAOPS!M266</f>
        <v>13.3</v>
      </c>
      <c r="D263" s="1">
        <f>+DATAOPS!N266+DATAOPS!O266+DATAOPS!Q266</f>
        <v>63.2</v>
      </c>
      <c r="E263" s="1">
        <f>+DATAOPS!W266</f>
        <v>140</v>
      </c>
      <c r="F263" s="1">
        <f>+DATAOPS!AA266</f>
        <v>2021</v>
      </c>
      <c r="G263" s="1" t="str">
        <f>+DATAOPS!D266</f>
        <v>ROPA DORMIR</v>
      </c>
      <c r="H263" s="1">
        <f>+DATAOPS!AB266</f>
        <v>3</v>
      </c>
      <c r="I263" s="1">
        <f t="shared" si="8"/>
        <v>1862</v>
      </c>
      <c r="J263" s="1">
        <f t="shared" si="9"/>
        <v>8848</v>
      </c>
      <c r="K263" s="1">
        <f>+DATAOPS!O266*E263</f>
        <v>6048</v>
      </c>
      <c r="L263" s="1">
        <f>+(DATAOPS!N266+DATAOPS!O266+DATAOPS!Q266)*E263</f>
        <v>8848</v>
      </c>
    </row>
    <row r="264" spans="2:12" x14ac:dyDescent="0.3">
      <c r="B264" s="1" t="str">
        <f>+DATAOPS!C267</f>
        <v>FASHION VIEWS</v>
      </c>
      <c r="C264" s="1">
        <f>+DATAOPS!M267</f>
        <v>13.3</v>
      </c>
      <c r="D264" s="1">
        <f>+DATAOPS!N267+DATAOPS!O267+DATAOPS!Q267</f>
        <v>63.2</v>
      </c>
      <c r="E264" s="1">
        <f>+DATAOPS!W267</f>
        <v>54</v>
      </c>
      <c r="F264" s="1">
        <f>+DATAOPS!AA267</f>
        <v>2021</v>
      </c>
      <c r="G264" s="1" t="str">
        <f>+DATAOPS!D267</f>
        <v>ROPA DORMIR</v>
      </c>
      <c r="H264" s="1">
        <f>+DATAOPS!AB267</f>
        <v>3</v>
      </c>
      <c r="I264" s="1">
        <f t="shared" si="8"/>
        <v>718.2</v>
      </c>
      <c r="J264" s="1">
        <f t="shared" si="9"/>
        <v>3412.8</v>
      </c>
      <c r="K264" s="1">
        <f>+DATAOPS!O267*E264</f>
        <v>2332.8000000000002</v>
      </c>
      <c r="L264" s="1">
        <f>+(DATAOPS!N267+DATAOPS!O267+DATAOPS!Q267)*E264</f>
        <v>3412.8</v>
      </c>
    </row>
    <row r="265" spans="2:12" x14ac:dyDescent="0.3">
      <c r="B265" s="1" t="str">
        <f>+DATAOPS!C268</f>
        <v>FASHION VIEWS</v>
      </c>
      <c r="C265" s="1">
        <f>+DATAOPS!M268</f>
        <v>6.5</v>
      </c>
      <c r="D265" s="1">
        <f>+DATAOPS!N268+DATAOPS!O268+DATAOPS!Q268</f>
        <v>34</v>
      </c>
      <c r="E265" s="1">
        <f>+DATAOPS!W268</f>
        <v>70</v>
      </c>
      <c r="F265" s="1">
        <f>+DATAOPS!AA268</f>
        <v>2021</v>
      </c>
      <c r="G265" s="1" t="str">
        <f>+DATAOPS!D268</f>
        <v>ROPA DORMIR</v>
      </c>
      <c r="H265" s="1">
        <f>+DATAOPS!AB268</f>
        <v>3</v>
      </c>
      <c r="I265" s="1">
        <f t="shared" si="8"/>
        <v>455</v>
      </c>
      <c r="J265" s="1">
        <f t="shared" si="9"/>
        <v>2380</v>
      </c>
      <c r="K265" s="1">
        <f>+DATAOPS!O268*E265</f>
        <v>1260</v>
      </c>
      <c r="L265" s="1">
        <f>+(DATAOPS!N268+DATAOPS!O268+DATAOPS!Q268)*E265</f>
        <v>2380</v>
      </c>
    </row>
    <row r="266" spans="2:12" x14ac:dyDescent="0.3">
      <c r="B266" s="1" t="str">
        <f>+DATAOPS!C269</f>
        <v>MARELLE</v>
      </c>
      <c r="C266" s="1">
        <f>+DATAOPS!M269</f>
        <v>11</v>
      </c>
      <c r="D266" s="1">
        <f>+DATAOPS!N269+DATAOPS!O269+DATAOPS!Q269</f>
        <v>54</v>
      </c>
      <c r="E266" s="1">
        <f>+DATAOPS!W269</f>
        <v>91</v>
      </c>
      <c r="F266" s="1">
        <f>+DATAOPS!AA269</f>
        <v>2021</v>
      </c>
      <c r="G266" s="1" t="str">
        <f>+DATAOPS!D269</f>
        <v>ROPA DORMIR</v>
      </c>
      <c r="H266" s="1">
        <f>+DATAOPS!AB269</f>
        <v>3</v>
      </c>
      <c r="I266" s="1">
        <f t="shared" si="8"/>
        <v>1001</v>
      </c>
      <c r="J266" s="1">
        <f t="shared" si="9"/>
        <v>4914</v>
      </c>
      <c r="K266" s="1">
        <f>+DATAOPS!O269*E266</f>
        <v>3094</v>
      </c>
      <c r="L266" s="1">
        <f>+(DATAOPS!N269+DATAOPS!O269+DATAOPS!Q269)*E266</f>
        <v>4914</v>
      </c>
    </row>
    <row r="267" spans="2:12" x14ac:dyDescent="0.3">
      <c r="B267" s="1" t="str">
        <f>+DATAOPS!C270</f>
        <v>FASHION VIEWS</v>
      </c>
      <c r="C267" s="1">
        <f>+DATAOPS!M270</f>
        <v>9.5</v>
      </c>
      <c r="D267" s="1">
        <f>+DATAOPS!N270+DATAOPS!O270+DATAOPS!Q270</f>
        <v>48</v>
      </c>
      <c r="E267" s="1">
        <f>+DATAOPS!W270</f>
        <v>217</v>
      </c>
      <c r="F267" s="1">
        <f>+DATAOPS!AA270</f>
        <v>2021</v>
      </c>
      <c r="G267" s="1" t="str">
        <f>+DATAOPS!D270</f>
        <v>ROPA DORMIR</v>
      </c>
      <c r="H267" s="1">
        <f>+DATAOPS!AB270</f>
        <v>3</v>
      </c>
      <c r="I267" s="1">
        <f t="shared" si="8"/>
        <v>2061.5</v>
      </c>
      <c r="J267" s="1">
        <f t="shared" si="9"/>
        <v>10416</v>
      </c>
      <c r="K267" s="1">
        <f>+DATAOPS!O270*E267</f>
        <v>6076</v>
      </c>
      <c r="L267" s="1">
        <f>+(DATAOPS!N270+DATAOPS!O270+DATAOPS!Q270)*E267</f>
        <v>10416</v>
      </c>
    </row>
    <row r="268" spans="2:12" x14ac:dyDescent="0.3">
      <c r="B268" s="1" t="str">
        <f>+DATAOPS!C271</f>
        <v>FASHION VIEWS</v>
      </c>
      <c r="C268" s="1">
        <f>+DATAOPS!M271</f>
        <v>9</v>
      </c>
      <c r="D268" s="1">
        <f>+DATAOPS!N271+DATAOPS!O271+DATAOPS!Q271</f>
        <v>46</v>
      </c>
      <c r="E268" s="1">
        <f>+DATAOPS!W271</f>
        <v>107</v>
      </c>
      <c r="F268" s="1">
        <f>+DATAOPS!AA271</f>
        <v>2021</v>
      </c>
      <c r="G268" s="1" t="str">
        <f>+DATAOPS!D271</f>
        <v>ROPA DORMIR</v>
      </c>
      <c r="H268" s="1">
        <f>+DATAOPS!AB271</f>
        <v>3</v>
      </c>
      <c r="I268" s="1">
        <f t="shared" si="8"/>
        <v>963</v>
      </c>
      <c r="J268" s="1">
        <f t="shared" si="9"/>
        <v>4922</v>
      </c>
      <c r="K268" s="1">
        <f>+DATAOPS!O271*E268</f>
        <v>2782</v>
      </c>
      <c r="L268" s="1">
        <f>+(DATAOPS!N271+DATAOPS!O271+DATAOPS!Q271)*E268</f>
        <v>4922</v>
      </c>
    </row>
    <row r="269" spans="2:12" x14ac:dyDescent="0.3">
      <c r="B269" s="1" t="str">
        <f>+DATAOPS!C272</f>
        <v>FASHION VIEWS</v>
      </c>
      <c r="C269" s="1">
        <f>+DATAOPS!M272</f>
        <v>12.5</v>
      </c>
      <c r="D269" s="1">
        <f>+DATAOPS!N272+DATAOPS!O272+DATAOPS!Q272</f>
        <v>62</v>
      </c>
      <c r="E269" s="1">
        <f>+DATAOPS!W272</f>
        <v>224</v>
      </c>
      <c r="F269" s="1">
        <f>+DATAOPS!AA272</f>
        <v>2021</v>
      </c>
      <c r="G269" s="1" t="str">
        <f>+DATAOPS!D272</f>
        <v>ROPA DORMIR</v>
      </c>
      <c r="H269" s="1">
        <f>+DATAOPS!AB272</f>
        <v>3</v>
      </c>
      <c r="I269" s="1">
        <f t="shared" si="8"/>
        <v>2800</v>
      </c>
      <c r="J269" s="1">
        <f t="shared" si="9"/>
        <v>13888</v>
      </c>
      <c r="K269" s="1">
        <f>+DATAOPS!O272*E269</f>
        <v>8512</v>
      </c>
      <c r="L269" s="1">
        <f>+(DATAOPS!N272+DATAOPS!O272+DATAOPS!Q272)*E269</f>
        <v>13888</v>
      </c>
    </row>
    <row r="270" spans="2:12" x14ac:dyDescent="0.3">
      <c r="B270" s="1" t="str">
        <f>+DATAOPS!C273</f>
        <v>FASHION VIEWS</v>
      </c>
      <c r="C270" s="1">
        <f>+DATAOPS!M273</f>
        <v>8.5</v>
      </c>
      <c r="D270" s="1">
        <f>+DATAOPS!N273+DATAOPS!O273+DATAOPS!Q273</f>
        <v>44</v>
      </c>
      <c r="E270" s="1">
        <f>+DATAOPS!W273</f>
        <v>38</v>
      </c>
      <c r="F270" s="1">
        <f>+DATAOPS!AA273</f>
        <v>2021</v>
      </c>
      <c r="G270" s="1" t="str">
        <f>+DATAOPS!D273</f>
        <v>ROPA DORMIR</v>
      </c>
      <c r="H270" s="1">
        <f>+DATAOPS!AB273</f>
        <v>3</v>
      </c>
      <c r="I270" s="1">
        <f t="shared" si="8"/>
        <v>323</v>
      </c>
      <c r="J270" s="1">
        <f t="shared" si="9"/>
        <v>1672</v>
      </c>
      <c r="K270" s="1">
        <f>+DATAOPS!O273*E270</f>
        <v>912</v>
      </c>
      <c r="L270" s="1">
        <f>+(DATAOPS!N273+DATAOPS!O273+DATAOPS!Q273)*E270</f>
        <v>1672</v>
      </c>
    </row>
    <row r="271" spans="2:12" x14ac:dyDescent="0.3">
      <c r="B271" s="1" t="str">
        <f>+DATAOPS!C274</f>
        <v>MARELLE</v>
      </c>
      <c r="C271" s="1">
        <f>+DATAOPS!M274</f>
        <v>9.6999999999999993</v>
      </c>
      <c r="D271" s="1">
        <f>+DATAOPS!N274+DATAOPS!O274+DATAOPS!Q274</f>
        <v>49.6</v>
      </c>
      <c r="E271" s="1">
        <f>+DATAOPS!W274</f>
        <v>42</v>
      </c>
      <c r="F271" s="1">
        <f>+DATAOPS!AA274</f>
        <v>2021</v>
      </c>
      <c r="G271" s="1" t="str">
        <f>+DATAOPS!D274</f>
        <v>ROPA DORMIR</v>
      </c>
      <c r="H271" s="1">
        <f>+DATAOPS!AB274</f>
        <v>3</v>
      </c>
      <c r="I271" s="1">
        <f t="shared" si="8"/>
        <v>407.4</v>
      </c>
      <c r="J271" s="1">
        <f t="shared" si="9"/>
        <v>2083.2000000000003</v>
      </c>
      <c r="K271" s="1">
        <f>+DATAOPS!O274*E271</f>
        <v>1176</v>
      </c>
      <c r="L271" s="1">
        <f>+(DATAOPS!N274+DATAOPS!O274+DATAOPS!Q274)*E271</f>
        <v>2083.2000000000003</v>
      </c>
    </row>
    <row r="272" spans="2:12" x14ac:dyDescent="0.3">
      <c r="B272" s="1" t="str">
        <f>+DATAOPS!C275</f>
        <v>MARELLE</v>
      </c>
      <c r="C272" s="1">
        <f>+DATAOPS!M275</f>
        <v>8.1999999999999993</v>
      </c>
      <c r="D272" s="1">
        <f>+DATAOPS!N275+DATAOPS!O275+DATAOPS!Q275</f>
        <v>41.6</v>
      </c>
      <c r="E272" s="1">
        <f>+DATAOPS!W275</f>
        <v>137</v>
      </c>
      <c r="F272" s="1">
        <f>+DATAOPS!AA275</f>
        <v>2021</v>
      </c>
      <c r="G272" s="1" t="str">
        <f>+DATAOPS!D275</f>
        <v>ROPA DORMIR</v>
      </c>
      <c r="H272" s="1">
        <f>+DATAOPS!AB275</f>
        <v>3</v>
      </c>
      <c r="I272" s="1">
        <f t="shared" si="8"/>
        <v>1123.3999999999999</v>
      </c>
      <c r="J272" s="1">
        <f t="shared" si="9"/>
        <v>5699.2</v>
      </c>
      <c r="K272" s="1">
        <f>+DATAOPS!O275*E272</f>
        <v>3288</v>
      </c>
      <c r="L272" s="1">
        <f>+(DATAOPS!N275+DATAOPS!O275+DATAOPS!Q275)*E272</f>
        <v>5699.2</v>
      </c>
    </row>
    <row r="273" spans="2:12" x14ac:dyDescent="0.3">
      <c r="B273" s="1" t="str">
        <f>+DATAOPS!C276</f>
        <v>MARELLE</v>
      </c>
      <c r="C273" s="1">
        <f>+DATAOPS!M276</f>
        <v>15.8</v>
      </c>
      <c r="D273" s="1">
        <f>+DATAOPS!N276+DATAOPS!O276+DATAOPS!Q276</f>
        <v>74.400000000000006</v>
      </c>
      <c r="E273" s="1">
        <f>+DATAOPS!W276</f>
        <v>102</v>
      </c>
      <c r="F273" s="1">
        <f>+DATAOPS!AA276</f>
        <v>2021</v>
      </c>
      <c r="G273" s="1" t="str">
        <f>+DATAOPS!D276</f>
        <v>ROPA DORMIR</v>
      </c>
      <c r="H273" s="1">
        <f>+DATAOPS!AB276</f>
        <v>3</v>
      </c>
      <c r="I273" s="1">
        <f t="shared" si="8"/>
        <v>1611.6000000000001</v>
      </c>
      <c r="J273" s="1">
        <f t="shared" si="9"/>
        <v>7588.8</v>
      </c>
      <c r="K273" s="1">
        <f>+DATAOPS!O276*E273</f>
        <v>5304</v>
      </c>
      <c r="L273" s="1">
        <f>+(DATAOPS!N276+DATAOPS!O276+DATAOPS!Q276)*E273</f>
        <v>7588.8</v>
      </c>
    </row>
    <row r="274" spans="2:12" x14ac:dyDescent="0.3">
      <c r="B274" s="1" t="str">
        <f>+DATAOPS!C277</f>
        <v>AVECMUA</v>
      </c>
      <c r="C274" s="1">
        <f>+DATAOPS!M277</f>
        <v>14.5</v>
      </c>
      <c r="D274" s="1">
        <f>+DATAOPS!N277+DATAOPS!O277+DATAOPS!Q277</f>
        <v>68</v>
      </c>
      <c r="E274" s="1">
        <f>+DATAOPS!W277</f>
        <v>32</v>
      </c>
      <c r="F274" s="1">
        <f>+DATAOPS!AA277</f>
        <v>2021</v>
      </c>
      <c r="G274" s="1" t="str">
        <f>+DATAOPS!D277</f>
        <v>ROPA DORMIR</v>
      </c>
      <c r="H274" s="1">
        <f>+DATAOPS!AB277</f>
        <v>3</v>
      </c>
      <c r="I274" s="1">
        <f t="shared" si="8"/>
        <v>464</v>
      </c>
      <c r="J274" s="1">
        <f t="shared" si="9"/>
        <v>2176</v>
      </c>
      <c r="K274" s="397">
        <f>+DATAOPS!O277*E274</f>
        <v>1536</v>
      </c>
      <c r="L274" s="1">
        <f>+(DATAOPS!N277+DATAOPS!O277+DATAOPS!Q277)*E274</f>
        <v>2176</v>
      </c>
    </row>
    <row r="275" spans="2:12" x14ac:dyDescent="0.3">
      <c r="B275" s="1" t="str">
        <f>+DATAOPS!C278</f>
        <v>AVECMUA</v>
      </c>
      <c r="C275" s="1">
        <f>+DATAOPS!M278</f>
        <v>14.5</v>
      </c>
      <c r="D275" s="1">
        <f>+DATAOPS!N278+DATAOPS!O278+DATAOPS!Q278</f>
        <v>68</v>
      </c>
      <c r="E275" s="1">
        <f>+DATAOPS!W278</f>
        <v>32</v>
      </c>
      <c r="F275" s="1">
        <f>+DATAOPS!AA278</f>
        <v>2021</v>
      </c>
      <c r="G275" s="1" t="str">
        <f>+DATAOPS!D278</f>
        <v>ROPA DORMIR</v>
      </c>
      <c r="H275" s="1">
        <f>+DATAOPS!AB278</f>
        <v>3</v>
      </c>
      <c r="I275" s="1">
        <f t="shared" si="8"/>
        <v>464</v>
      </c>
      <c r="J275" s="1">
        <f t="shared" si="9"/>
        <v>2176</v>
      </c>
      <c r="K275" s="397">
        <f>+DATAOPS!O278*E275</f>
        <v>1536</v>
      </c>
      <c r="L275" s="1">
        <f>+(DATAOPS!N278+DATAOPS!O278+DATAOPS!Q278)*E275</f>
        <v>2176</v>
      </c>
    </row>
    <row r="276" spans="2:12" x14ac:dyDescent="0.3">
      <c r="B276" s="1" t="str">
        <f>+DATAOPS!C279</f>
        <v>AVECMUA</v>
      </c>
      <c r="C276" s="1">
        <f>+DATAOPS!M279</f>
        <v>8</v>
      </c>
      <c r="D276" s="1">
        <f>+DATAOPS!N279+DATAOPS!O279+DATAOPS!Q279</f>
        <v>40</v>
      </c>
      <c r="E276" s="1">
        <f>+DATAOPS!W279</f>
        <v>64</v>
      </c>
      <c r="F276" s="1">
        <f>+DATAOPS!AA279</f>
        <v>2021</v>
      </c>
      <c r="G276" s="1" t="str">
        <f>+DATAOPS!D279</f>
        <v>ROPA DORMIR</v>
      </c>
      <c r="H276" s="1">
        <f>+DATAOPS!AB279</f>
        <v>3</v>
      </c>
      <c r="I276" s="1">
        <f t="shared" si="8"/>
        <v>512</v>
      </c>
      <c r="J276" s="1">
        <f t="shared" si="9"/>
        <v>2560</v>
      </c>
      <c r="K276" s="397">
        <f>+DATAOPS!O279*E276</f>
        <v>1536</v>
      </c>
      <c r="L276" s="1">
        <f>+(DATAOPS!N279+DATAOPS!O279+DATAOPS!Q279)*E276</f>
        <v>2560</v>
      </c>
    </row>
    <row r="277" spans="2:12" x14ac:dyDescent="0.3">
      <c r="B277" s="1" t="str">
        <f>+DATAOPS!C280</f>
        <v>AVECMUA</v>
      </c>
      <c r="C277" s="1">
        <f>+DATAOPS!M280</f>
        <v>8</v>
      </c>
      <c r="D277" s="1">
        <f>+DATAOPS!N280+DATAOPS!O280+DATAOPS!Q280</f>
        <v>40</v>
      </c>
      <c r="E277" s="1">
        <f>+DATAOPS!W280</f>
        <v>32</v>
      </c>
      <c r="F277" s="1">
        <f>+DATAOPS!AA280</f>
        <v>2021</v>
      </c>
      <c r="G277" s="1" t="str">
        <f>+DATAOPS!D280</f>
        <v>ROPA DORMIR</v>
      </c>
      <c r="H277" s="1">
        <f>+DATAOPS!AB280</f>
        <v>3</v>
      </c>
      <c r="I277" s="1">
        <f t="shared" si="8"/>
        <v>256</v>
      </c>
      <c r="J277" s="1">
        <f t="shared" si="9"/>
        <v>1280</v>
      </c>
      <c r="K277" s="1">
        <f>+DATAOPS!O280*E277</f>
        <v>768</v>
      </c>
      <c r="L277" s="1">
        <f>+(DATAOPS!N280+DATAOPS!O280+DATAOPS!Q280)*E277</f>
        <v>1280</v>
      </c>
    </row>
    <row r="278" spans="2:12" x14ac:dyDescent="0.3">
      <c r="B278" s="1" t="str">
        <f>+DATAOPS!C281</f>
        <v>MARELLE</v>
      </c>
      <c r="C278" s="1">
        <f>+DATAOPS!M281</f>
        <v>10.199999999999999</v>
      </c>
      <c r="D278" s="1">
        <f>+DATAOPS!N281+DATAOPS!O281+DATAOPS!Q281</f>
        <v>51.6</v>
      </c>
      <c r="E278" s="1">
        <f>+DATAOPS!W281</f>
        <v>192</v>
      </c>
      <c r="F278" s="1">
        <f>+DATAOPS!AA281</f>
        <v>2021</v>
      </c>
      <c r="G278" s="1" t="str">
        <f>+DATAOPS!D281</f>
        <v>ROPA DORMIR</v>
      </c>
      <c r="H278" s="1">
        <f>+DATAOPS!AB281</f>
        <v>3</v>
      </c>
      <c r="I278" s="1">
        <f t="shared" si="8"/>
        <v>1958.3999999999999</v>
      </c>
      <c r="J278" s="1">
        <f t="shared" si="9"/>
        <v>9907.2000000000007</v>
      </c>
      <c r="K278" s="1">
        <f>+DATAOPS!O281*E278</f>
        <v>5760</v>
      </c>
      <c r="L278" s="1">
        <f>+(DATAOPS!N281+DATAOPS!O281+DATAOPS!Q281)*E278</f>
        <v>9907.2000000000007</v>
      </c>
    </row>
    <row r="279" spans="2:12" x14ac:dyDescent="0.3">
      <c r="B279" s="1" t="str">
        <f>+DATAOPS!C282</f>
        <v>MARELLE</v>
      </c>
      <c r="C279" s="1">
        <f>+DATAOPS!M282</f>
        <v>15.5</v>
      </c>
      <c r="D279" s="1">
        <f>+DATAOPS!N282+DATAOPS!O282+DATAOPS!Q282</f>
        <v>72</v>
      </c>
      <c r="E279" s="1">
        <f>+DATAOPS!W282</f>
        <v>62</v>
      </c>
      <c r="F279" s="1">
        <f>+DATAOPS!AA282</f>
        <v>2021</v>
      </c>
      <c r="G279" s="1" t="str">
        <f>+DATAOPS!D282</f>
        <v>ROPA DORMIR</v>
      </c>
      <c r="H279" s="1">
        <f>+DATAOPS!AB282</f>
        <v>3</v>
      </c>
      <c r="I279" s="1">
        <f t="shared" si="8"/>
        <v>961</v>
      </c>
      <c r="J279" s="1">
        <f t="shared" si="9"/>
        <v>4464</v>
      </c>
      <c r="K279" s="1">
        <f>+DATAOPS!O282*E279</f>
        <v>3224</v>
      </c>
      <c r="L279" s="1">
        <f>+(DATAOPS!N282+DATAOPS!O282+DATAOPS!Q282)*E279</f>
        <v>4464</v>
      </c>
    </row>
    <row r="280" spans="2:12" x14ac:dyDescent="0.3">
      <c r="B280" s="1" t="str">
        <f>+DATAOPS!C283</f>
        <v>MARELLE</v>
      </c>
      <c r="C280" s="1">
        <f>+DATAOPS!M283</f>
        <v>15.5</v>
      </c>
      <c r="D280" s="1">
        <f>+DATAOPS!N283+DATAOPS!O283+DATAOPS!Q283</f>
        <v>72</v>
      </c>
      <c r="E280" s="1">
        <f>+DATAOPS!W283</f>
        <v>62</v>
      </c>
      <c r="F280" s="1">
        <f>+DATAOPS!AA283</f>
        <v>2021</v>
      </c>
      <c r="G280" s="1" t="str">
        <f>+DATAOPS!D283</f>
        <v>ROPA DORMIR</v>
      </c>
      <c r="H280" s="1">
        <f>+DATAOPS!AB283</f>
        <v>3</v>
      </c>
      <c r="I280" s="1">
        <f t="shared" si="8"/>
        <v>961</v>
      </c>
      <c r="J280" s="1">
        <f t="shared" si="9"/>
        <v>4464</v>
      </c>
      <c r="K280" s="1">
        <f>+DATAOPS!O283*E280</f>
        <v>3224</v>
      </c>
      <c r="L280" s="1">
        <f>+(DATAOPS!N283+DATAOPS!O283+DATAOPS!Q283)*E280</f>
        <v>4464</v>
      </c>
    </row>
    <row r="281" spans="2:12" x14ac:dyDescent="0.3">
      <c r="B281" s="1" t="str">
        <f>+DATAOPS!C284</f>
        <v>MARELLE</v>
      </c>
      <c r="C281" s="1">
        <f>+DATAOPS!M284</f>
        <v>9.6999999999999993</v>
      </c>
      <c r="D281" s="1">
        <f>+DATAOPS!N284+DATAOPS!O284+DATAOPS!Q284</f>
        <v>47.6</v>
      </c>
      <c r="E281" s="1">
        <f>+DATAOPS!W284</f>
        <v>64</v>
      </c>
      <c r="F281" s="1">
        <f>+DATAOPS!AA284</f>
        <v>2021</v>
      </c>
      <c r="G281" s="1" t="str">
        <f>+DATAOPS!D284</f>
        <v>ROPA DORMIR</v>
      </c>
      <c r="H281" s="1">
        <f>+DATAOPS!AB284</f>
        <v>3</v>
      </c>
      <c r="I281" s="1">
        <f t="shared" si="8"/>
        <v>620.79999999999995</v>
      </c>
      <c r="J281" s="1">
        <f t="shared" si="9"/>
        <v>3046.4</v>
      </c>
      <c r="K281" s="1">
        <f>+DATAOPS!O284*E281</f>
        <v>1920</v>
      </c>
      <c r="L281" s="1">
        <f>+(DATAOPS!N284+DATAOPS!O284+DATAOPS!Q284)*E281</f>
        <v>3046.4</v>
      </c>
    </row>
    <row r="282" spans="2:12" x14ac:dyDescent="0.3">
      <c r="B282" s="1" t="str">
        <f>+DATAOPS!C285</f>
        <v>FASHION VIEWS</v>
      </c>
      <c r="C282" s="1">
        <f>+DATAOPS!M285</f>
        <v>10.5</v>
      </c>
      <c r="D282" s="1">
        <f>+DATAOPS!N285+DATAOPS!O285+DATAOPS!Q285</f>
        <v>54</v>
      </c>
      <c r="E282" s="1">
        <f>+DATAOPS!W285</f>
        <v>54</v>
      </c>
      <c r="F282" s="1">
        <f>+DATAOPS!AA285</f>
        <v>2021</v>
      </c>
      <c r="G282" s="1" t="str">
        <f>+DATAOPS!D285</f>
        <v>ROPA DORMIR</v>
      </c>
      <c r="H282" s="1">
        <f>+DATAOPS!AB285</f>
        <v>3</v>
      </c>
      <c r="I282" s="1">
        <f t="shared" si="8"/>
        <v>567</v>
      </c>
      <c r="J282" s="1">
        <f t="shared" si="9"/>
        <v>2916</v>
      </c>
      <c r="K282" s="397">
        <f>+DATAOPS!O285*E282</f>
        <v>1620</v>
      </c>
      <c r="L282" s="1">
        <f>+(DATAOPS!N285+DATAOPS!O285+DATAOPS!Q285)*E282</f>
        <v>2916</v>
      </c>
    </row>
    <row r="283" spans="2:12" x14ac:dyDescent="0.3">
      <c r="B283" s="1" t="str">
        <f>+DATAOPS!C286</f>
        <v>MARELLE</v>
      </c>
      <c r="C283" s="1">
        <f>+DATAOPS!M286</f>
        <v>21.7</v>
      </c>
      <c r="D283" s="1">
        <f>+DATAOPS!N286+DATAOPS!O286+DATAOPS!Q286</f>
        <v>140.80000000000001</v>
      </c>
      <c r="E283" s="1">
        <f>+DATAOPS!W286</f>
        <v>186</v>
      </c>
      <c r="F283" s="1">
        <f>+DATAOPS!AA286</f>
        <v>2021</v>
      </c>
      <c r="G283" s="1" t="str">
        <f>+DATAOPS!D286</f>
        <v>ROPA DORMIR</v>
      </c>
      <c r="H283" s="1">
        <f>+DATAOPS!AB286</f>
        <v>4</v>
      </c>
      <c r="I283" s="1">
        <f t="shared" si="8"/>
        <v>4036.2</v>
      </c>
      <c r="J283" s="1">
        <f t="shared" si="9"/>
        <v>26188.800000000003</v>
      </c>
      <c r="K283" s="1">
        <f>+DATAOPS!O286*E283</f>
        <v>6100.7999999999993</v>
      </c>
      <c r="L283" s="1">
        <f>+(DATAOPS!N286+DATAOPS!O286+DATAOPS!Q286)*E283</f>
        <v>26188.800000000003</v>
      </c>
    </row>
    <row r="284" spans="2:12" x14ac:dyDescent="0.3">
      <c r="B284" s="1" t="str">
        <f>+DATAOPS!C287</f>
        <v>MARELLE</v>
      </c>
      <c r="C284" s="1">
        <f>+DATAOPS!M287</f>
        <v>15.5</v>
      </c>
      <c r="D284" s="1">
        <f>+DATAOPS!N287+DATAOPS!O287+DATAOPS!Q287</f>
        <v>72</v>
      </c>
      <c r="E284" s="1">
        <f>+DATAOPS!W287</f>
        <v>62</v>
      </c>
      <c r="F284" s="1">
        <f>+DATAOPS!AA287</f>
        <v>2021</v>
      </c>
      <c r="G284" s="1" t="str">
        <f>+DATAOPS!D287</f>
        <v>ROPA DORMIR</v>
      </c>
      <c r="H284" s="1">
        <f>+DATAOPS!AB287</f>
        <v>4</v>
      </c>
      <c r="I284" s="1">
        <f t="shared" si="8"/>
        <v>961</v>
      </c>
      <c r="J284" s="1">
        <f t="shared" si="9"/>
        <v>4464</v>
      </c>
      <c r="K284" s="1">
        <f>+DATAOPS!O287*E284</f>
        <v>3224</v>
      </c>
      <c r="L284" s="1">
        <f>+(DATAOPS!N287+DATAOPS!O287+DATAOPS!Q287)*E284</f>
        <v>4464</v>
      </c>
    </row>
    <row r="285" spans="2:12" x14ac:dyDescent="0.3">
      <c r="B285" s="1" t="str">
        <f>+DATAOPS!C288</f>
        <v>MARELLE</v>
      </c>
      <c r="C285" s="1">
        <f>+DATAOPS!M288</f>
        <v>8.8000000000000007</v>
      </c>
      <c r="D285" s="1">
        <f>+DATAOPS!N288+DATAOPS!O288+DATAOPS!Q288</f>
        <v>43.2</v>
      </c>
      <c r="E285" s="1">
        <f>+DATAOPS!W288</f>
        <v>248</v>
      </c>
      <c r="F285" s="1">
        <f>+DATAOPS!AA288</f>
        <v>2021</v>
      </c>
      <c r="G285" s="1" t="str">
        <f>+DATAOPS!D288</f>
        <v>ROPA DORMIR</v>
      </c>
      <c r="H285" s="1">
        <f>+DATAOPS!AB288</f>
        <v>4</v>
      </c>
      <c r="I285" s="1">
        <f t="shared" si="8"/>
        <v>2182.4</v>
      </c>
      <c r="J285" s="1">
        <f t="shared" si="9"/>
        <v>10713.6</v>
      </c>
      <c r="K285" s="1">
        <f>+DATAOPS!O288*E285</f>
        <v>6745.5999999999995</v>
      </c>
      <c r="L285" s="1">
        <f>+(DATAOPS!N288+DATAOPS!O288+DATAOPS!Q288)*E285</f>
        <v>10713.6</v>
      </c>
    </row>
    <row r="286" spans="2:12" x14ac:dyDescent="0.3">
      <c r="B286" s="1" t="str">
        <f>+DATAOPS!C289</f>
        <v>MARELLE</v>
      </c>
      <c r="C286" s="1">
        <f>+DATAOPS!M289</f>
        <v>10.199999999999999</v>
      </c>
      <c r="D286" s="1">
        <f>+DATAOPS!N289+DATAOPS!O289+DATAOPS!Q289</f>
        <v>51.6</v>
      </c>
      <c r="E286" s="1">
        <f>+DATAOPS!W289</f>
        <v>248</v>
      </c>
      <c r="F286" s="1">
        <f>+DATAOPS!AA289</f>
        <v>2021</v>
      </c>
      <c r="G286" s="1" t="str">
        <f>+DATAOPS!D289</f>
        <v>ROPA DORMIR</v>
      </c>
      <c r="H286" s="1">
        <f>+DATAOPS!AB289</f>
        <v>4</v>
      </c>
      <c r="I286" s="1">
        <f t="shared" si="8"/>
        <v>2529.6</v>
      </c>
      <c r="J286" s="1">
        <f t="shared" si="9"/>
        <v>12796.800000000001</v>
      </c>
      <c r="K286" s="1">
        <f>+DATAOPS!O289*E286</f>
        <v>7440</v>
      </c>
      <c r="L286" s="1">
        <f>+(DATAOPS!N289+DATAOPS!O289+DATAOPS!Q289)*E286</f>
        <v>12796.800000000001</v>
      </c>
    </row>
    <row r="287" spans="2:12" x14ac:dyDescent="0.3">
      <c r="B287" s="1" t="str">
        <f>+DATAOPS!C290</f>
        <v>KISSY KISSY</v>
      </c>
      <c r="C287" s="1">
        <f>+DATAOPS!M290</f>
        <v>22</v>
      </c>
      <c r="D287" s="1">
        <f>+DATAOPS!N290+DATAOPS!O290+DATAOPS!Q290</f>
        <v>60</v>
      </c>
      <c r="E287" s="1">
        <f>+DATAOPS!W290</f>
        <v>8</v>
      </c>
      <c r="F287" s="1">
        <f>+DATAOPS!AA290</f>
        <v>2021</v>
      </c>
      <c r="G287" s="1" t="str">
        <f>+DATAOPS!D290</f>
        <v>BEBES</v>
      </c>
      <c r="H287" s="1">
        <f>+DATAOPS!AB290</f>
        <v>5</v>
      </c>
      <c r="I287" s="1">
        <f t="shared" si="8"/>
        <v>176</v>
      </c>
      <c r="J287" s="1">
        <f t="shared" si="9"/>
        <v>480</v>
      </c>
      <c r="K287" s="1">
        <f>+DATAOPS!O290*E287</f>
        <v>288</v>
      </c>
      <c r="L287" s="1">
        <f>+(DATAOPS!N290+DATAOPS!O290+DATAOPS!Q290)*E287</f>
        <v>480</v>
      </c>
    </row>
    <row r="288" spans="2:12" x14ac:dyDescent="0.3">
      <c r="B288" s="1" t="str">
        <f>+DATAOPS!C291</f>
        <v>KISSY KISSY</v>
      </c>
      <c r="C288" s="1">
        <f>+DATAOPS!M291</f>
        <v>22</v>
      </c>
      <c r="D288" s="1">
        <f>+DATAOPS!N291+DATAOPS!O291+DATAOPS!Q291</f>
        <v>60</v>
      </c>
      <c r="E288" s="1">
        <f>+DATAOPS!W291</f>
        <v>8</v>
      </c>
      <c r="F288" s="1">
        <f>+DATAOPS!AA291</f>
        <v>2021</v>
      </c>
      <c r="G288" s="1" t="str">
        <f>+DATAOPS!D291</f>
        <v>BEBES</v>
      </c>
      <c r="H288" s="1">
        <f>+DATAOPS!AB291</f>
        <v>5</v>
      </c>
      <c r="I288" s="1">
        <f t="shared" si="8"/>
        <v>176</v>
      </c>
      <c r="J288" s="1">
        <f t="shared" si="9"/>
        <v>480</v>
      </c>
      <c r="K288" s="1">
        <f>+DATAOPS!O291*E288</f>
        <v>288</v>
      </c>
      <c r="L288" s="1">
        <f>+(DATAOPS!N291+DATAOPS!O291+DATAOPS!Q291)*E288</f>
        <v>480</v>
      </c>
    </row>
    <row r="289" spans="2:12" x14ac:dyDescent="0.3">
      <c r="B289" s="1" t="str">
        <f>+DATAOPS!C292</f>
        <v>KISSY KISSY</v>
      </c>
      <c r="C289" s="1">
        <f>+DATAOPS!M292</f>
        <v>22</v>
      </c>
      <c r="D289" s="1">
        <f>+DATAOPS!N292+DATAOPS!O292+DATAOPS!Q292</f>
        <v>60</v>
      </c>
      <c r="E289" s="1">
        <f>+DATAOPS!W292</f>
        <v>8</v>
      </c>
      <c r="F289" s="1">
        <f>+DATAOPS!AA292</f>
        <v>2021</v>
      </c>
      <c r="G289" s="1" t="str">
        <f>+DATAOPS!D292</f>
        <v>BEBES</v>
      </c>
      <c r="H289" s="1">
        <f>+DATAOPS!AB292</f>
        <v>5</v>
      </c>
      <c r="I289" s="1">
        <f t="shared" si="8"/>
        <v>176</v>
      </c>
      <c r="J289" s="1">
        <f t="shared" si="9"/>
        <v>480</v>
      </c>
      <c r="K289" s="1">
        <f>+DATAOPS!O292*E289</f>
        <v>288</v>
      </c>
      <c r="L289" s="1">
        <f>+(DATAOPS!N292+DATAOPS!O292+DATAOPS!Q292)*E289</f>
        <v>480</v>
      </c>
    </row>
    <row r="290" spans="2:12" x14ac:dyDescent="0.3">
      <c r="B290" s="1" t="str">
        <f>+DATAOPS!C293</f>
        <v>KISSY KISSY</v>
      </c>
      <c r="C290" s="1">
        <f>+DATAOPS!M293</f>
        <v>22</v>
      </c>
      <c r="D290" s="1">
        <f>+DATAOPS!N293+DATAOPS!O293+DATAOPS!Q293</f>
        <v>60</v>
      </c>
      <c r="E290" s="1">
        <f>+DATAOPS!W293</f>
        <v>8</v>
      </c>
      <c r="F290" s="1">
        <f>+DATAOPS!AA293</f>
        <v>2021</v>
      </c>
      <c r="G290" s="1" t="str">
        <f>+DATAOPS!D293</f>
        <v>BEBES</v>
      </c>
      <c r="H290" s="1">
        <f>+DATAOPS!AB293</f>
        <v>5</v>
      </c>
      <c r="I290" s="1">
        <f t="shared" si="8"/>
        <v>176</v>
      </c>
      <c r="J290" s="1">
        <f t="shared" si="9"/>
        <v>480</v>
      </c>
      <c r="K290" s="1">
        <f>+DATAOPS!O293*E290</f>
        <v>288</v>
      </c>
      <c r="L290" s="1">
        <f>+(DATAOPS!N293+DATAOPS!O293+DATAOPS!Q293)*E290</f>
        <v>480</v>
      </c>
    </row>
    <row r="291" spans="2:12" x14ac:dyDescent="0.3">
      <c r="B291" s="1" t="str">
        <f>+DATAOPS!C294</f>
        <v>KISSY KISSY</v>
      </c>
      <c r="C291" s="1">
        <f>+DATAOPS!M294</f>
        <v>22</v>
      </c>
      <c r="D291" s="1">
        <f>+DATAOPS!N294+DATAOPS!O294+DATAOPS!Q294</f>
        <v>60</v>
      </c>
      <c r="E291" s="1">
        <f>+DATAOPS!W294</f>
        <v>8</v>
      </c>
      <c r="F291" s="1">
        <f>+DATAOPS!AA294</f>
        <v>2021</v>
      </c>
      <c r="G291" s="1" t="str">
        <f>+DATAOPS!D294</f>
        <v>BEBES</v>
      </c>
      <c r="H291" s="1">
        <f>+DATAOPS!AB294</f>
        <v>5</v>
      </c>
      <c r="I291" s="1">
        <f t="shared" si="8"/>
        <v>176</v>
      </c>
      <c r="J291" s="1">
        <f t="shared" si="9"/>
        <v>480</v>
      </c>
      <c r="K291" s="1">
        <f>+DATAOPS!O294*E291</f>
        <v>288</v>
      </c>
      <c r="L291" s="1">
        <f>+(DATAOPS!N294+DATAOPS!O294+DATAOPS!Q294)*E291</f>
        <v>480</v>
      </c>
    </row>
    <row r="292" spans="2:12" x14ac:dyDescent="0.3">
      <c r="B292" s="1" t="str">
        <f>+DATAOPS!C295</f>
        <v>KISSY KISSY</v>
      </c>
      <c r="C292" s="1">
        <f>+DATAOPS!M295</f>
        <v>14.5</v>
      </c>
      <c r="D292" s="1">
        <f>+DATAOPS!N295+DATAOPS!O295+DATAOPS!Q295</f>
        <v>46</v>
      </c>
      <c r="E292" s="1">
        <f>+DATAOPS!W295</f>
        <v>8</v>
      </c>
      <c r="F292" s="1">
        <f>+DATAOPS!AA295</f>
        <v>2021</v>
      </c>
      <c r="G292" s="1" t="str">
        <f>+DATAOPS!D295</f>
        <v>BEBES</v>
      </c>
      <c r="H292" s="1">
        <f>+DATAOPS!AB295</f>
        <v>5</v>
      </c>
      <c r="I292" s="1">
        <f t="shared" si="8"/>
        <v>116</v>
      </c>
      <c r="J292" s="1">
        <f t="shared" si="9"/>
        <v>368</v>
      </c>
      <c r="K292" s="1">
        <f>+DATAOPS!O295*E292</f>
        <v>176</v>
      </c>
      <c r="L292" s="1">
        <f>+(DATAOPS!N295+DATAOPS!O295+DATAOPS!Q295)*E292</f>
        <v>368</v>
      </c>
    </row>
    <row r="293" spans="2:12" x14ac:dyDescent="0.3">
      <c r="B293" s="1" t="str">
        <f>+DATAOPS!C296</f>
        <v>KISSY KISSY</v>
      </c>
      <c r="C293" s="1">
        <f>+DATAOPS!M296</f>
        <v>10</v>
      </c>
      <c r="D293" s="1">
        <f>+DATAOPS!N296+DATAOPS!O296+DATAOPS!Q296</f>
        <v>26</v>
      </c>
      <c r="E293" s="1">
        <f>+DATAOPS!W296</f>
        <v>8</v>
      </c>
      <c r="F293" s="1">
        <f>+DATAOPS!AA296</f>
        <v>2021</v>
      </c>
      <c r="G293" s="1" t="str">
        <f>+DATAOPS!D296</f>
        <v>BEBES</v>
      </c>
      <c r="H293" s="1">
        <f>+DATAOPS!AB296</f>
        <v>5</v>
      </c>
      <c r="I293" s="1">
        <f t="shared" si="8"/>
        <v>80</v>
      </c>
      <c r="J293" s="1">
        <f t="shared" si="9"/>
        <v>208</v>
      </c>
      <c r="K293" s="1">
        <f>+DATAOPS!O296*E293</f>
        <v>112</v>
      </c>
      <c r="L293" s="1">
        <f>+(DATAOPS!N296+DATAOPS!O296+DATAOPS!Q296)*E293</f>
        <v>208</v>
      </c>
    </row>
    <row r="294" spans="2:12" x14ac:dyDescent="0.3">
      <c r="B294" s="1" t="str">
        <f>+DATAOPS!C297</f>
        <v>KISSY KISSY</v>
      </c>
      <c r="C294" s="1">
        <f>+DATAOPS!M297</f>
        <v>9</v>
      </c>
      <c r="D294" s="1">
        <f>+DATAOPS!N297+DATAOPS!O297+DATAOPS!Q297</f>
        <v>22</v>
      </c>
      <c r="E294" s="1">
        <f>+DATAOPS!W297</f>
        <v>8</v>
      </c>
      <c r="F294" s="1">
        <f>+DATAOPS!AA297</f>
        <v>2021</v>
      </c>
      <c r="G294" s="1" t="str">
        <f>+DATAOPS!D297</f>
        <v>BEBES</v>
      </c>
      <c r="H294" s="1">
        <f>+DATAOPS!AB297</f>
        <v>5</v>
      </c>
      <c r="I294" s="1">
        <f t="shared" si="8"/>
        <v>72</v>
      </c>
      <c r="J294" s="1">
        <f t="shared" si="9"/>
        <v>176</v>
      </c>
      <c r="K294" s="1">
        <f>+DATAOPS!O297*E294</f>
        <v>80</v>
      </c>
      <c r="L294" s="1">
        <f>+(DATAOPS!N297+DATAOPS!O297+DATAOPS!Q297)*E294</f>
        <v>176</v>
      </c>
    </row>
    <row r="295" spans="2:12" x14ac:dyDescent="0.3">
      <c r="B295" s="1" t="str">
        <f>+DATAOPS!C298</f>
        <v>KISSY KISSY</v>
      </c>
      <c r="C295" s="1">
        <f>+DATAOPS!M298</f>
        <v>9</v>
      </c>
      <c r="D295" s="1">
        <f>+DATAOPS!N298+DATAOPS!O298+DATAOPS!Q298</f>
        <v>22</v>
      </c>
      <c r="E295" s="1">
        <f>+DATAOPS!W298</f>
        <v>8</v>
      </c>
      <c r="F295" s="1">
        <f>+DATAOPS!AA298</f>
        <v>2021</v>
      </c>
      <c r="G295" s="1" t="str">
        <f>+DATAOPS!D298</f>
        <v>BEBES</v>
      </c>
      <c r="H295" s="1">
        <f>+DATAOPS!AB298</f>
        <v>5</v>
      </c>
      <c r="I295" s="1">
        <f t="shared" si="8"/>
        <v>72</v>
      </c>
      <c r="J295" s="1">
        <f t="shared" si="9"/>
        <v>176</v>
      </c>
      <c r="K295" s="1">
        <f>+DATAOPS!O298*E295</f>
        <v>80</v>
      </c>
      <c r="L295" s="1">
        <f>+(DATAOPS!N298+DATAOPS!O298+DATAOPS!Q298)*E295</f>
        <v>176</v>
      </c>
    </row>
    <row r="296" spans="2:12" x14ac:dyDescent="0.3">
      <c r="B296" s="1" t="str">
        <f>+DATAOPS!C299</f>
        <v>MFC</v>
      </c>
      <c r="C296" s="1">
        <f>+DATAOPS!M299</f>
        <v>7</v>
      </c>
      <c r="D296" s="1">
        <f>+DATAOPS!N299+DATAOPS!O299+DATAOPS!Q299</f>
        <v>36</v>
      </c>
      <c r="E296" s="1">
        <f>+DATAOPS!W299</f>
        <v>32</v>
      </c>
      <c r="F296" s="1">
        <f>+DATAOPS!AA299</f>
        <v>2021</v>
      </c>
      <c r="G296" s="1" t="str">
        <f>+DATAOPS!D299</f>
        <v>ROPA DORMIR</v>
      </c>
      <c r="H296" s="1">
        <f>+DATAOPS!AB299</f>
        <v>5</v>
      </c>
      <c r="I296" s="1">
        <f t="shared" si="8"/>
        <v>224</v>
      </c>
      <c r="J296" s="1">
        <f t="shared" si="9"/>
        <v>1152</v>
      </c>
      <c r="K296" s="1">
        <f>+DATAOPS!O299*E296</f>
        <v>640</v>
      </c>
      <c r="L296" s="1">
        <f>+(DATAOPS!N299+DATAOPS!O299+DATAOPS!Q299)*E296</f>
        <v>1152</v>
      </c>
    </row>
    <row r="297" spans="2:12" x14ac:dyDescent="0.3">
      <c r="B297" s="1" t="str">
        <f>+DATAOPS!C300</f>
        <v>MFC</v>
      </c>
      <c r="C297" s="1">
        <f>+DATAOPS!M300</f>
        <v>8</v>
      </c>
      <c r="D297" s="1">
        <f>+DATAOPS!N300+DATAOPS!O300+DATAOPS!Q300</f>
        <v>40</v>
      </c>
      <c r="E297" s="1">
        <f>+DATAOPS!W300</f>
        <v>32</v>
      </c>
      <c r="F297" s="1">
        <f>+DATAOPS!AA300</f>
        <v>2021</v>
      </c>
      <c r="G297" s="1" t="str">
        <f>+DATAOPS!D300</f>
        <v>ROPA DORMIR</v>
      </c>
      <c r="H297" s="1">
        <f>+DATAOPS!AB300</f>
        <v>5</v>
      </c>
      <c r="I297" s="1">
        <f t="shared" si="8"/>
        <v>256</v>
      </c>
      <c r="J297" s="1">
        <f t="shared" si="9"/>
        <v>1280</v>
      </c>
      <c r="K297" s="1">
        <f>+DATAOPS!O300*E297</f>
        <v>768</v>
      </c>
      <c r="L297" s="1">
        <f>+(DATAOPS!N300+DATAOPS!O300+DATAOPS!Q300)*E297</f>
        <v>1280</v>
      </c>
    </row>
    <row r="298" spans="2:12" x14ac:dyDescent="0.3">
      <c r="B298" s="1" t="str">
        <f>+DATAOPS!C301</f>
        <v>MFC</v>
      </c>
      <c r="C298" s="1">
        <f>+DATAOPS!M301</f>
        <v>9.5</v>
      </c>
      <c r="D298" s="1">
        <f>+DATAOPS!N301+DATAOPS!O301+DATAOPS!Q301</f>
        <v>48</v>
      </c>
      <c r="E298" s="1">
        <f>+DATAOPS!W301</f>
        <v>41</v>
      </c>
      <c r="F298" s="1">
        <f>+DATAOPS!AA301</f>
        <v>2021</v>
      </c>
      <c r="G298" s="1" t="str">
        <f>+DATAOPS!D301</f>
        <v>ROPA DORMIR</v>
      </c>
      <c r="H298" s="1">
        <f>+DATAOPS!AB301</f>
        <v>5</v>
      </c>
      <c r="I298" s="1">
        <f t="shared" si="8"/>
        <v>389.5</v>
      </c>
      <c r="J298" s="1">
        <f t="shared" si="9"/>
        <v>1968</v>
      </c>
      <c r="K298" s="1">
        <f>+DATAOPS!O301*E298</f>
        <v>1148</v>
      </c>
      <c r="L298" s="1">
        <f>+(DATAOPS!N301+DATAOPS!O301+DATAOPS!Q301)*E298</f>
        <v>1968</v>
      </c>
    </row>
    <row r="299" spans="2:12" x14ac:dyDescent="0.3">
      <c r="B299" s="1" t="str">
        <f>+DATAOPS!C302</f>
        <v>FASHION VIEWS</v>
      </c>
      <c r="C299" s="1">
        <f>+DATAOPS!M302</f>
        <v>16.5</v>
      </c>
      <c r="D299" s="1">
        <f>+DATAOPS!N302+DATAOPS!O302+DATAOPS!Q302</f>
        <v>78</v>
      </c>
      <c r="E299" s="1">
        <f>+DATAOPS!W302</f>
        <v>122</v>
      </c>
      <c r="F299" s="1">
        <f>+DATAOPS!AA302</f>
        <v>2021</v>
      </c>
      <c r="G299" s="1" t="str">
        <f>+DATAOPS!D302</f>
        <v>ROPA DORMIR</v>
      </c>
      <c r="H299" s="1">
        <f>+DATAOPS!AB302</f>
        <v>6</v>
      </c>
      <c r="I299" s="1">
        <f t="shared" si="8"/>
        <v>2013</v>
      </c>
      <c r="J299" s="1">
        <f t="shared" si="9"/>
        <v>9516</v>
      </c>
      <c r="K299" s="1">
        <f>+DATAOPS!O302*E299</f>
        <v>6588</v>
      </c>
      <c r="L299" s="1">
        <f>+(DATAOPS!N302+DATAOPS!O302+DATAOPS!Q302)*E299</f>
        <v>9516</v>
      </c>
    </row>
    <row r="300" spans="2:12" x14ac:dyDescent="0.3">
      <c r="B300" s="1" t="str">
        <f>+DATAOPS!C303</f>
        <v>FASHION VIEWS</v>
      </c>
      <c r="C300" s="1">
        <f>+DATAOPS!M303</f>
        <v>16</v>
      </c>
      <c r="D300" s="1">
        <f>+DATAOPS!N303+DATAOPS!O303+DATAOPS!Q303</f>
        <v>76</v>
      </c>
      <c r="E300" s="1">
        <f>+DATAOPS!W303</f>
        <v>52</v>
      </c>
      <c r="F300" s="1">
        <f>+DATAOPS!AA303</f>
        <v>2021</v>
      </c>
      <c r="G300" s="1" t="str">
        <f>+DATAOPS!D303</f>
        <v>ROPA DORMIR</v>
      </c>
      <c r="H300" s="1">
        <f>+DATAOPS!AB303</f>
        <v>6</v>
      </c>
      <c r="I300" s="1">
        <f t="shared" si="8"/>
        <v>832</v>
      </c>
      <c r="J300" s="1">
        <f t="shared" si="9"/>
        <v>3952</v>
      </c>
      <c r="K300" s="1">
        <f>+DATAOPS!O303*E300</f>
        <v>2704</v>
      </c>
      <c r="L300" s="1">
        <f>+(DATAOPS!N303+DATAOPS!O303+DATAOPS!Q303)*E300</f>
        <v>3952</v>
      </c>
    </row>
    <row r="301" spans="2:12" x14ac:dyDescent="0.3">
      <c r="B301" s="1" t="str">
        <f>+DATAOPS!C304</f>
        <v>FASHION VIEWS</v>
      </c>
      <c r="C301" s="1">
        <f>+DATAOPS!M304</f>
        <v>7.7</v>
      </c>
      <c r="D301" s="1">
        <f>+DATAOPS!N304+DATAOPS!O304+DATAOPS!Q304</f>
        <v>42.8</v>
      </c>
      <c r="E301" s="1">
        <f>+DATAOPS!W304</f>
        <v>44</v>
      </c>
      <c r="F301" s="1">
        <f>+DATAOPS!AA304</f>
        <v>2021</v>
      </c>
      <c r="G301" s="1" t="str">
        <f>+DATAOPS!D304</f>
        <v>ROPA DORMIR</v>
      </c>
      <c r="H301" s="1">
        <f>+DATAOPS!AB304</f>
        <v>6</v>
      </c>
      <c r="I301" s="1">
        <f t="shared" si="8"/>
        <v>338.8</v>
      </c>
      <c r="J301" s="1">
        <f t="shared" si="9"/>
        <v>1883.1999999999998</v>
      </c>
      <c r="K301" s="1">
        <f>+DATAOPS!O304*E301</f>
        <v>827.2</v>
      </c>
      <c r="L301" s="1">
        <f>+(DATAOPS!N304+DATAOPS!O304+DATAOPS!Q304)*E301</f>
        <v>1883.1999999999998</v>
      </c>
    </row>
    <row r="302" spans="2:12" x14ac:dyDescent="0.3">
      <c r="B302" s="1" t="str">
        <f>+DATAOPS!C305</f>
        <v>FASHION VIEWS</v>
      </c>
      <c r="C302" s="1">
        <f>+DATAOPS!M305</f>
        <v>18.5</v>
      </c>
      <c r="D302" s="1">
        <f>+DATAOPS!N305+DATAOPS!O305+DATAOPS!Q305</f>
        <v>88</v>
      </c>
      <c r="E302" s="1">
        <f>+DATAOPS!W305</f>
        <v>193</v>
      </c>
      <c r="F302" s="1">
        <f>+DATAOPS!AA305</f>
        <v>2021</v>
      </c>
      <c r="G302" s="1" t="str">
        <f>+DATAOPS!D305</f>
        <v>ROPA DORMIR</v>
      </c>
      <c r="H302" s="1">
        <f>+DATAOPS!AB305</f>
        <v>6</v>
      </c>
      <c r="I302" s="1">
        <f t="shared" si="8"/>
        <v>3570.5</v>
      </c>
      <c r="J302" s="1">
        <f t="shared" si="9"/>
        <v>16984</v>
      </c>
      <c r="K302" s="1">
        <f>+DATAOPS!O305*E302</f>
        <v>11580</v>
      </c>
      <c r="L302" s="1">
        <f>+(DATAOPS!N305+DATAOPS!O305+DATAOPS!Q305)*E302</f>
        <v>16984</v>
      </c>
    </row>
    <row r="303" spans="2:12" x14ac:dyDescent="0.3">
      <c r="B303" s="1" t="str">
        <f>+DATAOPS!C306</f>
        <v>FASHION VIEWS</v>
      </c>
      <c r="C303" s="1">
        <f>+DATAOPS!M306</f>
        <v>17</v>
      </c>
      <c r="D303" s="1">
        <f>+DATAOPS!N306+DATAOPS!O306+DATAOPS!Q306</f>
        <v>80</v>
      </c>
      <c r="E303" s="1">
        <f>+DATAOPS!W306</f>
        <v>66</v>
      </c>
      <c r="F303" s="1">
        <f>+DATAOPS!AA306</f>
        <v>2021</v>
      </c>
      <c r="G303" s="1" t="str">
        <f>+DATAOPS!D306</f>
        <v>ROPA DORMIR</v>
      </c>
      <c r="H303" s="1">
        <f>+DATAOPS!AB306</f>
        <v>6</v>
      </c>
      <c r="I303" s="1">
        <f t="shared" si="8"/>
        <v>1122</v>
      </c>
      <c r="J303" s="1">
        <f t="shared" si="9"/>
        <v>5280</v>
      </c>
      <c r="K303" s="1">
        <f>+DATAOPS!O306*E303</f>
        <v>3696</v>
      </c>
      <c r="L303" s="1">
        <f>+(DATAOPS!N306+DATAOPS!O306+DATAOPS!Q306)*E303</f>
        <v>5280</v>
      </c>
    </row>
    <row r="304" spans="2:12" x14ac:dyDescent="0.3">
      <c r="B304" s="1" t="str">
        <f>+DATAOPS!C307</f>
        <v>FASHION VIEWS</v>
      </c>
      <c r="C304" s="1">
        <f>+DATAOPS!M307</f>
        <v>13</v>
      </c>
      <c r="D304" s="1">
        <f>+DATAOPS!N307+DATAOPS!O307+DATAOPS!Q307</f>
        <v>64</v>
      </c>
      <c r="E304" s="1">
        <f>+DATAOPS!W307</f>
        <v>37</v>
      </c>
      <c r="F304" s="1">
        <f>+DATAOPS!AA307</f>
        <v>2021</v>
      </c>
      <c r="G304" s="1" t="str">
        <f>+DATAOPS!D307</f>
        <v>ROPA DORMIR</v>
      </c>
      <c r="H304" s="1">
        <f>+DATAOPS!AB307</f>
        <v>6</v>
      </c>
      <c r="I304" s="1">
        <f t="shared" si="8"/>
        <v>481</v>
      </c>
      <c r="J304" s="1">
        <f t="shared" si="9"/>
        <v>2368</v>
      </c>
      <c r="K304" s="397">
        <f>+DATAOPS!O307*E304</f>
        <v>1480</v>
      </c>
      <c r="L304" s="1">
        <f>+(DATAOPS!N307+DATAOPS!O307+DATAOPS!Q307)*E304</f>
        <v>2368</v>
      </c>
    </row>
    <row r="305" spans="2:12" x14ac:dyDescent="0.3">
      <c r="B305" s="1" t="str">
        <f>+DATAOPS!C308</f>
        <v>FASHION VIEWS</v>
      </c>
      <c r="C305" s="1">
        <f>+DATAOPS!M308</f>
        <v>10.199999999999999</v>
      </c>
      <c r="D305" s="1">
        <f>+DATAOPS!N308+DATAOPS!O308+DATAOPS!Q308</f>
        <v>54.8</v>
      </c>
      <c r="E305" s="1">
        <f>+DATAOPS!W308</f>
        <v>135</v>
      </c>
      <c r="F305" s="1">
        <f>+DATAOPS!AA308</f>
        <v>2021</v>
      </c>
      <c r="G305" s="1" t="str">
        <f>+DATAOPS!D308</f>
        <v>ROPA DORMIR</v>
      </c>
      <c r="H305" s="1">
        <f>+DATAOPS!AB308</f>
        <v>6</v>
      </c>
      <c r="I305" s="1">
        <f t="shared" si="8"/>
        <v>1377</v>
      </c>
      <c r="J305" s="1">
        <f t="shared" si="9"/>
        <v>7398</v>
      </c>
      <c r="K305" s="1">
        <f>+DATAOPS!O308*E305</f>
        <v>3618</v>
      </c>
      <c r="L305" s="1">
        <f>+(DATAOPS!N308+DATAOPS!O308+DATAOPS!Q308)*E305</f>
        <v>7398</v>
      </c>
    </row>
    <row r="306" spans="2:12" x14ac:dyDescent="0.3">
      <c r="B306" s="1" t="str">
        <f>+DATAOPS!C309</f>
        <v>FASHION VIEWS</v>
      </c>
      <c r="C306" s="1">
        <f>+DATAOPS!M309</f>
        <v>7.8</v>
      </c>
      <c r="D306" s="1">
        <f>+DATAOPS!N309+DATAOPS!O309+DATAOPS!Q309</f>
        <v>40.4</v>
      </c>
      <c r="E306" s="1">
        <f>+DATAOPS!W309</f>
        <v>86</v>
      </c>
      <c r="F306" s="1">
        <f>+DATAOPS!AA309</f>
        <v>2021</v>
      </c>
      <c r="G306" s="1" t="str">
        <f>+DATAOPS!D309</f>
        <v>ROPA DORMIR</v>
      </c>
      <c r="H306" s="1">
        <f>+DATAOPS!AB309</f>
        <v>6</v>
      </c>
      <c r="I306" s="1">
        <f t="shared" si="8"/>
        <v>670.8</v>
      </c>
      <c r="J306" s="1">
        <f t="shared" si="9"/>
        <v>3474.4</v>
      </c>
      <c r="K306" s="1">
        <f>+DATAOPS!O309*E306</f>
        <v>1892</v>
      </c>
      <c r="L306" s="1">
        <f>+(DATAOPS!N309+DATAOPS!O309+DATAOPS!Q309)*E306</f>
        <v>3474.4</v>
      </c>
    </row>
    <row r="307" spans="2:12" x14ac:dyDescent="0.3">
      <c r="B307" s="1" t="str">
        <f>+DATAOPS!C310</f>
        <v>FASHION VIEWS</v>
      </c>
      <c r="C307" s="1">
        <f>+DATAOPS!M310</f>
        <v>7.8</v>
      </c>
      <c r="D307" s="1">
        <f>+DATAOPS!N310+DATAOPS!O310+DATAOPS!Q310</f>
        <v>40.4</v>
      </c>
      <c r="E307" s="1">
        <f>+DATAOPS!W310</f>
        <v>31</v>
      </c>
      <c r="F307" s="1">
        <f>+DATAOPS!AA310</f>
        <v>2021</v>
      </c>
      <c r="G307" s="1" t="str">
        <f>+DATAOPS!D310</f>
        <v>ROPA DORMIR</v>
      </c>
      <c r="H307" s="1">
        <f>+DATAOPS!AB310</f>
        <v>6</v>
      </c>
      <c r="I307" s="1">
        <f t="shared" si="8"/>
        <v>241.79999999999998</v>
      </c>
      <c r="J307" s="1">
        <f t="shared" si="9"/>
        <v>1252.3999999999999</v>
      </c>
      <c r="K307" s="1">
        <f>+DATAOPS!O310*E307</f>
        <v>682</v>
      </c>
      <c r="L307" s="1">
        <f>+(DATAOPS!N310+DATAOPS!O310+DATAOPS!Q310)*E307</f>
        <v>1252.3999999999999</v>
      </c>
    </row>
    <row r="308" spans="2:12" x14ac:dyDescent="0.3">
      <c r="B308" s="1" t="str">
        <f>+DATAOPS!C311</f>
        <v>LIVLY</v>
      </c>
      <c r="C308" s="1">
        <f>+DATAOPS!M311</f>
        <v>12.5</v>
      </c>
      <c r="D308" s="1">
        <f>+DATAOPS!N311+DATAOPS!O311+DATAOPS!Q311</f>
        <v>56</v>
      </c>
      <c r="E308" s="1">
        <f>+DATAOPS!W311</f>
        <v>135</v>
      </c>
      <c r="F308" s="1">
        <f>+DATAOPS!AA311</f>
        <v>2021</v>
      </c>
      <c r="G308" s="1" t="str">
        <f>+DATAOPS!D311</f>
        <v>ROPA DORMIR</v>
      </c>
      <c r="H308" s="1">
        <f>+DATAOPS!AB311</f>
        <v>5</v>
      </c>
      <c r="I308" s="1">
        <f t="shared" ref="I308" si="10">+C308*E308</f>
        <v>1687.5</v>
      </c>
      <c r="J308" s="1">
        <f t="shared" ref="J308" si="11">+D308*E308</f>
        <v>7560</v>
      </c>
      <c r="K308" s="1">
        <f>+DATAOPS!O311*E308</f>
        <v>4320</v>
      </c>
      <c r="L308" s="1">
        <f>+(DATAOPS!N311+DATAOPS!O311+DATAOPS!Q311)*E308</f>
        <v>7560</v>
      </c>
    </row>
    <row r="309" spans="2:12" x14ac:dyDescent="0.3">
      <c r="B309" s="1" t="str">
        <f>+DATAOPS!C312</f>
        <v>BABY BOX</v>
      </c>
      <c r="C309" s="1">
        <f>+DATAOPS!M312</f>
        <v>14.5</v>
      </c>
      <c r="D309" s="1">
        <f>+DATAOPS!N312+DATAOPS!O312+DATAOPS!Q312</f>
        <v>46</v>
      </c>
      <c r="E309" s="1">
        <f>+DATAOPS!W312</f>
        <v>45</v>
      </c>
      <c r="F309" s="1">
        <f>+DATAOPS!AA312</f>
        <v>2021</v>
      </c>
      <c r="G309" s="1" t="str">
        <f>+DATAOPS!D312</f>
        <v>BEBES</v>
      </c>
      <c r="H309" s="1">
        <f>+DATAOPS!AB312</f>
        <v>5</v>
      </c>
      <c r="I309" s="1">
        <f t="shared" si="8"/>
        <v>652.5</v>
      </c>
      <c r="J309" s="1">
        <f t="shared" si="9"/>
        <v>2070</v>
      </c>
      <c r="K309" s="1">
        <f>+DATAOPS!O312*E309</f>
        <v>990</v>
      </c>
      <c r="L309" s="1">
        <f>+(DATAOPS!N312+DATAOPS!O312+DATAOPS!Q312)*E309</f>
        <v>2070</v>
      </c>
    </row>
    <row r="310" spans="2:12" x14ac:dyDescent="0.3">
      <c r="B310" s="1" t="str">
        <f>+DATAOPS!C313</f>
        <v>BABY BOX</v>
      </c>
      <c r="C310" s="1">
        <f>+DATAOPS!M313</f>
        <v>14</v>
      </c>
      <c r="D310" s="1">
        <f>+DATAOPS!N313+DATAOPS!O313+DATAOPS!Q313</f>
        <v>44</v>
      </c>
      <c r="E310" s="1">
        <f>+DATAOPS!W313</f>
        <v>50</v>
      </c>
      <c r="F310" s="1">
        <f>+DATAOPS!AA313</f>
        <v>2021</v>
      </c>
      <c r="G310" s="1" t="str">
        <f>+DATAOPS!D313</f>
        <v>BEBES</v>
      </c>
      <c r="H310" s="1">
        <f>+DATAOPS!AB313</f>
        <v>5</v>
      </c>
      <c r="I310" s="1">
        <f t="shared" si="8"/>
        <v>700</v>
      </c>
      <c r="J310" s="1">
        <f t="shared" si="9"/>
        <v>2200</v>
      </c>
      <c r="K310" s="1">
        <f>+DATAOPS!O313*E310</f>
        <v>1000</v>
      </c>
      <c r="L310" s="1">
        <f>+(DATAOPS!N313+DATAOPS!O313+DATAOPS!Q313)*E310</f>
        <v>2200</v>
      </c>
    </row>
    <row r="311" spans="2:12" x14ac:dyDescent="0.3">
      <c r="B311" s="1" t="str">
        <f>+DATAOPS!C314</f>
        <v>BABY BOX</v>
      </c>
      <c r="C311" s="1">
        <f>+DATAOPS!M314</f>
        <v>14.5</v>
      </c>
      <c r="D311" s="1">
        <f>+DATAOPS!N314+DATAOPS!O314+DATAOPS!Q314</f>
        <v>46</v>
      </c>
      <c r="E311" s="1">
        <f>+DATAOPS!W314</f>
        <v>9</v>
      </c>
      <c r="F311" s="1">
        <f>+DATAOPS!AA314</f>
        <v>2021</v>
      </c>
      <c r="G311" s="1" t="str">
        <f>+DATAOPS!D314</f>
        <v>BEBES</v>
      </c>
      <c r="H311" s="1">
        <f>+DATAOPS!AB314</f>
        <v>5</v>
      </c>
      <c r="I311" s="1">
        <f t="shared" si="8"/>
        <v>130.5</v>
      </c>
      <c r="J311" s="1">
        <f t="shared" si="9"/>
        <v>414</v>
      </c>
      <c r="K311" s="1">
        <f>+DATAOPS!O314*E311</f>
        <v>198</v>
      </c>
      <c r="L311" s="1">
        <f>+(DATAOPS!N314+DATAOPS!O314+DATAOPS!Q314)*E311</f>
        <v>414</v>
      </c>
    </row>
    <row r="312" spans="2:12" x14ac:dyDescent="0.3">
      <c r="B312" s="1" t="str">
        <f>+DATAOPS!C315</f>
        <v>BABY BOX</v>
      </c>
      <c r="C312" s="1">
        <f>+DATAOPS!M315</f>
        <v>14</v>
      </c>
      <c r="D312" s="1">
        <f>+DATAOPS!N315+DATAOPS!O315+DATAOPS!Q315</f>
        <v>44</v>
      </c>
      <c r="E312" s="1">
        <f>+DATAOPS!W315</f>
        <v>10</v>
      </c>
      <c r="F312" s="1">
        <f>+DATAOPS!AA315</f>
        <v>2021</v>
      </c>
      <c r="G312" s="1" t="str">
        <f>+DATAOPS!D315</f>
        <v>BEBES</v>
      </c>
      <c r="H312" s="1">
        <f>+DATAOPS!AB315</f>
        <v>5</v>
      </c>
      <c r="I312" s="1">
        <f t="shared" si="8"/>
        <v>140</v>
      </c>
      <c r="J312" s="1">
        <f t="shared" si="9"/>
        <v>440</v>
      </c>
      <c r="K312" s="1">
        <f>+DATAOPS!O315*E312</f>
        <v>200</v>
      </c>
      <c r="L312" s="1">
        <f>+(DATAOPS!N315+DATAOPS!O315+DATAOPS!Q315)*E312</f>
        <v>440</v>
      </c>
    </row>
    <row r="313" spans="2:12" x14ac:dyDescent="0.3">
      <c r="B313" s="1" t="str">
        <f>+DATAOPS!C316</f>
        <v>FASHION VIEWS</v>
      </c>
      <c r="C313" s="1">
        <f>+DATAOPS!M316</f>
        <v>13.5</v>
      </c>
      <c r="D313" s="1">
        <f>+DATAOPS!N316+DATAOPS!O316+DATAOPS!Q316</f>
        <v>42</v>
      </c>
      <c r="E313" s="1">
        <f>+DATAOPS!W316</f>
        <v>42</v>
      </c>
      <c r="F313" s="1">
        <f>+DATAOPS!AA316</f>
        <v>2021</v>
      </c>
      <c r="G313" s="1" t="str">
        <f>+DATAOPS!D316</f>
        <v>ROPA DORMIR</v>
      </c>
      <c r="H313" s="1">
        <f>+DATAOPS!AB316</f>
        <v>6</v>
      </c>
      <c r="I313" s="1">
        <f t="shared" si="8"/>
        <v>567</v>
      </c>
      <c r="J313" s="1">
        <f t="shared" si="9"/>
        <v>1764</v>
      </c>
      <c r="K313" s="1">
        <f>+DATAOPS!O316*E313</f>
        <v>756</v>
      </c>
      <c r="L313" s="1">
        <f>+(DATAOPS!N316+DATAOPS!O316+DATAOPS!Q316)*E313</f>
        <v>1764</v>
      </c>
    </row>
    <row r="314" spans="2:12" x14ac:dyDescent="0.3">
      <c r="B314" s="1" t="str">
        <f>+DATAOPS!C317</f>
        <v>KISSY KISSY</v>
      </c>
      <c r="C314" s="1">
        <f>+DATAOPS!M317</f>
        <v>22.5</v>
      </c>
      <c r="D314" s="1">
        <f>+DATAOPS!N317+DATAOPS!O317+DATAOPS!Q317</f>
        <v>62</v>
      </c>
      <c r="E314" s="1">
        <f>+DATAOPS!W317</f>
        <v>298</v>
      </c>
      <c r="F314" s="1">
        <f>+DATAOPS!AA317</f>
        <v>2021</v>
      </c>
      <c r="G314" s="1" t="str">
        <f>+DATAOPS!D317</f>
        <v>BEBES</v>
      </c>
      <c r="H314" s="1">
        <f>+DATAOPS!AB317</f>
        <v>7</v>
      </c>
      <c r="I314" s="1">
        <f t="shared" si="8"/>
        <v>6705</v>
      </c>
      <c r="J314" s="1">
        <f t="shared" si="9"/>
        <v>18476</v>
      </c>
      <c r="K314" s="1">
        <f>+DATAOPS!O317*E314</f>
        <v>11324</v>
      </c>
      <c r="L314" s="1">
        <f>+(DATAOPS!N317+DATAOPS!O317+DATAOPS!Q317)*E314</f>
        <v>18476</v>
      </c>
    </row>
    <row r="315" spans="2:12" x14ac:dyDescent="0.3">
      <c r="B315" s="1" t="str">
        <f>+DATAOPS!C318</f>
        <v>KISSY KISSY</v>
      </c>
      <c r="C315" s="1">
        <f>+DATAOPS!M318</f>
        <v>23.8</v>
      </c>
      <c r="D315" s="1">
        <f>+DATAOPS!N318+DATAOPS!O318+DATAOPS!Q318</f>
        <v>66.400000000000006</v>
      </c>
      <c r="E315" s="1">
        <f>+DATAOPS!W318</f>
        <v>152</v>
      </c>
      <c r="F315" s="1">
        <f>+DATAOPS!AA318</f>
        <v>2021</v>
      </c>
      <c r="G315" s="1" t="str">
        <f>+DATAOPS!D318</f>
        <v>BEBES</v>
      </c>
      <c r="H315" s="1">
        <f>+DATAOPS!AB318</f>
        <v>7</v>
      </c>
      <c r="I315" s="1">
        <f t="shared" si="8"/>
        <v>3617.6</v>
      </c>
      <c r="J315" s="1">
        <f t="shared" si="9"/>
        <v>10092.800000000001</v>
      </c>
      <c r="K315" s="1">
        <f>+DATAOPS!O318*E315</f>
        <v>6688</v>
      </c>
      <c r="L315" s="1">
        <f>+(DATAOPS!N318+DATAOPS!O318+DATAOPS!Q318)*E315</f>
        <v>10092.800000000001</v>
      </c>
    </row>
    <row r="316" spans="2:12" x14ac:dyDescent="0.3">
      <c r="B316" s="1" t="str">
        <f>+DATAOPS!C319</f>
        <v>KISSY KISSY</v>
      </c>
      <c r="C316" s="1">
        <f>+DATAOPS!M319</f>
        <v>22.8</v>
      </c>
      <c r="D316" s="1">
        <f>+DATAOPS!N319+DATAOPS!O319+DATAOPS!Q319</f>
        <v>56.4</v>
      </c>
      <c r="E316" s="1">
        <f>+DATAOPS!W319</f>
        <v>210</v>
      </c>
      <c r="F316" s="1">
        <f>+DATAOPS!AA319</f>
        <v>2021</v>
      </c>
      <c r="G316" s="1" t="str">
        <f>+DATAOPS!D319</f>
        <v>BEBES</v>
      </c>
      <c r="H316" s="1">
        <f>+DATAOPS!AB319</f>
        <v>7</v>
      </c>
      <c r="I316" s="1">
        <f t="shared" si="8"/>
        <v>4788</v>
      </c>
      <c r="J316" s="1">
        <f t="shared" si="9"/>
        <v>11844</v>
      </c>
      <c r="K316" s="1">
        <f>+DATAOPS!O319*E316</f>
        <v>7980</v>
      </c>
      <c r="L316" s="1">
        <f>+(DATAOPS!N319+DATAOPS!O319+DATAOPS!Q319)*E316</f>
        <v>11844</v>
      </c>
    </row>
    <row r="317" spans="2:12" x14ac:dyDescent="0.3">
      <c r="B317" s="1" t="str">
        <f>+DATAOPS!C320</f>
        <v>KISSY KISSY</v>
      </c>
      <c r="C317" s="1">
        <f>+DATAOPS!M320</f>
        <v>21.8</v>
      </c>
      <c r="D317" s="1">
        <f>+DATAOPS!N320+DATAOPS!O320+DATAOPS!Q320</f>
        <v>52.4</v>
      </c>
      <c r="E317" s="1">
        <f>+DATAOPS!W320</f>
        <v>160</v>
      </c>
      <c r="F317" s="1">
        <f>+DATAOPS!AA320</f>
        <v>2021</v>
      </c>
      <c r="G317" s="1" t="str">
        <f>+DATAOPS!D320</f>
        <v>BEBES</v>
      </c>
      <c r="H317" s="1">
        <f>+DATAOPS!AB320</f>
        <v>7</v>
      </c>
      <c r="I317" s="1">
        <f t="shared" si="8"/>
        <v>3488</v>
      </c>
      <c r="J317" s="1">
        <f t="shared" si="9"/>
        <v>8384</v>
      </c>
      <c r="K317" s="1">
        <f>+DATAOPS!O320*E317</f>
        <v>5440</v>
      </c>
      <c r="L317" s="1">
        <f>+(DATAOPS!N320+DATAOPS!O320+DATAOPS!Q320)*E317</f>
        <v>8384</v>
      </c>
    </row>
    <row r="318" spans="2:12" x14ac:dyDescent="0.3">
      <c r="B318" s="1" t="str">
        <f>+DATAOPS!C321</f>
        <v>KISSY KISSY</v>
      </c>
      <c r="C318" s="1">
        <f>+DATAOPS!M321</f>
        <v>21.7</v>
      </c>
      <c r="D318" s="1">
        <f>+DATAOPS!N321+DATAOPS!O321+DATAOPS!Q321</f>
        <v>55.6</v>
      </c>
      <c r="E318" s="1">
        <f>+DATAOPS!W321</f>
        <v>274</v>
      </c>
      <c r="F318" s="1">
        <f>+DATAOPS!AA321</f>
        <v>2021</v>
      </c>
      <c r="G318" s="1" t="str">
        <f>+DATAOPS!D321</f>
        <v>BEBES</v>
      </c>
      <c r="H318" s="1">
        <f>+DATAOPS!AB321</f>
        <v>7</v>
      </c>
      <c r="I318" s="1">
        <f t="shared" si="8"/>
        <v>5945.8</v>
      </c>
      <c r="J318" s="1">
        <f t="shared" si="9"/>
        <v>15234.4</v>
      </c>
      <c r="K318" s="1">
        <f>+DATAOPS!O321*E318</f>
        <v>8220</v>
      </c>
      <c r="L318" s="1">
        <f>+(DATAOPS!N321+DATAOPS!O321+DATAOPS!Q321)*E318</f>
        <v>15234.4</v>
      </c>
    </row>
    <row r="319" spans="2:12" x14ac:dyDescent="0.3">
      <c r="B319" s="1" t="str">
        <f>+DATAOPS!C322</f>
        <v>KISSY KISSY</v>
      </c>
      <c r="C319" s="1">
        <f>+DATAOPS!M322</f>
        <v>24.7</v>
      </c>
      <c r="D319" s="1">
        <f>+DATAOPS!N322+DATAOPS!O322+DATAOPS!Q322</f>
        <v>67.599999999999994</v>
      </c>
      <c r="E319" s="1">
        <f>+DATAOPS!W322</f>
        <v>298</v>
      </c>
      <c r="F319" s="1">
        <f>+DATAOPS!AA322</f>
        <v>2021</v>
      </c>
      <c r="G319" s="1" t="str">
        <f>+DATAOPS!D322</f>
        <v>BEBES</v>
      </c>
      <c r="H319" s="1">
        <f>+DATAOPS!AB322</f>
        <v>7</v>
      </c>
      <c r="I319" s="1">
        <f t="shared" si="8"/>
        <v>7360.5999999999995</v>
      </c>
      <c r="J319" s="1">
        <f t="shared" si="9"/>
        <v>20144.8</v>
      </c>
      <c r="K319" s="1">
        <f>+DATAOPS!O322*E319</f>
        <v>12516</v>
      </c>
      <c r="L319" s="1">
        <f>+(DATAOPS!N322+DATAOPS!O322+DATAOPS!Q322)*E319</f>
        <v>20144.8</v>
      </c>
    </row>
    <row r="320" spans="2:12" x14ac:dyDescent="0.3">
      <c r="B320" s="1" t="str">
        <f>+DATAOPS!C323</f>
        <v>KISSY KISSY</v>
      </c>
      <c r="C320" s="1">
        <f>+DATAOPS!M323</f>
        <v>24.7</v>
      </c>
      <c r="D320" s="1">
        <f>+DATAOPS!N323+DATAOPS!O323+DATAOPS!Q323</f>
        <v>67.599999999999994</v>
      </c>
      <c r="E320" s="1">
        <f>+DATAOPS!W323</f>
        <v>268</v>
      </c>
      <c r="F320" s="1">
        <f>+DATAOPS!AA323</f>
        <v>2021</v>
      </c>
      <c r="G320" s="1" t="str">
        <f>+DATAOPS!D323</f>
        <v>BEBES</v>
      </c>
      <c r="H320" s="1">
        <f>+DATAOPS!AB323</f>
        <v>7</v>
      </c>
      <c r="I320" s="1">
        <f t="shared" si="8"/>
        <v>6619.5999999999995</v>
      </c>
      <c r="J320" s="1">
        <f t="shared" si="9"/>
        <v>18116.8</v>
      </c>
      <c r="K320" s="1">
        <f>+DATAOPS!O323*E320</f>
        <v>11256</v>
      </c>
      <c r="L320" s="1">
        <f>+(DATAOPS!N323+DATAOPS!O323+DATAOPS!Q323)*E320</f>
        <v>18116.8</v>
      </c>
    </row>
    <row r="321" spans="2:12" x14ac:dyDescent="0.3">
      <c r="B321" s="1" t="str">
        <f>+DATAOPS!C324</f>
        <v>KISSY KISSY</v>
      </c>
      <c r="C321" s="1">
        <f>+DATAOPS!M324</f>
        <v>9.6999999999999993</v>
      </c>
      <c r="D321" s="1">
        <f>+DATAOPS!N324+DATAOPS!O324+DATAOPS!Q324</f>
        <v>23.6</v>
      </c>
      <c r="E321" s="1">
        <f>+DATAOPS!W324</f>
        <v>86</v>
      </c>
      <c r="F321" s="1">
        <f>+DATAOPS!AA324</f>
        <v>2021</v>
      </c>
      <c r="G321" s="1" t="str">
        <f>+DATAOPS!D324</f>
        <v>BEBES</v>
      </c>
      <c r="H321" s="1">
        <f>+DATAOPS!AB324</f>
        <v>7</v>
      </c>
      <c r="I321" s="1">
        <f t="shared" si="8"/>
        <v>834.19999999999993</v>
      </c>
      <c r="J321" s="1">
        <f t="shared" si="9"/>
        <v>2029.6000000000001</v>
      </c>
      <c r="K321" s="1">
        <f>+DATAOPS!O324*E321</f>
        <v>860</v>
      </c>
      <c r="L321" s="1">
        <f>+(DATAOPS!N324+DATAOPS!O324+DATAOPS!Q324)*E321</f>
        <v>2029.6000000000001</v>
      </c>
    </row>
    <row r="322" spans="2:12" x14ac:dyDescent="0.3">
      <c r="B322" s="1" t="str">
        <f>+DATAOPS!C325</f>
        <v>KISSY KISSY</v>
      </c>
      <c r="C322" s="1">
        <f>+DATAOPS!M325</f>
        <v>10.5</v>
      </c>
      <c r="D322" s="1">
        <f>+DATAOPS!N325+DATAOPS!O325+DATAOPS!Q325</f>
        <v>30</v>
      </c>
      <c r="E322" s="1">
        <f>+DATAOPS!W325</f>
        <v>90</v>
      </c>
      <c r="F322" s="1">
        <f>+DATAOPS!AA325</f>
        <v>2021</v>
      </c>
      <c r="G322" s="1" t="str">
        <f>+DATAOPS!D325</f>
        <v>BEBES</v>
      </c>
      <c r="H322" s="1">
        <f>+DATAOPS!AB325</f>
        <v>7</v>
      </c>
      <c r="I322" s="1">
        <f t="shared" ref="I322:I385" si="12">+C322*E322</f>
        <v>945</v>
      </c>
      <c r="J322" s="1">
        <f t="shared" ref="J322:J385" si="13">+D322*E322</f>
        <v>2700</v>
      </c>
      <c r="K322" s="1">
        <f>+DATAOPS!O325*E322</f>
        <v>900</v>
      </c>
      <c r="L322" s="1">
        <f>+(DATAOPS!N325+DATAOPS!O325+DATAOPS!Q325)*E322</f>
        <v>2700</v>
      </c>
    </row>
    <row r="323" spans="2:12" x14ac:dyDescent="0.3">
      <c r="B323" s="1" t="str">
        <f>+DATAOPS!C326</f>
        <v>KISSY KISSY</v>
      </c>
      <c r="C323" s="1">
        <f>+DATAOPS!M326</f>
        <v>22.3</v>
      </c>
      <c r="D323" s="1">
        <f>+DATAOPS!N326+DATAOPS!O326+DATAOPS!Q326</f>
        <v>66.400000000000006</v>
      </c>
      <c r="E323" s="1">
        <f>+DATAOPS!W326</f>
        <v>226</v>
      </c>
      <c r="F323" s="1">
        <f>+DATAOPS!AA326</f>
        <v>2021</v>
      </c>
      <c r="G323" s="1" t="str">
        <f>+DATAOPS!D326</f>
        <v>BEBES</v>
      </c>
      <c r="H323" s="1">
        <f>+DATAOPS!AB326</f>
        <v>7</v>
      </c>
      <c r="I323" s="1">
        <f t="shared" si="12"/>
        <v>5039.8</v>
      </c>
      <c r="J323" s="1">
        <f t="shared" si="13"/>
        <v>15006.400000000001</v>
      </c>
      <c r="K323" s="1">
        <f>+DATAOPS!O326*E323</f>
        <v>9944</v>
      </c>
      <c r="L323" s="1">
        <f>+(DATAOPS!N326+DATAOPS!O326+DATAOPS!Q326)*E323</f>
        <v>15006.400000000001</v>
      </c>
    </row>
    <row r="324" spans="2:12" x14ac:dyDescent="0.3">
      <c r="B324" s="1" t="str">
        <f>+DATAOPS!C327</f>
        <v>KISSY KISSY</v>
      </c>
      <c r="C324" s="1">
        <f>+DATAOPS!M327</f>
        <v>27.3</v>
      </c>
      <c r="D324" s="1">
        <f>+DATAOPS!N327+DATAOPS!O327+DATAOPS!Q327</f>
        <v>62.4</v>
      </c>
      <c r="E324" s="1">
        <f>+DATAOPS!W327</f>
        <v>234</v>
      </c>
      <c r="F324" s="1">
        <f>+DATAOPS!AA327</f>
        <v>2021</v>
      </c>
      <c r="G324" s="1" t="str">
        <f>+DATAOPS!D327</f>
        <v>BEBES</v>
      </c>
      <c r="H324" s="1">
        <f>+DATAOPS!AB327</f>
        <v>7</v>
      </c>
      <c r="I324" s="1">
        <f t="shared" si="12"/>
        <v>6388.2</v>
      </c>
      <c r="J324" s="1">
        <f t="shared" si="13"/>
        <v>14601.6</v>
      </c>
      <c r="K324" s="1">
        <f>+DATAOPS!O327*E324</f>
        <v>10296</v>
      </c>
      <c r="L324" s="1">
        <f>+(DATAOPS!N327+DATAOPS!O327+DATAOPS!Q327)*E324</f>
        <v>14601.6</v>
      </c>
    </row>
    <row r="325" spans="2:12" x14ac:dyDescent="0.3">
      <c r="B325" s="1" t="str">
        <f>+DATAOPS!C328</f>
        <v>KISSY KISSY</v>
      </c>
      <c r="C325" s="1">
        <f>+DATAOPS!M328</f>
        <v>24.8</v>
      </c>
      <c r="D325" s="1">
        <f>+DATAOPS!N328+DATAOPS!O328+DATAOPS!Q328</f>
        <v>52.4</v>
      </c>
      <c r="E325" s="1">
        <f>+DATAOPS!W328</f>
        <v>100</v>
      </c>
      <c r="F325" s="1">
        <f>+DATAOPS!AA328</f>
        <v>2021</v>
      </c>
      <c r="G325" s="1" t="str">
        <f>+DATAOPS!D328</f>
        <v>BEBES</v>
      </c>
      <c r="H325" s="1">
        <f>+DATAOPS!AB328</f>
        <v>7</v>
      </c>
      <c r="I325" s="1">
        <f t="shared" si="12"/>
        <v>2480</v>
      </c>
      <c r="J325" s="1">
        <f t="shared" si="13"/>
        <v>5240</v>
      </c>
      <c r="K325" s="1">
        <f>+DATAOPS!O328*E325</f>
        <v>3400</v>
      </c>
      <c r="L325" s="1">
        <f>+(DATAOPS!N328+DATAOPS!O328+DATAOPS!Q328)*E325</f>
        <v>5240</v>
      </c>
    </row>
    <row r="326" spans="2:12" x14ac:dyDescent="0.3">
      <c r="B326" s="1" t="str">
        <f>+DATAOPS!C329</f>
        <v>KISSY KISSY</v>
      </c>
      <c r="C326" s="1">
        <f>+DATAOPS!M329</f>
        <v>26.7</v>
      </c>
      <c r="D326" s="1">
        <f>+DATAOPS!N329+DATAOPS!O329+DATAOPS!Q329</f>
        <v>63.6</v>
      </c>
      <c r="E326" s="1">
        <f>+DATAOPS!W329</f>
        <v>164</v>
      </c>
      <c r="F326" s="1">
        <f>+DATAOPS!AA329</f>
        <v>2021</v>
      </c>
      <c r="G326" s="1" t="str">
        <f>+DATAOPS!D329</f>
        <v>BEBES</v>
      </c>
      <c r="H326" s="1">
        <f>+DATAOPS!AB329</f>
        <v>7</v>
      </c>
      <c r="I326" s="1">
        <f t="shared" si="12"/>
        <v>4378.8</v>
      </c>
      <c r="J326" s="1">
        <f t="shared" si="13"/>
        <v>10430.4</v>
      </c>
      <c r="K326" s="1">
        <f>+DATAOPS!O329*E326</f>
        <v>6232</v>
      </c>
      <c r="L326" s="1">
        <f>+(DATAOPS!N329+DATAOPS!O329+DATAOPS!Q329)*E326</f>
        <v>10430.4</v>
      </c>
    </row>
    <row r="327" spans="2:12" x14ac:dyDescent="0.3">
      <c r="B327" s="1" t="str">
        <f>+DATAOPS!C330</f>
        <v>KISSY KISSY</v>
      </c>
      <c r="C327" s="1">
        <f>+DATAOPS!M330</f>
        <v>21</v>
      </c>
      <c r="D327" s="1">
        <f>+DATAOPS!N330+DATAOPS!O330+DATAOPS!Q330</f>
        <v>62</v>
      </c>
      <c r="E327" s="1">
        <f>+DATAOPS!W330</f>
        <v>122</v>
      </c>
      <c r="F327" s="1">
        <f>+DATAOPS!AA330</f>
        <v>2021</v>
      </c>
      <c r="G327" s="1" t="str">
        <f>+DATAOPS!D330</f>
        <v>BEBES</v>
      </c>
      <c r="H327" s="1">
        <f>+DATAOPS!AB330</f>
        <v>7</v>
      </c>
      <c r="I327" s="1">
        <f t="shared" si="12"/>
        <v>2562</v>
      </c>
      <c r="J327" s="1">
        <f t="shared" si="13"/>
        <v>7564</v>
      </c>
      <c r="K327" s="1">
        <f>+DATAOPS!O330*E327</f>
        <v>4636</v>
      </c>
      <c r="L327" s="1">
        <f>+(DATAOPS!N330+DATAOPS!O330+DATAOPS!Q330)*E327</f>
        <v>7564</v>
      </c>
    </row>
    <row r="328" spans="2:12" x14ac:dyDescent="0.3">
      <c r="B328" s="1" t="str">
        <f>+DATAOPS!C331</f>
        <v>KISSY KISSY</v>
      </c>
      <c r="C328" s="1">
        <f>+DATAOPS!M331</f>
        <v>10.5</v>
      </c>
      <c r="D328" s="1">
        <f>+DATAOPS!N331+DATAOPS!O331+DATAOPS!Q331</f>
        <v>30</v>
      </c>
      <c r="E328" s="1">
        <f>+DATAOPS!W331</f>
        <v>35</v>
      </c>
      <c r="F328" s="1">
        <f>+DATAOPS!AA331</f>
        <v>2021</v>
      </c>
      <c r="G328" s="1" t="str">
        <f>+DATAOPS!D331</f>
        <v>BEBES</v>
      </c>
      <c r="H328" s="1">
        <f>+DATAOPS!AB331</f>
        <v>7</v>
      </c>
      <c r="I328" s="1">
        <f t="shared" si="12"/>
        <v>367.5</v>
      </c>
      <c r="J328" s="1">
        <f t="shared" si="13"/>
        <v>1050</v>
      </c>
      <c r="K328" s="1">
        <f>+DATAOPS!O331*E328</f>
        <v>350</v>
      </c>
      <c r="L328" s="1">
        <f>+(DATAOPS!N331+DATAOPS!O331+DATAOPS!Q331)*E328</f>
        <v>1050</v>
      </c>
    </row>
    <row r="329" spans="2:12" x14ac:dyDescent="0.3">
      <c r="B329" s="1" t="str">
        <f>+DATAOPS!C332</f>
        <v>KISSY KISSY</v>
      </c>
      <c r="C329" s="1">
        <f>+DATAOPS!M332</f>
        <v>10.5</v>
      </c>
      <c r="D329" s="1">
        <f>+DATAOPS!N332+DATAOPS!O332+DATAOPS!Q332</f>
        <v>30</v>
      </c>
      <c r="E329" s="1">
        <f>+DATAOPS!W332</f>
        <v>52</v>
      </c>
      <c r="F329" s="1">
        <f>+DATAOPS!AA332</f>
        <v>2021</v>
      </c>
      <c r="G329" s="1" t="str">
        <f>+DATAOPS!D332</f>
        <v>BEBES</v>
      </c>
      <c r="H329" s="1">
        <f>+DATAOPS!AB332</f>
        <v>7</v>
      </c>
      <c r="I329" s="1">
        <f t="shared" si="12"/>
        <v>546</v>
      </c>
      <c r="J329" s="1">
        <f t="shared" si="13"/>
        <v>1560</v>
      </c>
      <c r="K329" s="1">
        <f>+DATAOPS!O332*E329</f>
        <v>520</v>
      </c>
      <c r="L329" s="1">
        <f>+(DATAOPS!N332+DATAOPS!O332+DATAOPS!Q332)*E329</f>
        <v>1560</v>
      </c>
    </row>
    <row r="330" spans="2:12" x14ac:dyDescent="0.3">
      <c r="B330" s="1" t="str">
        <f>+DATAOPS!C333</f>
        <v>KISSY KISSY</v>
      </c>
      <c r="C330" s="1">
        <f>+DATAOPS!M333</f>
        <v>9.6999999999999993</v>
      </c>
      <c r="D330" s="1">
        <f>+DATAOPS!N333+DATAOPS!O333+DATAOPS!Q333</f>
        <v>23.6</v>
      </c>
      <c r="E330" s="1">
        <f>+DATAOPS!W333</f>
        <v>8</v>
      </c>
      <c r="F330" s="1">
        <f>+DATAOPS!AA333</f>
        <v>2021</v>
      </c>
      <c r="G330" s="1" t="str">
        <f>+DATAOPS!D333</f>
        <v>BEBES</v>
      </c>
      <c r="H330" s="1">
        <f>+DATAOPS!AB333</f>
        <v>7</v>
      </c>
      <c r="I330" s="1">
        <f t="shared" si="12"/>
        <v>77.599999999999994</v>
      </c>
      <c r="J330" s="1">
        <f t="shared" si="13"/>
        <v>188.8</v>
      </c>
      <c r="K330" s="1">
        <f>+DATAOPS!O333*E330</f>
        <v>80</v>
      </c>
      <c r="L330" s="1">
        <f>+(DATAOPS!N333+DATAOPS!O333+DATAOPS!Q333)*E330</f>
        <v>188.8</v>
      </c>
    </row>
    <row r="331" spans="2:12" x14ac:dyDescent="0.3">
      <c r="B331" s="1" t="str">
        <f>+DATAOPS!C334</f>
        <v>FASHION VIEWS</v>
      </c>
      <c r="C331" s="1">
        <f>+DATAOPS!M334</f>
        <v>13.5</v>
      </c>
      <c r="D331" s="1">
        <f>+DATAOPS!N334+DATAOPS!O334+DATAOPS!Q334</f>
        <v>68</v>
      </c>
      <c r="E331" s="1">
        <f>+DATAOPS!W334</f>
        <v>120</v>
      </c>
      <c r="F331" s="1">
        <f>+DATAOPS!AA334</f>
        <v>2021</v>
      </c>
      <c r="G331" s="1" t="str">
        <f>+DATAOPS!D334</f>
        <v>ROPA DORMIR</v>
      </c>
      <c r="H331" s="1">
        <f>+DATAOPS!AB334</f>
        <v>7</v>
      </c>
      <c r="I331" s="1">
        <f t="shared" si="12"/>
        <v>1620</v>
      </c>
      <c r="J331" s="1">
        <f t="shared" si="13"/>
        <v>8160</v>
      </c>
      <c r="K331" s="1">
        <f>+DATAOPS!O334*E331</f>
        <v>4800</v>
      </c>
      <c r="L331" s="1">
        <f>+(DATAOPS!N334+DATAOPS!O334+DATAOPS!Q334)*E331</f>
        <v>8160</v>
      </c>
    </row>
    <row r="332" spans="2:12" x14ac:dyDescent="0.3">
      <c r="B332" s="1" t="str">
        <f>+DATAOPS!C335</f>
        <v>FASHION VIEWS</v>
      </c>
      <c r="C332" s="1">
        <f>+DATAOPS!M335</f>
        <v>10</v>
      </c>
      <c r="D332" s="1">
        <f>+DATAOPS!N335+DATAOPS!O335+DATAOPS!Q335</f>
        <v>52</v>
      </c>
      <c r="E332" s="1">
        <f>+DATAOPS!W335</f>
        <v>170</v>
      </c>
      <c r="F332" s="1">
        <f>+DATAOPS!AA335</f>
        <v>2021</v>
      </c>
      <c r="G332" s="1" t="str">
        <f>+DATAOPS!D335</f>
        <v>ROPA DORMIR</v>
      </c>
      <c r="H332" s="1">
        <f>+DATAOPS!AB335</f>
        <v>7</v>
      </c>
      <c r="I332" s="1">
        <f t="shared" si="12"/>
        <v>1700</v>
      </c>
      <c r="J332" s="1">
        <f t="shared" si="13"/>
        <v>8840</v>
      </c>
      <c r="K332" s="1">
        <f>+DATAOPS!O335*E332</f>
        <v>4760</v>
      </c>
      <c r="L332" s="1">
        <f>+(DATAOPS!N335+DATAOPS!O335+DATAOPS!Q335)*E332</f>
        <v>8840</v>
      </c>
    </row>
    <row r="333" spans="2:12" x14ac:dyDescent="0.3">
      <c r="B333" s="1" t="str">
        <f>+DATAOPS!C336</f>
        <v>FASHION VIEWS</v>
      </c>
      <c r="C333" s="1">
        <f>+DATAOPS!M336</f>
        <v>9.5</v>
      </c>
      <c r="D333" s="1">
        <f>+DATAOPS!N336+DATAOPS!O336+DATAOPS!Q336</f>
        <v>50</v>
      </c>
      <c r="E333" s="1">
        <f>+DATAOPS!W336</f>
        <v>56</v>
      </c>
      <c r="F333" s="1">
        <f>+DATAOPS!AA336</f>
        <v>2021</v>
      </c>
      <c r="G333" s="1" t="str">
        <f>+DATAOPS!D336</f>
        <v>ROPA DORMIR</v>
      </c>
      <c r="H333" s="1">
        <f>+DATAOPS!AB336</f>
        <v>7</v>
      </c>
      <c r="I333" s="1">
        <f t="shared" si="12"/>
        <v>532</v>
      </c>
      <c r="J333" s="1">
        <f t="shared" si="13"/>
        <v>2800</v>
      </c>
      <c r="K333" s="1">
        <f>+DATAOPS!O336*E333</f>
        <v>1456</v>
      </c>
      <c r="L333" s="1">
        <f>+(DATAOPS!N336+DATAOPS!O336+DATAOPS!Q336)*E333</f>
        <v>2800</v>
      </c>
    </row>
    <row r="334" spans="2:12" x14ac:dyDescent="0.3">
      <c r="B334" s="1" t="str">
        <f>+DATAOPS!C337</f>
        <v>FASHION VIEWS</v>
      </c>
      <c r="C334" s="1">
        <f>+DATAOPS!M337</f>
        <v>7.5</v>
      </c>
      <c r="D334" s="1">
        <f>+DATAOPS!N337+DATAOPS!O337+DATAOPS!Q337</f>
        <v>42</v>
      </c>
      <c r="E334" s="1">
        <f>+DATAOPS!W337</f>
        <v>98</v>
      </c>
      <c r="F334" s="1">
        <f>+DATAOPS!AA337</f>
        <v>2021</v>
      </c>
      <c r="G334" s="1" t="str">
        <f>+DATAOPS!D337</f>
        <v>ROPA DORMIR</v>
      </c>
      <c r="H334" s="1">
        <f>+DATAOPS!AB337</f>
        <v>7</v>
      </c>
      <c r="I334" s="1">
        <f t="shared" si="12"/>
        <v>735</v>
      </c>
      <c r="J334" s="1">
        <f t="shared" si="13"/>
        <v>4116</v>
      </c>
      <c r="K334" s="1">
        <f>+DATAOPS!O337*E334</f>
        <v>1764</v>
      </c>
      <c r="L334" s="1">
        <f>+(DATAOPS!N337+DATAOPS!O337+DATAOPS!Q337)*E334</f>
        <v>4116</v>
      </c>
    </row>
    <row r="335" spans="2:12" x14ac:dyDescent="0.3">
      <c r="B335" s="1" t="str">
        <f>+DATAOPS!C338</f>
        <v>FASHION VIEWS</v>
      </c>
      <c r="C335" s="1">
        <f>+DATAOPS!M338</f>
        <v>7</v>
      </c>
      <c r="D335" s="1">
        <f>+DATAOPS!N338+DATAOPS!O338+DATAOPS!Q338</f>
        <v>40</v>
      </c>
      <c r="E335" s="1">
        <f>+DATAOPS!W338</f>
        <v>116</v>
      </c>
      <c r="F335" s="1">
        <f>+DATAOPS!AA338</f>
        <v>2021</v>
      </c>
      <c r="G335" s="1" t="str">
        <f>+DATAOPS!D338</f>
        <v>ROPA DORMIR</v>
      </c>
      <c r="H335" s="1">
        <f>+DATAOPS!AB338</f>
        <v>7</v>
      </c>
      <c r="I335" s="1">
        <f t="shared" si="12"/>
        <v>812</v>
      </c>
      <c r="J335" s="1">
        <f t="shared" si="13"/>
        <v>4640</v>
      </c>
      <c r="K335" s="1">
        <f>+DATAOPS!O338*E335</f>
        <v>1856</v>
      </c>
      <c r="L335" s="1">
        <f>+(DATAOPS!N338+DATAOPS!O338+DATAOPS!Q338)*E335</f>
        <v>4640</v>
      </c>
    </row>
    <row r="336" spans="2:12" x14ac:dyDescent="0.3">
      <c r="B336" s="1" t="str">
        <f>+DATAOPS!C339</f>
        <v>FASHION VIEWS</v>
      </c>
      <c r="C336" s="1">
        <f>+DATAOPS!M339</f>
        <v>8.5</v>
      </c>
      <c r="D336" s="1">
        <f>+DATAOPS!N339+DATAOPS!O339+DATAOPS!Q339</f>
        <v>42</v>
      </c>
      <c r="E336" s="1">
        <f>+DATAOPS!W339</f>
        <v>101</v>
      </c>
      <c r="F336" s="1">
        <f>+DATAOPS!AA339</f>
        <v>2021</v>
      </c>
      <c r="G336" s="1" t="str">
        <f>+DATAOPS!D339</f>
        <v>ROPA DORMIR</v>
      </c>
      <c r="H336" s="1">
        <f>+DATAOPS!AB339</f>
        <v>7</v>
      </c>
      <c r="I336" s="1">
        <f t="shared" si="12"/>
        <v>858.5</v>
      </c>
      <c r="J336" s="1">
        <f t="shared" si="13"/>
        <v>4242</v>
      </c>
      <c r="K336" s="1">
        <f>+DATAOPS!O339*E336</f>
        <v>2626</v>
      </c>
      <c r="L336" s="1">
        <f>+(DATAOPS!N339+DATAOPS!O339+DATAOPS!Q339)*E336</f>
        <v>4242</v>
      </c>
    </row>
    <row r="337" spans="2:12" x14ac:dyDescent="0.3">
      <c r="B337" s="1" t="str">
        <f>+DATAOPS!C340</f>
        <v>FASHION VIEWS</v>
      </c>
      <c r="C337" s="1">
        <f>+DATAOPS!M340</f>
        <v>13.3</v>
      </c>
      <c r="D337" s="1">
        <f>+DATAOPS!N340+DATAOPS!O340+DATAOPS!Q340</f>
        <v>67.2</v>
      </c>
      <c r="E337" s="1">
        <f>+DATAOPS!W340</f>
        <v>121</v>
      </c>
      <c r="F337" s="1">
        <f>+DATAOPS!AA340</f>
        <v>2021</v>
      </c>
      <c r="G337" s="1" t="str">
        <f>+DATAOPS!D340</f>
        <v>ROPA DORMIR</v>
      </c>
      <c r="H337" s="1">
        <f>+DATAOPS!AB340</f>
        <v>7</v>
      </c>
      <c r="I337" s="1">
        <f t="shared" si="12"/>
        <v>1609.3000000000002</v>
      </c>
      <c r="J337" s="1">
        <f t="shared" si="13"/>
        <v>8131.2000000000007</v>
      </c>
      <c r="K337" s="1">
        <f>+DATAOPS!O340*E337</f>
        <v>4743.2000000000007</v>
      </c>
      <c r="L337" s="1">
        <f>+(DATAOPS!N340+DATAOPS!O340+DATAOPS!Q340)*E337</f>
        <v>8131.2000000000007</v>
      </c>
    </row>
    <row r="338" spans="2:12" x14ac:dyDescent="0.3">
      <c r="B338" s="1" t="str">
        <f>+DATAOPS!C341</f>
        <v>FASHION VIEWS</v>
      </c>
      <c r="C338" s="1">
        <f>+DATAOPS!M341</f>
        <v>18</v>
      </c>
      <c r="D338" s="1">
        <f>+DATAOPS!N341+DATAOPS!O341+DATAOPS!Q341</f>
        <v>84</v>
      </c>
      <c r="E338" s="1">
        <f>+DATAOPS!W341</f>
        <v>105</v>
      </c>
      <c r="F338" s="1">
        <f>+DATAOPS!AA341</f>
        <v>2021</v>
      </c>
      <c r="G338" s="1" t="str">
        <f>+DATAOPS!D341</f>
        <v>ROPA DORMIR</v>
      </c>
      <c r="H338" s="1">
        <f>+DATAOPS!AB341</f>
        <v>7</v>
      </c>
      <c r="I338" s="1">
        <f t="shared" si="12"/>
        <v>1890</v>
      </c>
      <c r="J338" s="1">
        <f t="shared" si="13"/>
        <v>8820</v>
      </c>
      <c r="K338" s="1">
        <f>+DATAOPS!O341*E338</f>
        <v>6300</v>
      </c>
      <c r="L338" s="1">
        <f>+(DATAOPS!N341+DATAOPS!O341+DATAOPS!Q341)*E338</f>
        <v>8820</v>
      </c>
    </row>
    <row r="339" spans="2:12" x14ac:dyDescent="0.3">
      <c r="B339" s="1" t="str">
        <f>+DATAOPS!C342</f>
        <v>FASHION VIEWS</v>
      </c>
      <c r="C339" s="1">
        <f>+DATAOPS!M342</f>
        <v>17</v>
      </c>
      <c r="D339" s="1">
        <f>+DATAOPS!N342+DATAOPS!O342+DATAOPS!Q342</f>
        <v>80</v>
      </c>
      <c r="E339" s="1">
        <f>+DATAOPS!W342</f>
        <v>17</v>
      </c>
      <c r="F339" s="1">
        <f>+DATAOPS!AA342</f>
        <v>2021</v>
      </c>
      <c r="G339" s="1" t="str">
        <f>+DATAOPS!D342</f>
        <v>ROPA DORMIR</v>
      </c>
      <c r="H339" s="1">
        <f>+DATAOPS!AB342</f>
        <v>7</v>
      </c>
      <c r="I339" s="1">
        <f t="shared" si="12"/>
        <v>289</v>
      </c>
      <c r="J339" s="1">
        <f t="shared" si="13"/>
        <v>1360</v>
      </c>
      <c r="K339" s="1">
        <f>+DATAOPS!O342*E339</f>
        <v>952</v>
      </c>
      <c r="L339" s="1">
        <f>+(DATAOPS!N342+DATAOPS!O342+DATAOPS!Q342)*E339</f>
        <v>1360</v>
      </c>
    </row>
    <row r="340" spans="2:12" x14ac:dyDescent="0.3">
      <c r="B340" s="1" t="str">
        <f>+DATAOPS!C343</f>
        <v>FASHION VIEWS</v>
      </c>
      <c r="C340" s="1">
        <f>+DATAOPS!M343</f>
        <v>7.2</v>
      </c>
      <c r="D340" s="1">
        <f>+DATAOPS!N343+DATAOPS!O343+DATAOPS!Q343</f>
        <v>36.799999999999997</v>
      </c>
      <c r="E340" s="1">
        <f>+DATAOPS!W343</f>
        <v>200</v>
      </c>
      <c r="F340" s="1">
        <f>+DATAOPS!AA343</f>
        <v>2021</v>
      </c>
      <c r="G340" s="1" t="str">
        <f>+DATAOPS!D343</f>
        <v>ROPA DORMIR</v>
      </c>
      <c r="H340" s="1">
        <f>+DATAOPS!AB343</f>
        <v>7</v>
      </c>
      <c r="I340" s="1">
        <f t="shared" si="12"/>
        <v>1440</v>
      </c>
      <c r="J340" s="1">
        <f t="shared" si="13"/>
        <v>7359.9999999999991</v>
      </c>
      <c r="K340" s="1">
        <f>+DATAOPS!O343*E340</f>
        <v>4160</v>
      </c>
      <c r="L340" s="1">
        <f>+(DATAOPS!N343+DATAOPS!O343+DATAOPS!Q343)*E340</f>
        <v>7359.9999999999991</v>
      </c>
    </row>
    <row r="341" spans="2:12" x14ac:dyDescent="0.3">
      <c r="B341" s="1" t="str">
        <f>+DATAOPS!C344</f>
        <v>FASHION VIEWS</v>
      </c>
      <c r="C341" s="1">
        <f>+DATAOPS!M344</f>
        <v>14</v>
      </c>
      <c r="D341" s="1">
        <f>+DATAOPS!N344+DATAOPS!O344+DATAOPS!Q344</f>
        <v>70</v>
      </c>
      <c r="E341" s="1">
        <f>+DATAOPS!W344</f>
        <v>129</v>
      </c>
      <c r="F341" s="1">
        <f>+DATAOPS!AA344</f>
        <v>2021</v>
      </c>
      <c r="G341" s="1" t="str">
        <f>+DATAOPS!D344</f>
        <v>ROPA DORMIR</v>
      </c>
      <c r="H341" s="1">
        <f>+DATAOPS!AB344</f>
        <v>7</v>
      </c>
      <c r="I341" s="1">
        <f t="shared" si="12"/>
        <v>1806</v>
      </c>
      <c r="J341" s="1">
        <f t="shared" si="13"/>
        <v>9030</v>
      </c>
      <c r="K341" s="1">
        <f>+DATAOPS!O344*E341</f>
        <v>5418</v>
      </c>
      <c r="L341" s="1">
        <f>+(DATAOPS!N344+DATAOPS!O344+DATAOPS!Q344)*E341</f>
        <v>9030</v>
      </c>
    </row>
    <row r="342" spans="2:12" x14ac:dyDescent="0.3">
      <c r="B342" s="1" t="str">
        <f>+DATAOPS!C345</f>
        <v>FASHION VIEWS</v>
      </c>
      <c r="C342" s="1">
        <f>+DATAOPS!M345</f>
        <v>14</v>
      </c>
      <c r="D342" s="1">
        <f>+DATAOPS!N345+DATAOPS!O345+DATAOPS!Q345</f>
        <v>70</v>
      </c>
      <c r="E342" s="1">
        <f>+DATAOPS!W345</f>
        <v>76</v>
      </c>
      <c r="F342" s="1">
        <f>+DATAOPS!AA345</f>
        <v>2021</v>
      </c>
      <c r="G342" s="1" t="str">
        <f>+DATAOPS!D345</f>
        <v>ROPA DORMIR</v>
      </c>
      <c r="H342" s="1">
        <f>+DATAOPS!AB345</f>
        <v>7</v>
      </c>
      <c r="I342" s="1">
        <f t="shared" si="12"/>
        <v>1064</v>
      </c>
      <c r="J342" s="1">
        <f t="shared" si="13"/>
        <v>5320</v>
      </c>
      <c r="K342" s="1">
        <f>+DATAOPS!O345*E342</f>
        <v>3192</v>
      </c>
      <c r="L342" s="1">
        <f>+(DATAOPS!N345+DATAOPS!O345+DATAOPS!Q345)*E342</f>
        <v>5320</v>
      </c>
    </row>
    <row r="343" spans="2:12" x14ac:dyDescent="0.3">
      <c r="B343" s="1" t="str">
        <f>+DATAOPS!C346</f>
        <v>FASHION VIEWS</v>
      </c>
      <c r="C343" s="1">
        <f>+DATAOPS!M346</f>
        <v>11.3</v>
      </c>
      <c r="D343" s="1">
        <f>+DATAOPS!N346+DATAOPS!O346+DATAOPS!Q346</f>
        <v>59.2</v>
      </c>
      <c r="E343" s="1">
        <f>+DATAOPS!W346</f>
        <v>60</v>
      </c>
      <c r="F343" s="1">
        <f>+DATAOPS!AA346</f>
        <v>2021</v>
      </c>
      <c r="G343" s="1" t="str">
        <f>+DATAOPS!D346</f>
        <v>ROPA DORMIR</v>
      </c>
      <c r="H343" s="1">
        <f>+DATAOPS!AB346</f>
        <v>7</v>
      </c>
      <c r="I343" s="1">
        <f t="shared" si="12"/>
        <v>678</v>
      </c>
      <c r="J343" s="1">
        <f t="shared" si="13"/>
        <v>3552</v>
      </c>
      <c r="K343" s="1">
        <f>+DATAOPS!O346*E343</f>
        <v>1872</v>
      </c>
      <c r="L343" s="1">
        <f>+(DATAOPS!N346+DATAOPS!O346+DATAOPS!Q346)*E343</f>
        <v>3552</v>
      </c>
    </row>
    <row r="344" spans="2:12" x14ac:dyDescent="0.3">
      <c r="B344" s="1" t="str">
        <f>+DATAOPS!C347</f>
        <v>MARELLE</v>
      </c>
      <c r="C344" s="1">
        <f>+DATAOPS!M347</f>
        <v>37.4</v>
      </c>
      <c r="D344" s="1">
        <f>+DATAOPS!N347+DATAOPS!O347+DATAOPS!Q347</f>
        <v>49.6</v>
      </c>
      <c r="E344" s="1">
        <f>+DATAOPS!W347</f>
        <v>52</v>
      </c>
      <c r="F344" s="1">
        <f>+DATAOPS!AA347</f>
        <v>2021</v>
      </c>
      <c r="G344" s="1" t="str">
        <f>+DATAOPS!D347</f>
        <v>ROPA DORMIR</v>
      </c>
      <c r="H344" s="1">
        <f>+DATAOPS!AB347</f>
        <v>8</v>
      </c>
      <c r="I344" s="1">
        <f t="shared" si="12"/>
        <v>1944.8</v>
      </c>
      <c r="J344" s="1">
        <f t="shared" si="13"/>
        <v>2579.2000000000003</v>
      </c>
      <c r="K344" s="1">
        <f>+DATAOPS!O347*E344</f>
        <v>1331.2</v>
      </c>
      <c r="L344" s="1">
        <f>+(DATAOPS!N347+DATAOPS!O347+DATAOPS!Q347)*E344</f>
        <v>2579.2000000000003</v>
      </c>
    </row>
    <row r="345" spans="2:12" x14ac:dyDescent="0.3">
      <c r="B345" s="1" t="str">
        <f>+DATAOPS!C348</f>
        <v>FASHION VIEWS</v>
      </c>
      <c r="C345" s="1">
        <f>+DATAOPS!M348</f>
        <v>13.2</v>
      </c>
      <c r="D345" s="1">
        <f>+DATAOPS!N348+DATAOPS!O348+DATAOPS!Q348</f>
        <v>65.599999999999994</v>
      </c>
      <c r="E345" s="1">
        <f>+DATAOPS!W348</f>
        <v>188</v>
      </c>
      <c r="F345" s="1">
        <f>+DATAOPS!AA348</f>
        <v>2021</v>
      </c>
      <c r="G345" s="1" t="str">
        <f>+DATAOPS!D348</f>
        <v>ROPA DORMIR</v>
      </c>
      <c r="H345" s="1">
        <f>+DATAOPS!AB348</f>
        <v>8</v>
      </c>
      <c r="I345" s="1">
        <f t="shared" si="12"/>
        <v>2481.6</v>
      </c>
      <c r="J345" s="1">
        <f t="shared" si="13"/>
        <v>12332.8</v>
      </c>
      <c r="K345" s="1">
        <f>+DATAOPS!O348*E345</f>
        <v>7520</v>
      </c>
      <c r="L345" s="1">
        <f>+(DATAOPS!N348+DATAOPS!O348+DATAOPS!Q348)*E345</f>
        <v>12332.8</v>
      </c>
    </row>
    <row r="346" spans="2:12" x14ac:dyDescent="0.3">
      <c r="B346" s="1" t="str">
        <f>+DATAOPS!C349</f>
        <v>FASHION VIEWS</v>
      </c>
      <c r="C346" s="1">
        <f>+DATAOPS!M349</f>
        <v>15.5</v>
      </c>
      <c r="D346" s="1">
        <f>+DATAOPS!N349+DATAOPS!O349+DATAOPS!Q349</f>
        <v>74</v>
      </c>
      <c r="E346" s="1">
        <f>+DATAOPS!W349</f>
        <v>70</v>
      </c>
      <c r="F346" s="1">
        <f>+DATAOPS!AA349</f>
        <v>2021</v>
      </c>
      <c r="G346" s="1" t="str">
        <f>+DATAOPS!D349</f>
        <v>ROPA DORMIR</v>
      </c>
      <c r="H346" s="1">
        <f>+DATAOPS!AB349</f>
        <v>8</v>
      </c>
      <c r="I346" s="1">
        <f t="shared" si="12"/>
        <v>1085</v>
      </c>
      <c r="J346" s="1">
        <f t="shared" si="13"/>
        <v>5180</v>
      </c>
      <c r="K346" s="1">
        <f>+DATAOPS!O349*E346</f>
        <v>3500</v>
      </c>
      <c r="L346" s="1">
        <f>+(DATAOPS!N349+DATAOPS!O349+DATAOPS!Q349)*E346</f>
        <v>5180</v>
      </c>
    </row>
    <row r="347" spans="2:12" x14ac:dyDescent="0.3">
      <c r="B347" s="1" t="str">
        <f>+DATAOPS!C350</f>
        <v>FASHION VIEWS</v>
      </c>
      <c r="C347" s="1">
        <f>+DATAOPS!M350</f>
        <v>15</v>
      </c>
      <c r="D347" s="1">
        <f>+DATAOPS!N350+DATAOPS!O350+DATAOPS!Q350</f>
        <v>72</v>
      </c>
      <c r="E347" s="1">
        <f>+DATAOPS!W350</f>
        <v>82</v>
      </c>
      <c r="F347" s="1">
        <f>+DATAOPS!AA350</f>
        <v>2021</v>
      </c>
      <c r="G347" s="1" t="str">
        <f>+DATAOPS!D350</f>
        <v>ROPA DORMIR</v>
      </c>
      <c r="H347" s="1">
        <f>+DATAOPS!AB350</f>
        <v>8</v>
      </c>
      <c r="I347" s="1">
        <f t="shared" si="12"/>
        <v>1230</v>
      </c>
      <c r="J347" s="1">
        <f t="shared" si="13"/>
        <v>5904</v>
      </c>
      <c r="K347" s="1">
        <f>+DATAOPS!O350*E347</f>
        <v>3936</v>
      </c>
      <c r="L347" s="1">
        <f>+(DATAOPS!N350+DATAOPS!O350+DATAOPS!Q350)*E347</f>
        <v>5904</v>
      </c>
    </row>
    <row r="348" spans="2:12" x14ac:dyDescent="0.3">
      <c r="B348" s="1" t="str">
        <f>+DATAOPS!C351</f>
        <v>FASHION VIEWS</v>
      </c>
      <c r="C348" s="1">
        <f>+DATAOPS!M351</f>
        <v>15</v>
      </c>
      <c r="D348" s="1">
        <f>+DATAOPS!N351+DATAOPS!O351+DATAOPS!Q351</f>
        <v>72</v>
      </c>
      <c r="E348" s="1">
        <f>+DATAOPS!W351</f>
        <v>0</v>
      </c>
      <c r="F348" s="1">
        <f>+DATAOPS!AA351</f>
        <v>2021</v>
      </c>
      <c r="G348" s="1" t="str">
        <f>+DATAOPS!D351</f>
        <v>ROPA DORMIR</v>
      </c>
      <c r="H348" s="1">
        <f>+DATAOPS!AB351</f>
        <v>8</v>
      </c>
      <c r="I348" s="1">
        <f t="shared" si="12"/>
        <v>0</v>
      </c>
      <c r="J348" s="1">
        <f t="shared" si="13"/>
        <v>0</v>
      </c>
      <c r="K348" s="1">
        <f>+DATAOPS!O351*E348</f>
        <v>0</v>
      </c>
      <c r="L348" s="1">
        <f>+(DATAOPS!N351+DATAOPS!O351+DATAOPS!Q351)*E348</f>
        <v>0</v>
      </c>
    </row>
    <row r="349" spans="2:12" x14ac:dyDescent="0.3">
      <c r="B349" s="1" t="str">
        <f>+DATAOPS!C352</f>
        <v>MARELLE</v>
      </c>
      <c r="C349" s="1">
        <f>+DATAOPS!M352</f>
        <v>16.5</v>
      </c>
      <c r="D349" s="1">
        <f>+DATAOPS!N352+DATAOPS!O352+DATAOPS!Q352</f>
        <v>76</v>
      </c>
      <c r="E349" s="1">
        <f>+DATAOPS!W352</f>
        <v>31</v>
      </c>
      <c r="F349" s="1">
        <f>+DATAOPS!AA352</f>
        <v>2021</v>
      </c>
      <c r="G349" s="1" t="str">
        <f>+DATAOPS!D352</f>
        <v>ROPA DORMIR</v>
      </c>
      <c r="H349" s="1">
        <f>+DATAOPS!AB352</f>
        <v>8</v>
      </c>
      <c r="I349" s="1">
        <f t="shared" si="12"/>
        <v>511.5</v>
      </c>
      <c r="J349" s="1">
        <f t="shared" si="13"/>
        <v>2356</v>
      </c>
      <c r="K349" s="1">
        <f>+DATAOPS!O352*E349</f>
        <v>1736</v>
      </c>
      <c r="L349" s="1">
        <f>+(DATAOPS!N352+DATAOPS!O352+DATAOPS!Q352)*E349</f>
        <v>2356</v>
      </c>
    </row>
    <row r="350" spans="2:12" x14ac:dyDescent="0.3">
      <c r="B350" s="1" t="str">
        <f>+DATAOPS!C353</f>
        <v>MARELLE</v>
      </c>
      <c r="C350" s="1">
        <f>+DATAOPS!M353</f>
        <v>16.5</v>
      </c>
      <c r="D350" s="1">
        <f>+DATAOPS!N353+DATAOPS!O353+DATAOPS!Q353</f>
        <v>76</v>
      </c>
      <c r="E350" s="1">
        <f>+DATAOPS!W353</f>
        <v>10</v>
      </c>
      <c r="F350" s="1">
        <f>+DATAOPS!AA353</f>
        <v>2021</v>
      </c>
      <c r="G350" s="1" t="str">
        <f>+DATAOPS!D353</f>
        <v>ROPA DORMIR</v>
      </c>
      <c r="H350" s="1">
        <f>+DATAOPS!AB353</f>
        <v>8</v>
      </c>
      <c r="I350" s="1">
        <f t="shared" si="12"/>
        <v>165</v>
      </c>
      <c r="J350" s="1">
        <f t="shared" si="13"/>
        <v>760</v>
      </c>
      <c r="K350" s="1">
        <f>+DATAOPS!O353*E350</f>
        <v>560</v>
      </c>
      <c r="L350" s="1">
        <f>+(DATAOPS!N353+DATAOPS!O353+DATAOPS!Q353)*E350</f>
        <v>760</v>
      </c>
    </row>
    <row r="351" spans="2:12" x14ac:dyDescent="0.3">
      <c r="B351" s="1" t="str">
        <f>+DATAOPS!C354</f>
        <v>MARELLE</v>
      </c>
      <c r="C351" s="1">
        <f>+DATAOPS!M354</f>
        <v>16</v>
      </c>
      <c r="D351" s="1">
        <f>+DATAOPS!N354+DATAOPS!O354+DATAOPS!Q354</f>
        <v>76</v>
      </c>
      <c r="E351" s="1">
        <f>+DATAOPS!W354</f>
        <v>51</v>
      </c>
      <c r="F351" s="1">
        <f>+DATAOPS!AA354</f>
        <v>2021</v>
      </c>
      <c r="G351" s="1" t="str">
        <f>+DATAOPS!D354</f>
        <v>ROPA DORMIR</v>
      </c>
      <c r="H351" s="1">
        <f>+DATAOPS!AB354</f>
        <v>8</v>
      </c>
      <c r="I351" s="1">
        <f t="shared" si="12"/>
        <v>816</v>
      </c>
      <c r="J351" s="1">
        <f t="shared" si="13"/>
        <v>3876</v>
      </c>
      <c r="K351" s="1">
        <f>+DATAOPS!O354*E351</f>
        <v>2652</v>
      </c>
      <c r="L351" s="1">
        <f>+(DATAOPS!N354+DATAOPS!O354+DATAOPS!Q354)*E351</f>
        <v>3876</v>
      </c>
    </row>
    <row r="352" spans="2:12" x14ac:dyDescent="0.3">
      <c r="B352" s="1" t="str">
        <f>+DATAOPS!C355</f>
        <v>MARELLE</v>
      </c>
      <c r="C352" s="1">
        <f>+DATAOPS!M355</f>
        <v>16</v>
      </c>
      <c r="D352" s="1">
        <f>+DATAOPS!N355+DATAOPS!O355+DATAOPS!Q355</f>
        <v>76</v>
      </c>
      <c r="E352" s="1">
        <f>+DATAOPS!W355</f>
        <v>56</v>
      </c>
      <c r="F352" s="1">
        <f>+DATAOPS!AA355</f>
        <v>2021</v>
      </c>
      <c r="G352" s="1" t="str">
        <f>+DATAOPS!D355</f>
        <v>ROPA DORMIR</v>
      </c>
      <c r="H352" s="1">
        <f>+DATAOPS!AB355</f>
        <v>8</v>
      </c>
      <c r="I352" s="1">
        <f t="shared" si="12"/>
        <v>896</v>
      </c>
      <c r="J352" s="1">
        <f t="shared" si="13"/>
        <v>4256</v>
      </c>
      <c r="K352" s="1">
        <f>+DATAOPS!O355*E352</f>
        <v>2912</v>
      </c>
      <c r="L352" s="1">
        <f>+(DATAOPS!N355+DATAOPS!O355+DATAOPS!Q355)*E352</f>
        <v>4256</v>
      </c>
    </row>
    <row r="353" spans="2:12" x14ac:dyDescent="0.3">
      <c r="B353" s="1" t="str">
        <f>+DATAOPS!C356</f>
        <v>MARELLE</v>
      </c>
      <c r="C353" s="1">
        <f>+DATAOPS!M356</f>
        <v>8.9</v>
      </c>
      <c r="D353" s="1">
        <f>+DATAOPS!N356+DATAOPS!O356+DATAOPS!Q356</f>
        <v>45.2</v>
      </c>
      <c r="E353" s="1">
        <f>+DATAOPS!W356</f>
        <v>66</v>
      </c>
      <c r="F353" s="1">
        <f>+DATAOPS!AA356</f>
        <v>2021</v>
      </c>
      <c r="G353" s="1" t="str">
        <f>+DATAOPS!D356</f>
        <v>ROPA DORMIR</v>
      </c>
      <c r="H353" s="1">
        <f>+DATAOPS!AB356</f>
        <v>8</v>
      </c>
      <c r="I353" s="1">
        <f t="shared" si="12"/>
        <v>587.4</v>
      </c>
      <c r="J353" s="1">
        <f t="shared" si="13"/>
        <v>2983.2000000000003</v>
      </c>
      <c r="K353" s="1">
        <f>+DATAOPS!O356*E353</f>
        <v>1716</v>
      </c>
      <c r="L353" s="1">
        <f>+(DATAOPS!N356+DATAOPS!O356+DATAOPS!Q356)*E353</f>
        <v>2983.2000000000003</v>
      </c>
    </row>
    <row r="354" spans="2:12" x14ac:dyDescent="0.3">
      <c r="B354" s="1" t="str">
        <f>+DATAOPS!C357</f>
        <v>MARELLE</v>
      </c>
      <c r="C354" s="1">
        <f>+DATAOPS!M357</f>
        <v>9</v>
      </c>
      <c r="D354" s="1">
        <f>+DATAOPS!N357+DATAOPS!O357+DATAOPS!Q357</f>
        <v>48</v>
      </c>
      <c r="E354" s="1">
        <f>+DATAOPS!W357</f>
        <v>92</v>
      </c>
      <c r="F354" s="1">
        <f>+DATAOPS!AA357</f>
        <v>2021</v>
      </c>
      <c r="G354" s="1" t="str">
        <f>+DATAOPS!D357</f>
        <v>ROPA DORMIR</v>
      </c>
      <c r="H354" s="1">
        <f>+DATAOPS!AB357</f>
        <v>8</v>
      </c>
      <c r="I354" s="1">
        <f t="shared" si="12"/>
        <v>828</v>
      </c>
      <c r="J354" s="1">
        <f t="shared" si="13"/>
        <v>4416</v>
      </c>
      <c r="K354" s="1">
        <f>+DATAOPS!O357*E354</f>
        <v>2208</v>
      </c>
      <c r="L354" s="1">
        <f>+(DATAOPS!N357+DATAOPS!O357+DATAOPS!Q357)*E354</f>
        <v>4416</v>
      </c>
    </row>
    <row r="355" spans="2:12" x14ac:dyDescent="0.3">
      <c r="B355" s="1" t="str">
        <f>+DATAOPS!C358</f>
        <v>MARELLE</v>
      </c>
      <c r="C355" s="1">
        <f>+DATAOPS!M358</f>
        <v>16</v>
      </c>
      <c r="D355" s="1">
        <f>+DATAOPS!N358+DATAOPS!O358+DATAOPS!Q358</f>
        <v>76</v>
      </c>
      <c r="E355" s="1">
        <f>+DATAOPS!W358</f>
        <v>51</v>
      </c>
      <c r="F355" s="1">
        <f>+DATAOPS!AA358</f>
        <v>2021</v>
      </c>
      <c r="G355" s="1" t="str">
        <f>+DATAOPS!D358</f>
        <v>ROPA DORMIR</v>
      </c>
      <c r="H355" s="1">
        <f>+DATAOPS!AB358</f>
        <v>8</v>
      </c>
      <c r="I355" s="1">
        <f t="shared" si="12"/>
        <v>816</v>
      </c>
      <c r="J355" s="1">
        <f t="shared" si="13"/>
        <v>3876</v>
      </c>
      <c r="K355" s="1">
        <f>+DATAOPS!O358*E355</f>
        <v>2652</v>
      </c>
      <c r="L355" s="1">
        <f>+(DATAOPS!N358+DATAOPS!O358+DATAOPS!Q358)*E355</f>
        <v>3876</v>
      </c>
    </row>
    <row r="356" spans="2:12" x14ac:dyDescent="0.3">
      <c r="B356" s="1" t="str">
        <f>+DATAOPS!C359</f>
        <v>FASHION VIEWS</v>
      </c>
      <c r="C356" s="1">
        <f>+DATAOPS!M359</f>
        <v>5.5</v>
      </c>
      <c r="D356" s="1">
        <f>+DATAOPS!N359+DATAOPS!O359+DATAOPS!Q359</f>
        <v>30</v>
      </c>
      <c r="E356" s="1">
        <f>+DATAOPS!W359</f>
        <v>60</v>
      </c>
      <c r="F356" s="1">
        <f>+DATAOPS!AA359</f>
        <v>2021</v>
      </c>
      <c r="G356" s="1" t="str">
        <f>+DATAOPS!D359</f>
        <v>ROPA DORMIR</v>
      </c>
      <c r="H356" s="1">
        <f>+DATAOPS!AB359</f>
        <v>8</v>
      </c>
      <c r="I356" s="1">
        <f t="shared" si="12"/>
        <v>330</v>
      </c>
      <c r="J356" s="1">
        <f t="shared" si="13"/>
        <v>1800</v>
      </c>
      <c r="K356" s="1">
        <f>+DATAOPS!O359*E356</f>
        <v>840</v>
      </c>
      <c r="L356" s="1">
        <f>+(DATAOPS!N359+DATAOPS!O359+DATAOPS!Q359)*E356</f>
        <v>1800</v>
      </c>
    </row>
    <row r="357" spans="2:12" x14ac:dyDescent="0.3">
      <c r="B357" s="1" t="str">
        <f>+DATAOPS!C360</f>
        <v>MARELLE</v>
      </c>
      <c r="C357" s="1">
        <f>+DATAOPS!M360</f>
        <v>16</v>
      </c>
      <c r="D357" s="1">
        <f>+DATAOPS!N360+DATAOPS!O360+DATAOPS!Q360</f>
        <v>76</v>
      </c>
      <c r="E357" s="1">
        <f>+DATAOPS!W360</f>
        <v>11</v>
      </c>
      <c r="F357" s="1">
        <f>+DATAOPS!AA360</f>
        <v>2021</v>
      </c>
      <c r="G357" s="1" t="str">
        <f>+DATAOPS!D360</f>
        <v>BEBES</v>
      </c>
      <c r="H357" s="1">
        <f>+DATAOPS!AB360</f>
        <v>8</v>
      </c>
      <c r="I357" s="1">
        <f t="shared" si="12"/>
        <v>176</v>
      </c>
      <c r="J357" s="1">
        <f t="shared" si="13"/>
        <v>836</v>
      </c>
      <c r="K357" s="1">
        <f>+DATAOPS!O360*E357</f>
        <v>572</v>
      </c>
      <c r="L357" s="1">
        <f>+(DATAOPS!N360+DATAOPS!O360+DATAOPS!Q360)*E357</f>
        <v>836</v>
      </c>
    </row>
    <row r="358" spans="2:12" x14ac:dyDescent="0.3">
      <c r="B358" s="1" t="str">
        <f>+DATAOPS!C361</f>
        <v>FASHION VIEWS</v>
      </c>
      <c r="C358" s="1">
        <f>+DATAOPS!M361</f>
        <v>37.700000000000003</v>
      </c>
      <c r="D358" s="1">
        <f>+DATAOPS!N361+DATAOPS!O361+DATAOPS!Q361</f>
        <v>44</v>
      </c>
      <c r="E358" s="1">
        <f>+DATAOPS!W361</f>
        <v>98</v>
      </c>
      <c r="F358" s="1">
        <f>+DATAOPS!AA361</f>
        <v>2021</v>
      </c>
      <c r="G358" s="1" t="str">
        <f>+DATAOPS!D361</f>
        <v>ROPA DORMIR</v>
      </c>
      <c r="H358" s="1">
        <f>+DATAOPS!AB361</f>
        <v>9</v>
      </c>
      <c r="I358" s="1">
        <f t="shared" si="12"/>
        <v>3694.6000000000004</v>
      </c>
      <c r="J358" s="1">
        <f t="shared" si="13"/>
        <v>4312</v>
      </c>
      <c r="K358" s="1">
        <f>+DATAOPS!O361*E358</f>
        <v>2508.8000000000002</v>
      </c>
      <c r="L358" s="1">
        <f>+(DATAOPS!N361+DATAOPS!O361+DATAOPS!Q361)*E358</f>
        <v>4312</v>
      </c>
    </row>
    <row r="359" spans="2:12" x14ac:dyDescent="0.3">
      <c r="B359" s="1" t="str">
        <f>+DATAOPS!C362</f>
        <v>FASHION VIEWS</v>
      </c>
      <c r="C359" s="1">
        <f>+DATAOPS!M362</f>
        <v>48</v>
      </c>
      <c r="D359" s="1">
        <f>+DATAOPS!N362+DATAOPS!O362+DATAOPS!Q362</f>
        <v>60</v>
      </c>
      <c r="E359" s="1">
        <f>+DATAOPS!W362</f>
        <v>22</v>
      </c>
      <c r="F359" s="1">
        <f>+DATAOPS!AA362</f>
        <v>2021</v>
      </c>
      <c r="G359" s="1" t="str">
        <f>+DATAOPS!D362</f>
        <v>ROPA DORMIR</v>
      </c>
      <c r="H359" s="1">
        <f>+DATAOPS!AB362</f>
        <v>9</v>
      </c>
      <c r="I359" s="1">
        <f t="shared" si="12"/>
        <v>1056</v>
      </c>
      <c r="J359" s="1">
        <f t="shared" si="13"/>
        <v>1320</v>
      </c>
      <c r="K359" s="1">
        <f>+DATAOPS!O362*E359</f>
        <v>792</v>
      </c>
      <c r="L359" s="1">
        <f>+(DATAOPS!N362+DATAOPS!O362+DATAOPS!Q362)*E359</f>
        <v>1320</v>
      </c>
    </row>
    <row r="360" spans="2:12" x14ac:dyDescent="0.3">
      <c r="B360" s="1" t="str">
        <f>+DATAOPS!C363</f>
        <v>FASHION VIEWS</v>
      </c>
      <c r="C360" s="1">
        <f>+DATAOPS!M363</f>
        <v>17.5</v>
      </c>
      <c r="D360" s="1">
        <f>+DATAOPS!N363+DATAOPS!O363+DATAOPS!Q363</f>
        <v>50</v>
      </c>
      <c r="E360" s="1">
        <f>+DATAOPS!W363</f>
        <v>54</v>
      </c>
      <c r="F360" s="1">
        <f>+DATAOPS!AA363</f>
        <v>2021</v>
      </c>
      <c r="G360" s="1" t="str">
        <f>+DATAOPS!D363</f>
        <v>ROPA DORMIR</v>
      </c>
      <c r="H360" s="1">
        <f>+DATAOPS!AB363</f>
        <v>9</v>
      </c>
      <c r="I360" s="1">
        <f t="shared" si="12"/>
        <v>945</v>
      </c>
      <c r="J360" s="1">
        <f t="shared" si="13"/>
        <v>2700</v>
      </c>
      <c r="K360" s="1">
        <f>+DATAOPS!O363*E360</f>
        <v>1404</v>
      </c>
      <c r="L360" s="1">
        <f>+(DATAOPS!N363+DATAOPS!O363+DATAOPS!Q363)*E360</f>
        <v>2700</v>
      </c>
    </row>
    <row r="361" spans="2:12" x14ac:dyDescent="0.3">
      <c r="B361" s="1" t="str">
        <f>+DATAOPS!C364</f>
        <v>FASHION VIEWS</v>
      </c>
      <c r="C361" s="1">
        <f>+DATAOPS!M364</f>
        <v>18</v>
      </c>
      <c r="D361" s="1">
        <f>+DATAOPS!N364+DATAOPS!O364+DATAOPS!Q364</f>
        <v>52</v>
      </c>
      <c r="E361" s="1">
        <f>+DATAOPS!W364</f>
        <v>39</v>
      </c>
      <c r="F361" s="1">
        <f>+DATAOPS!AA364</f>
        <v>2021</v>
      </c>
      <c r="G361" s="1" t="str">
        <f>+DATAOPS!D364</f>
        <v>ROPA DORMIR</v>
      </c>
      <c r="H361" s="1">
        <f>+DATAOPS!AB364</f>
        <v>9</v>
      </c>
      <c r="I361" s="1">
        <f t="shared" si="12"/>
        <v>702</v>
      </c>
      <c r="J361" s="1">
        <f t="shared" si="13"/>
        <v>2028</v>
      </c>
      <c r="K361" s="1">
        <f>+DATAOPS!O364*E361</f>
        <v>1092</v>
      </c>
      <c r="L361" s="1">
        <f>+(DATAOPS!N364+DATAOPS!O364+DATAOPS!Q364)*E361</f>
        <v>2028</v>
      </c>
    </row>
    <row r="362" spans="2:12" x14ac:dyDescent="0.3">
      <c r="B362" s="1" t="str">
        <f>+DATAOPS!C365</f>
        <v>FASHION VIEWS</v>
      </c>
      <c r="C362" s="1">
        <f>+DATAOPS!M365</f>
        <v>17</v>
      </c>
      <c r="D362" s="1">
        <f>+DATAOPS!N365+DATAOPS!O365+DATAOPS!Q365</f>
        <v>48</v>
      </c>
      <c r="E362" s="1">
        <f>+DATAOPS!W365</f>
        <v>50</v>
      </c>
      <c r="F362" s="1">
        <f>+DATAOPS!AA365</f>
        <v>2021</v>
      </c>
      <c r="G362" s="1" t="str">
        <f>+DATAOPS!D365</f>
        <v>ROPA DORMIR</v>
      </c>
      <c r="H362" s="1">
        <f>+DATAOPS!AB365</f>
        <v>9</v>
      </c>
      <c r="I362" s="1">
        <f t="shared" si="12"/>
        <v>850</v>
      </c>
      <c r="J362" s="1">
        <f t="shared" si="13"/>
        <v>2400</v>
      </c>
      <c r="K362" s="1">
        <f>+DATAOPS!O365*E362</f>
        <v>1200</v>
      </c>
      <c r="L362" s="1">
        <f>+(DATAOPS!N365+DATAOPS!O365+DATAOPS!Q365)*E362</f>
        <v>2400</v>
      </c>
    </row>
    <row r="363" spans="2:12" x14ac:dyDescent="0.3">
      <c r="B363" s="1" t="str">
        <f>+DATAOPS!C366</f>
        <v>FASHION VIEWS</v>
      </c>
      <c r="C363" s="1">
        <f>+DATAOPS!M366</f>
        <v>15.3</v>
      </c>
      <c r="D363" s="1">
        <f>+DATAOPS!N366+DATAOPS!O366+DATAOPS!Q366</f>
        <v>50</v>
      </c>
      <c r="E363" s="1">
        <f>+DATAOPS!W366</f>
        <v>34</v>
      </c>
      <c r="F363" s="1">
        <f>+DATAOPS!AA366</f>
        <v>2021</v>
      </c>
      <c r="G363" s="1" t="str">
        <f>+DATAOPS!D366</f>
        <v>ROPA DORMIR</v>
      </c>
      <c r="H363" s="1">
        <f>+DATAOPS!AB366</f>
        <v>9</v>
      </c>
      <c r="I363" s="1">
        <f t="shared" si="12"/>
        <v>520.20000000000005</v>
      </c>
      <c r="J363" s="1">
        <f t="shared" si="13"/>
        <v>1700</v>
      </c>
      <c r="K363" s="1">
        <f>+DATAOPS!O366*E363</f>
        <v>884</v>
      </c>
      <c r="L363" s="1">
        <f>+(DATAOPS!N366+DATAOPS!O366+DATAOPS!Q366)*E363</f>
        <v>1700</v>
      </c>
    </row>
    <row r="364" spans="2:12" x14ac:dyDescent="0.3">
      <c r="B364" s="1" t="str">
        <f>+DATAOPS!C367</f>
        <v>MARELLE</v>
      </c>
      <c r="C364" s="1">
        <f>+DATAOPS!M367</f>
        <v>9.8000000000000007</v>
      </c>
      <c r="D364" s="1">
        <f>+DATAOPS!N367+DATAOPS!O367+DATAOPS!Q367</f>
        <v>51.2</v>
      </c>
      <c r="E364" s="1">
        <f>+DATAOPS!W367</f>
        <v>124</v>
      </c>
      <c r="F364" s="1">
        <f>+DATAOPS!AA367</f>
        <v>2021</v>
      </c>
      <c r="G364" s="1" t="str">
        <f>+DATAOPS!D367</f>
        <v>ROPA DORMIR</v>
      </c>
      <c r="H364" s="1">
        <f>+DATAOPS!AB367</f>
        <v>9</v>
      </c>
      <c r="I364" s="1">
        <f t="shared" si="12"/>
        <v>1215.2</v>
      </c>
      <c r="J364" s="1">
        <f t="shared" si="13"/>
        <v>6348.8</v>
      </c>
      <c r="K364" s="1">
        <f>+DATAOPS!O367*E364</f>
        <v>3372.7999999999997</v>
      </c>
      <c r="L364" s="1">
        <f>+(DATAOPS!N367+DATAOPS!O367+DATAOPS!Q367)*E364</f>
        <v>6348.8</v>
      </c>
    </row>
    <row r="365" spans="2:12" x14ac:dyDescent="0.3">
      <c r="B365" s="1" t="str">
        <f>+DATAOPS!C368</f>
        <v>MARELLE</v>
      </c>
      <c r="C365" s="1">
        <f>+DATAOPS!M368</f>
        <v>10.5</v>
      </c>
      <c r="D365" s="1">
        <f>+DATAOPS!N368+DATAOPS!O368+DATAOPS!Q368</f>
        <v>54</v>
      </c>
      <c r="E365" s="1">
        <f>+DATAOPS!W368</f>
        <v>124</v>
      </c>
      <c r="F365" s="1">
        <f>+DATAOPS!AA368</f>
        <v>2021</v>
      </c>
      <c r="G365" s="1" t="str">
        <f>+DATAOPS!D368</f>
        <v>ROPA DORMIR</v>
      </c>
      <c r="H365" s="1">
        <f>+DATAOPS!AB368</f>
        <v>9</v>
      </c>
      <c r="I365" s="1">
        <f t="shared" si="12"/>
        <v>1302</v>
      </c>
      <c r="J365" s="1">
        <f t="shared" si="13"/>
        <v>6696</v>
      </c>
      <c r="K365" s="1">
        <f>+DATAOPS!O368*E365</f>
        <v>3720</v>
      </c>
      <c r="L365" s="1">
        <f>+(DATAOPS!N368+DATAOPS!O368+DATAOPS!Q368)*E365</f>
        <v>6696</v>
      </c>
    </row>
    <row r="366" spans="2:12" x14ac:dyDescent="0.3">
      <c r="B366" s="1" t="str">
        <f>+DATAOPS!C369</f>
        <v>MARELLE</v>
      </c>
      <c r="C366" s="1">
        <f>+DATAOPS!M369</f>
        <v>23.5</v>
      </c>
      <c r="D366" s="1">
        <f>+DATAOPS!N369+DATAOPS!O369+DATAOPS!Q369</f>
        <v>70</v>
      </c>
      <c r="E366" s="1">
        <f>+DATAOPS!W369</f>
        <v>22</v>
      </c>
      <c r="F366" s="1">
        <f>+DATAOPS!AA369</f>
        <v>2021</v>
      </c>
      <c r="G366" s="1" t="str">
        <f>+DATAOPS!D369</f>
        <v>BEBES</v>
      </c>
      <c r="H366" s="1">
        <f>+DATAOPS!AB369</f>
        <v>9</v>
      </c>
      <c r="I366" s="1">
        <f t="shared" si="12"/>
        <v>517</v>
      </c>
      <c r="J366" s="1">
        <f t="shared" si="13"/>
        <v>1540</v>
      </c>
      <c r="K366" s="1">
        <f>+DATAOPS!O369*E366</f>
        <v>1012</v>
      </c>
      <c r="L366" s="1">
        <f>+(DATAOPS!N369+DATAOPS!O369+DATAOPS!Q369)*E366</f>
        <v>1540</v>
      </c>
    </row>
    <row r="367" spans="2:12" x14ac:dyDescent="0.3">
      <c r="B367" s="1" t="str">
        <f>+DATAOPS!C370</f>
        <v>MARELLE</v>
      </c>
      <c r="C367" s="1">
        <f>+DATAOPS!M370</f>
        <v>19.5</v>
      </c>
      <c r="D367" s="1">
        <f>+DATAOPS!N370+DATAOPS!O370+DATAOPS!Q370</f>
        <v>46</v>
      </c>
      <c r="E367" s="1">
        <f>+DATAOPS!W370</f>
        <v>11</v>
      </c>
      <c r="F367" s="1">
        <f>+DATAOPS!AA370</f>
        <v>2021</v>
      </c>
      <c r="G367" s="1" t="str">
        <f>+DATAOPS!D370</f>
        <v>BEBES</v>
      </c>
      <c r="H367" s="1">
        <f>+DATAOPS!AB370</f>
        <v>9</v>
      </c>
      <c r="I367" s="1">
        <f t="shared" si="12"/>
        <v>214.5</v>
      </c>
      <c r="J367" s="1">
        <f t="shared" si="13"/>
        <v>506</v>
      </c>
      <c r="K367" s="1">
        <f>+DATAOPS!O370*E367</f>
        <v>242</v>
      </c>
      <c r="L367" s="1">
        <f>+(DATAOPS!N370+DATAOPS!O370+DATAOPS!Q370)*E367</f>
        <v>506</v>
      </c>
    </row>
    <row r="368" spans="2:12" x14ac:dyDescent="0.3">
      <c r="B368" s="1" t="str">
        <f>+DATAOPS!C371</f>
        <v>MARELLE</v>
      </c>
      <c r="C368" s="1">
        <f>+DATAOPS!M371</f>
        <v>11.5</v>
      </c>
      <c r="D368" s="1">
        <f>+DATAOPS!N371+DATAOPS!O371+DATAOPS!Q371</f>
        <v>30</v>
      </c>
      <c r="E368" s="1">
        <f>+DATAOPS!W371</f>
        <v>11</v>
      </c>
      <c r="F368" s="1">
        <f>+DATAOPS!AA371</f>
        <v>2021</v>
      </c>
      <c r="G368" s="1" t="str">
        <f>+DATAOPS!D371</f>
        <v>BEBES</v>
      </c>
      <c r="H368" s="1">
        <f>+DATAOPS!AB371</f>
        <v>9</v>
      </c>
      <c r="I368" s="1">
        <f t="shared" si="12"/>
        <v>126.5</v>
      </c>
      <c r="J368" s="1">
        <f t="shared" si="13"/>
        <v>330</v>
      </c>
      <c r="K368" s="1">
        <f>+DATAOPS!O371*E368</f>
        <v>154</v>
      </c>
      <c r="L368" s="1">
        <f>+(DATAOPS!N371+DATAOPS!O371+DATAOPS!Q371)*E368</f>
        <v>330</v>
      </c>
    </row>
    <row r="369" spans="2:12" x14ac:dyDescent="0.3">
      <c r="B369" s="1" t="str">
        <f>+DATAOPS!C372</f>
        <v>MARELLE</v>
      </c>
      <c r="C369" s="1">
        <f>+DATAOPS!M372</f>
        <v>11.5</v>
      </c>
      <c r="D369" s="1">
        <f>+DATAOPS!N372+DATAOPS!O372+DATAOPS!Q372</f>
        <v>30</v>
      </c>
      <c r="E369" s="1">
        <f>+DATAOPS!W372</f>
        <v>11</v>
      </c>
      <c r="F369" s="1">
        <f>+DATAOPS!AA372</f>
        <v>2021</v>
      </c>
      <c r="G369" s="1" t="str">
        <f>+DATAOPS!D372</f>
        <v>BEBES</v>
      </c>
      <c r="H369" s="1">
        <f>+DATAOPS!AB372</f>
        <v>9</v>
      </c>
      <c r="I369" s="1">
        <f t="shared" si="12"/>
        <v>126.5</v>
      </c>
      <c r="J369" s="1">
        <f t="shared" si="13"/>
        <v>330</v>
      </c>
      <c r="K369" s="1">
        <f>+DATAOPS!O372*E369</f>
        <v>154</v>
      </c>
      <c r="L369" s="1">
        <f>+(DATAOPS!N372+DATAOPS!O372+DATAOPS!Q372)*E369</f>
        <v>330</v>
      </c>
    </row>
    <row r="370" spans="2:12" x14ac:dyDescent="0.3">
      <c r="B370" s="1" t="str">
        <f>+DATAOPS!C373</f>
        <v>MARELLE</v>
      </c>
      <c r="C370" s="1">
        <f>+DATAOPS!M373</f>
        <v>14.5</v>
      </c>
      <c r="D370" s="1">
        <f>+DATAOPS!N373+DATAOPS!O373+DATAOPS!Q373</f>
        <v>46</v>
      </c>
      <c r="E370" s="1">
        <f>+DATAOPS!W373</f>
        <v>11</v>
      </c>
      <c r="F370" s="1">
        <f>+DATAOPS!AA373</f>
        <v>2021</v>
      </c>
      <c r="G370" s="1" t="str">
        <f>+DATAOPS!D373</f>
        <v>BEBES</v>
      </c>
      <c r="H370" s="1">
        <f>+DATAOPS!AB373</f>
        <v>9</v>
      </c>
      <c r="I370" s="1">
        <f t="shared" si="12"/>
        <v>159.5</v>
      </c>
      <c r="J370" s="1">
        <f t="shared" si="13"/>
        <v>506</v>
      </c>
      <c r="K370" s="1">
        <f>+DATAOPS!O373*E370</f>
        <v>242</v>
      </c>
      <c r="L370" s="1">
        <f>+(DATAOPS!N373+DATAOPS!O373+DATAOPS!Q373)*E370</f>
        <v>506</v>
      </c>
    </row>
    <row r="371" spans="2:12" x14ac:dyDescent="0.3">
      <c r="B371" s="1" t="str">
        <f>+DATAOPS!C374</f>
        <v>MARELLE</v>
      </c>
      <c r="C371" s="1">
        <f>+DATAOPS!M374</f>
        <v>11.5</v>
      </c>
      <c r="D371" s="1">
        <f>+DATAOPS!N374+DATAOPS!O374+DATAOPS!Q374</f>
        <v>30</v>
      </c>
      <c r="E371" s="1">
        <f>+DATAOPS!W374</f>
        <v>11</v>
      </c>
      <c r="F371" s="1">
        <f>+DATAOPS!AA374</f>
        <v>2021</v>
      </c>
      <c r="G371" s="1" t="str">
        <f>+DATAOPS!D374</f>
        <v>BEBES</v>
      </c>
      <c r="H371" s="1">
        <f>+DATAOPS!AB374</f>
        <v>9</v>
      </c>
      <c r="I371" s="1">
        <f t="shared" si="12"/>
        <v>126.5</v>
      </c>
      <c r="J371" s="1">
        <f t="shared" si="13"/>
        <v>330</v>
      </c>
      <c r="K371" s="1">
        <f>+DATAOPS!O374*E371</f>
        <v>154</v>
      </c>
      <c r="L371" s="1">
        <f>+(DATAOPS!N374+DATAOPS!O374+DATAOPS!Q374)*E371</f>
        <v>330</v>
      </c>
    </row>
    <row r="372" spans="2:12" x14ac:dyDescent="0.3">
      <c r="B372" s="1" t="str">
        <f>+DATAOPS!C375</f>
        <v>MARELLE</v>
      </c>
      <c r="C372" s="1">
        <f>+DATAOPS!M375</f>
        <v>11.5</v>
      </c>
      <c r="D372" s="1">
        <f>+DATAOPS!N375+DATAOPS!O375+DATAOPS!Q375</f>
        <v>30</v>
      </c>
      <c r="E372" s="1">
        <f>+DATAOPS!W375</f>
        <v>11</v>
      </c>
      <c r="F372" s="1">
        <f>+DATAOPS!AA375</f>
        <v>2021</v>
      </c>
      <c r="G372" s="1" t="str">
        <f>+DATAOPS!D375</f>
        <v>BEBES</v>
      </c>
      <c r="H372" s="1">
        <f>+DATAOPS!AB375</f>
        <v>9</v>
      </c>
      <c r="I372" s="1">
        <f t="shared" si="12"/>
        <v>126.5</v>
      </c>
      <c r="J372" s="1">
        <f t="shared" si="13"/>
        <v>330</v>
      </c>
      <c r="K372" s="1">
        <f>+DATAOPS!O375*E372</f>
        <v>154</v>
      </c>
      <c r="L372" s="1">
        <f>+(DATAOPS!N375+DATAOPS!O375+DATAOPS!Q375)*E372</f>
        <v>330</v>
      </c>
    </row>
    <row r="373" spans="2:12" x14ac:dyDescent="0.3">
      <c r="B373" s="1" t="str">
        <f>+DATAOPS!C376</f>
        <v>MFC</v>
      </c>
      <c r="C373" s="1">
        <f>+DATAOPS!M376</f>
        <v>14</v>
      </c>
      <c r="D373" s="1">
        <f>+DATAOPS!N376+DATAOPS!O376+DATAOPS!Q376</f>
        <v>68</v>
      </c>
      <c r="E373" s="1">
        <f>+DATAOPS!W376</f>
        <v>18</v>
      </c>
      <c r="F373" s="1">
        <f>+DATAOPS!AA376</f>
        <v>2021</v>
      </c>
      <c r="G373" s="1" t="str">
        <f>+DATAOPS!D376</f>
        <v>ROPA DORMIR</v>
      </c>
      <c r="H373" s="1">
        <f>+DATAOPS!AB376</f>
        <v>9</v>
      </c>
      <c r="I373" s="1">
        <f t="shared" si="12"/>
        <v>252</v>
      </c>
      <c r="J373" s="1">
        <f t="shared" si="13"/>
        <v>1224</v>
      </c>
      <c r="K373" s="1">
        <f>+DATAOPS!O376*E373</f>
        <v>792</v>
      </c>
      <c r="L373" s="1">
        <f>+(DATAOPS!N376+DATAOPS!O376+DATAOPS!Q376)*E373</f>
        <v>1224</v>
      </c>
    </row>
    <row r="374" spans="2:12" x14ac:dyDescent="0.3">
      <c r="B374" s="1" t="str">
        <f>+DATAOPS!C377</f>
        <v>MFC</v>
      </c>
      <c r="C374" s="1">
        <f>+DATAOPS!M377</f>
        <v>14</v>
      </c>
      <c r="D374" s="1">
        <f>+DATAOPS!N377+DATAOPS!O377+DATAOPS!Q377</f>
        <v>68</v>
      </c>
      <c r="E374" s="1">
        <f>+DATAOPS!W377</f>
        <v>18</v>
      </c>
      <c r="F374" s="1">
        <f>+DATAOPS!AA377</f>
        <v>2021</v>
      </c>
      <c r="G374" s="1" t="str">
        <f>+DATAOPS!D377</f>
        <v>ROPA DORMIR</v>
      </c>
      <c r="H374" s="1">
        <f>+DATAOPS!AB377</f>
        <v>9</v>
      </c>
      <c r="I374" s="1">
        <f t="shared" si="12"/>
        <v>252</v>
      </c>
      <c r="J374" s="1">
        <f t="shared" si="13"/>
        <v>1224</v>
      </c>
      <c r="K374" s="1">
        <f>+DATAOPS!O377*E374</f>
        <v>792</v>
      </c>
      <c r="L374" s="1">
        <f>+(DATAOPS!N377+DATAOPS!O377+DATAOPS!Q377)*E374</f>
        <v>1224</v>
      </c>
    </row>
    <row r="375" spans="2:12" x14ac:dyDescent="0.3">
      <c r="B375" s="1" t="str">
        <f>+DATAOPS!C378</f>
        <v>MFC</v>
      </c>
      <c r="C375" s="1">
        <f>+DATAOPS!M378</f>
        <v>15</v>
      </c>
      <c r="D375" s="1">
        <f>+DATAOPS!N378+DATAOPS!O378+DATAOPS!Q378</f>
        <v>72</v>
      </c>
      <c r="E375" s="1">
        <f>+DATAOPS!W378</f>
        <v>18</v>
      </c>
      <c r="F375" s="1">
        <f>+DATAOPS!AA378</f>
        <v>2021</v>
      </c>
      <c r="G375" s="1" t="str">
        <f>+DATAOPS!D378</f>
        <v>ROPA DORMIR</v>
      </c>
      <c r="H375" s="1">
        <f>+DATAOPS!AB378</f>
        <v>9</v>
      </c>
      <c r="I375" s="1">
        <f t="shared" si="12"/>
        <v>270</v>
      </c>
      <c r="J375" s="1">
        <f t="shared" si="13"/>
        <v>1296</v>
      </c>
      <c r="K375" s="1">
        <f>+DATAOPS!O378*E375</f>
        <v>864</v>
      </c>
      <c r="L375" s="1">
        <f>+(DATAOPS!N378+DATAOPS!O378+DATAOPS!Q378)*E375</f>
        <v>1296</v>
      </c>
    </row>
    <row r="376" spans="2:12" x14ac:dyDescent="0.3">
      <c r="B376" s="1" t="str">
        <f>+DATAOPS!C379</f>
        <v>MFC</v>
      </c>
      <c r="C376" s="1">
        <f>+DATAOPS!M379</f>
        <v>15</v>
      </c>
      <c r="D376" s="1">
        <f>+DATAOPS!N379+DATAOPS!O379+DATAOPS!Q379</f>
        <v>72</v>
      </c>
      <c r="E376" s="1">
        <f>+DATAOPS!W379</f>
        <v>9</v>
      </c>
      <c r="F376" s="1">
        <f>+DATAOPS!AA379</f>
        <v>2021</v>
      </c>
      <c r="G376" s="1" t="str">
        <f>+DATAOPS!D379</f>
        <v>ROPA DORMIR</v>
      </c>
      <c r="H376" s="1">
        <f>+DATAOPS!AB379</f>
        <v>9</v>
      </c>
      <c r="I376" s="1">
        <f t="shared" si="12"/>
        <v>135</v>
      </c>
      <c r="J376" s="1">
        <f t="shared" si="13"/>
        <v>648</v>
      </c>
      <c r="K376" s="1">
        <f>+DATAOPS!O379*E376</f>
        <v>432</v>
      </c>
      <c r="L376" s="1">
        <f>+(DATAOPS!N379+DATAOPS!O379+DATAOPS!Q379)*E376</f>
        <v>648</v>
      </c>
    </row>
    <row r="377" spans="2:12" x14ac:dyDescent="0.3">
      <c r="B377" s="1" t="str">
        <f>+DATAOPS!C380</f>
        <v>MARELLE</v>
      </c>
      <c r="C377" s="1">
        <f>+DATAOPS!M380</f>
        <v>24.6</v>
      </c>
      <c r="D377" s="1">
        <f>+DATAOPS!N380+DATAOPS!O380+DATAOPS!Q380</f>
        <v>50.4</v>
      </c>
      <c r="E377" s="1">
        <f>+DATAOPS!W380</f>
        <v>84</v>
      </c>
      <c r="F377" s="1">
        <f>+DATAOPS!AA380</f>
        <v>2021</v>
      </c>
      <c r="G377" s="1" t="str">
        <f>+DATAOPS!D380</f>
        <v>ROPA DORMIR</v>
      </c>
      <c r="H377" s="1">
        <f>+DATAOPS!AB380</f>
        <v>9</v>
      </c>
      <c r="I377" s="1">
        <f t="shared" si="12"/>
        <v>2066.4</v>
      </c>
      <c r="J377" s="1">
        <f t="shared" si="13"/>
        <v>4233.5999999999995</v>
      </c>
      <c r="K377" s="1">
        <f>+DATAOPS!O380*E377</f>
        <v>2217.6</v>
      </c>
      <c r="L377" s="1">
        <f>+(DATAOPS!N380+DATAOPS!O380+DATAOPS!Q380)*E377</f>
        <v>4233.5999999999995</v>
      </c>
    </row>
    <row r="378" spans="2:12" x14ac:dyDescent="0.3">
      <c r="B378" s="1" t="str">
        <f>+DATAOPS!C381</f>
        <v>MARELLE</v>
      </c>
      <c r="C378" s="1">
        <f>+DATAOPS!M381</f>
        <v>13</v>
      </c>
      <c r="D378" s="1">
        <f>+DATAOPS!N381+DATAOPS!O381+DATAOPS!Q381</f>
        <v>64</v>
      </c>
      <c r="E378" s="1">
        <f>+DATAOPS!W381</f>
        <v>52</v>
      </c>
      <c r="F378" s="1">
        <f>+DATAOPS!AA381</f>
        <v>2021</v>
      </c>
      <c r="G378" s="1" t="str">
        <f>+DATAOPS!D381</f>
        <v>ROPA DORMIR</v>
      </c>
      <c r="H378" s="1">
        <f>+DATAOPS!AB381</f>
        <v>9</v>
      </c>
      <c r="I378" s="1">
        <f t="shared" si="12"/>
        <v>676</v>
      </c>
      <c r="J378" s="1">
        <f t="shared" si="13"/>
        <v>3328</v>
      </c>
      <c r="K378" s="1">
        <f>+DATAOPS!O381*E378</f>
        <v>2080</v>
      </c>
      <c r="L378" s="1">
        <f>+(DATAOPS!N381+DATAOPS!O381+DATAOPS!Q381)*E378</f>
        <v>3328</v>
      </c>
    </row>
    <row r="379" spans="2:12" x14ac:dyDescent="0.3">
      <c r="B379" s="1" t="str">
        <f>+DATAOPS!C382</f>
        <v>MARELLE</v>
      </c>
      <c r="C379" s="1">
        <f>+DATAOPS!M382</f>
        <v>10.5</v>
      </c>
      <c r="D379" s="1">
        <f>+DATAOPS!N382+DATAOPS!O382+DATAOPS!Q382</f>
        <v>54</v>
      </c>
      <c r="E379" s="1">
        <f>+DATAOPS!W382</f>
        <v>52</v>
      </c>
      <c r="F379" s="1">
        <f>+DATAOPS!AA382</f>
        <v>2021</v>
      </c>
      <c r="G379" s="1" t="str">
        <f>+DATAOPS!D382</f>
        <v>ROPA DORMIR</v>
      </c>
      <c r="H379" s="1">
        <f>+DATAOPS!AB382</f>
        <v>9</v>
      </c>
      <c r="I379" s="1">
        <f t="shared" si="12"/>
        <v>546</v>
      </c>
      <c r="J379" s="1">
        <f t="shared" si="13"/>
        <v>2808</v>
      </c>
      <c r="K379" s="1">
        <f>+DATAOPS!O382*E379</f>
        <v>1560</v>
      </c>
      <c r="L379" s="1">
        <f>+(DATAOPS!N382+DATAOPS!O382+DATAOPS!Q382)*E379</f>
        <v>2808</v>
      </c>
    </row>
    <row r="380" spans="2:12" x14ac:dyDescent="0.3">
      <c r="B380" s="1" t="str">
        <f>+DATAOPS!C383</f>
        <v>MARELLE</v>
      </c>
      <c r="C380" s="1">
        <f>+DATAOPS!M383</f>
        <v>11.5</v>
      </c>
      <c r="D380" s="1">
        <f>+DATAOPS!N383+DATAOPS!O383+DATAOPS!Q383</f>
        <v>58</v>
      </c>
      <c r="E380" s="1">
        <f>+DATAOPS!W383</f>
        <v>67</v>
      </c>
      <c r="F380" s="1">
        <f>+DATAOPS!AA383</f>
        <v>2021</v>
      </c>
      <c r="G380" s="1" t="str">
        <f>+DATAOPS!D383</f>
        <v>ROPA DORMIR</v>
      </c>
      <c r="H380" s="1">
        <f>+DATAOPS!AB383</f>
        <v>9</v>
      </c>
      <c r="I380" s="1">
        <f t="shared" si="12"/>
        <v>770.5</v>
      </c>
      <c r="J380" s="1">
        <f t="shared" si="13"/>
        <v>3886</v>
      </c>
      <c r="K380" s="1">
        <f>+DATAOPS!O383*E380</f>
        <v>2278</v>
      </c>
      <c r="L380" s="1">
        <f>+(DATAOPS!N383+DATAOPS!O383+DATAOPS!Q383)*E380</f>
        <v>3886</v>
      </c>
    </row>
    <row r="381" spans="2:12" x14ac:dyDescent="0.3">
      <c r="B381" s="1" t="str">
        <f>+DATAOPS!C384</f>
        <v>MARELLE</v>
      </c>
      <c r="C381" s="1">
        <f>+DATAOPS!M384</f>
        <v>9</v>
      </c>
      <c r="D381" s="1">
        <f>+DATAOPS!N384+DATAOPS!O384+DATAOPS!Q384</f>
        <v>48</v>
      </c>
      <c r="E381" s="1">
        <f>+DATAOPS!W384</f>
        <v>104</v>
      </c>
      <c r="F381" s="1">
        <f>+DATAOPS!AA384</f>
        <v>2021</v>
      </c>
      <c r="G381" s="1" t="str">
        <f>+DATAOPS!D384</f>
        <v>ROPA DORMIR</v>
      </c>
      <c r="H381" s="1">
        <f>+DATAOPS!AB384</f>
        <v>9</v>
      </c>
      <c r="I381" s="1">
        <f t="shared" si="12"/>
        <v>936</v>
      </c>
      <c r="J381" s="1">
        <f t="shared" si="13"/>
        <v>4992</v>
      </c>
      <c r="K381" s="1">
        <f>+DATAOPS!O384*E381</f>
        <v>2496</v>
      </c>
      <c r="L381" s="1">
        <f>+(DATAOPS!N384+DATAOPS!O384+DATAOPS!Q384)*E381</f>
        <v>4992</v>
      </c>
    </row>
    <row r="382" spans="2:12" x14ac:dyDescent="0.3">
      <c r="B382" s="1" t="str">
        <f>+DATAOPS!C385</f>
        <v>FASHION VIEWS</v>
      </c>
      <c r="C382" s="1">
        <f>+DATAOPS!M385</f>
        <v>13.5</v>
      </c>
      <c r="D382" s="1">
        <f>+DATAOPS!N385+DATAOPS!O385+DATAOPS!Q385</f>
        <v>66</v>
      </c>
      <c r="E382" s="1">
        <f>+DATAOPS!W385</f>
        <v>216</v>
      </c>
      <c r="F382" s="1">
        <f>+DATAOPS!AA385</f>
        <v>2021</v>
      </c>
      <c r="G382" s="1" t="str">
        <f>+DATAOPS!D385</f>
        <v>ROPA DORMIR</v>
      </c>
      <c r="H382" s="1">
        <f>+DATAOPS!AB385</f>
        <v>9</v>
      </c>
      <c r="I382" s="1">
        <f t="shared" si="12"/>
        <v>2916</v>
      </c>
      <c r="J382" s="1">
        <f t="shared" si="13"/>
        <v>14256</v>
      </c>
      <c r="K382" s="1">
        <f>+DATAOPS!O385*E382</f>
        <v>9072</v>
      </c>
      <c r="L382" s="1">
        <f>+(DATAOPS!N385+DATAOPS!O385+DATAOPS!Q385)*E382</f>
        <v>14256</v>
      </c>
    </row>
    <row r="383" spans="2:12" x14ac:dyDescent="0.3">
      <c r="B383" s="1" t="str">
        <f>+DATAOPS!C386</f>
        <v>FASHION VIEWS</v>
      </c>
      <c r="C383" s="1">
        <f>+DATAOPS!M386</f>
        <v>10.5</v>
      </c>
      <c r="D383" s="1">
        <f>+DATAOPS!N386+DATAOPS!O386+DATAOPS!Q386</f>
        <v>54</v>
      </c>
      <c r="E383" s="1">
        <f>+DATAOPS!W386</f>
        <v>160</v>
      </c>
      <c r="F383" s="1">
        <f>+DATAOPS!AA386</f>
        <v>2021</v>
      </c>
      <c r="G383" s="1" t="str">
        <f>+DATAOPS!D386</f>
        <v>ROPA DORMIR</v>
      </c>
      <c r="H383" s="1">
        <f>+DATAOPS!AB386</f>
        <v>9</v>
      </c>
      <c r="I383" s="1">
        <f t="shared" si="12"/>
        <v>1680</v>
      </c>
      <c r="J383" s="1">
        <f t="shared" si="13"/>
        <v>8640</v>
      </c>
      <c r="K383" s="1">
        <f>+DATAOPS!O386*E383</f>
        <v>4800</v>
      </c>
      <c r="L383" s="1">
        <f>+(DATAOPS!N386+DATAOPS!O386+DATAOPS!Q386)*E383</f>
        <v>8640</v>
      </c>
    </row>
    <row r="384" spans="2:12" x14ac:dyDescent="0.3">
      <c r="B384" s="1" t="str">
        <f>+DATAOPS!C387</f>
        <v>MARELLE</v>
      </c>
      <c r="C384" s="1">
        <f>+DATAOPS!M387</f>
        <v>9.5</v>
      </c>
      <c r="D384" s="1">
        <f>+DATAOPS!N387+DATAOPS!O387+DATAOPS!Q387</f>
        <v>50</v>
      </c>
      <c r="E384" s="1">
        <f>+DATAOPS!W387</f>
        <v>124</v>
      </c>
      <c r="F384" s="1">
        <f>+DATAOPS!AA387</f>
        <v>2021</v>
      </c>
      <c r="G384" s="1" t="str">
        <f>+DATAOPS!D387</f>
        <v>ROPA DORMIR</v>
      </c>
      <c r="H384" s="1">
        <f>+DATAOPS!AB387</f>
        <v>9</v>
      </c>
      <c r="I384" s="1">
        <f t="shared" si="12"/>
        <v>1178</v>
      </c>
      <c r="J384" s="1">
        <f t="shared" si="13"/>
        <v>6200</v>
      </c>
      <c r="K384" s="1">
        <f>+DATAOPS!O387*E384</f>
        <v>3224</v>
      </c>
      <c r="L384" s="1">
        <f>+(DATAOPS!N387+DATAOPS!O387+DATAOPS!Q387)*E384</f>
        <v>6200</v>
      </c>
    </row>
    <row r="385" spans="2:12" x14ac:dyDescent="0.3">
      <c r="B385" s="1" t="str">
        <f>+DATAOPS!C388</f>
        <v>MARELLE</v>
      </c>
      <c r="C385" s="1">
        <f>+DATAOPS!M388</f>
        <v>10.5</v>
      </c>
      <c r="D385" s="1">
        <f>+DATAOPS!N388+DATAOPS!O388+DATAOPS!Q388</f>
        <v>56</v>
      </c>
      <c r="E385" s="1">
        <f>+DATAOPS!W388</f>
        <v>82</v>
      </c>
      <c r="F385" s="1">
        <f>+DATAOPS!AA388</f>
        <v>2021</v>
      </c>
      <c r="G385" s="1" t="str">
        <f>+DATAOPS!D388</f>
        <v>ROPA DORMIR</v>
      </c>
      <c r="H385" s="1">
        <f>+DATAOPS!AB388</f>
        <v>9</v>
      </c>
      <c r="I385" s="1">
        <f t="shared" si="12"/>
        <v>861</v>
      </c>
      <c r="J385" s="1">
        <f t="shared" si="13"/>
        <v>4592</v>
      </c>
      <c r="K385" s="1">
        <f>+DATAOPS!O388*E385</f>
        <v>2296</v>
      </c>
      <c r="L385" s="1">
        <f>+(DATAOPS!N388+DATAOPS!O388+DATAOPS!Q388)*E385</f>
        <v>4592</v>
      </c>
    </row>
    <row r="386" spans="2:12" x14ac:dyDescent="0.3">
      <c r="B386" s="1" t="str">
        <f>+DATAOPS!C389</f>
        <v>FASHION VIEWS</v>
      </c>
      <c r="C386" s="1">
        <f>+DATAOPS!M389</f>
        <v>42.8</v>
      </c>
      <c r="D386" s="1">
        <f>+DATAOPS!N389+DATAOPS!O389+DATAOPS!Q389</f>
        <v>63.2</v>
      </c>
      <c r="E386" s="1">
        <f>+DATAOPS!W389</f>
        <v>70</v>
      </c>
      <c r="F386" s="1">
        <f>+DATAOPS!AA389</f>
        <v>2021</v>
      </c>
      <c r="G386" s="1" t="str">
        <f>+DATAOPS!D389</f>
        <v>ROPA DORMIR</v>
      </c>
      <c r="H386" s="1">
        <f>+DATAOPS!AB389</f>
        <v>10</v>
      </c>
      <c r="I386" s="1">
        <f t="shared" ref="I386:I449" si="14">+C386*E386</f>
        <v>2996</v>
      </c>
      <c r="J386" s="1">
        <f t="shared" ref="J386:J449" si="15">+D386*E386</f>
        <v>4424</v>
      </c>
      <c r="K386" s="1">
        <f>+DATAOPS!O389*E386</f>
        <v>2744</v>
      </c>
      <c r="L386" s="1">
        <f>+(DATAOPS!N389+DATAOPS!O389+DATAOPS!Q389)*E386</f>
        <v>4424</v>
      </c>
    </row>
    <row r="387" spans="2:12" x14ac:dyDescent="0.3">
      <c r="B387" s="1" t="str">
        <f>+DATAOPS!C390</f>
        <v>MARELLE</v>
      </c>
      <c r="C387" s="1">
        <f>+DATAOPS!M390</f>
        <v>9.1999999999999993</v>
      </c>
      <c r="D387" s="1">
        <f>+DATAOPS!N390+DATAOPS!O390+DATAOPS!Q390</f>
        <v>45.6</v>
      </c>
      <c r="E387" s="1">
        <f>+DATAOPS!W390</f>
        <v>152</v>
      </c>
      <c r="F387" s="1">
        <f>+DATAOPS!AA390</f>
        <v>2021</v>
      </c>
      <c r="G387" s="1" t="str">
        <f>+DATAOPS!D390</f>
        <v>ROPA DORMIR</v>
      </c>
      <c r="H387" s="1">
        <f>+DATAOPS!AB390</f>
        <v>10</v>
      </c>
      <c r="I387" s="1">
        <f t="shared" si="14"/>
        <v>1398.3999999999999</v>
      </c>
      <c r="J387" s="1">
        <f t="shared" si="15"/>
        <v>6931.2</v>
      </c>
      <c r="K387" s="1">
        <f>+DATAOPS!O390*E387</f>
        <v>4256</v>
      </c>
      <c r="L387" s="1">
        <f>+(DATAOPS!N390+DATAOPS!O390+DATAOPS!Q390)*E387</f>
        <v>6931.2</v>
      </c>
    </row>
    <row r="388" spans="2:12" x14ac:dyDescent="0.3">
      <c r="B388" s="1" t="str">
        <f>+DATAOPS!C391</f>
        <v>MARELLE</v>
      </c>
      <c r="C388" s="1">
        <f>+DATAOPS!M391</f>
        <v>16.5</v>
      </c>
      <c r="D388" s="1">
        <f>+DATAOPS!N391+DATAOPS!O391+DATAOPS!Q391</f>
        <v>76</v>
      </c>
      <c r="E388" s="1">
        <f>+DATAOPS!W391</f>
        <v>44</v>
      </c>
      <c r="F388" s="1">
        <f>+DATAOPS!AA391</f>
        <v>2021</v>
      </c>
      <c r="G388" s="1" t="str">
        <f>+DATAOPS!D391</f>
        <v>ROPA DORMIR</v>
      </c>
      <c r="H388" s="1">
        <f>+DATAOPS!AB391</f>
        <v>10</v>
      </c>
      <c r="I388" s="1">
        <f t="shared" si="14"/>
        <v>726</v>
      </c>
      <c r="J388" s="1">
        <f t="shared" si="15"/>
        <v>3344</v>
      </c>
      <c r="K388" s="1">
        <f>+DATAOPS!O391*E388</f>
        <v>2464</v>
      </c>
      <c r="L388" s="1">
        <f>+(DATAOPS!N391+DATAOPS!O391+DATAOPS!Q391)*E388</f>
        <v>3344</v>
      </c>
    </row>
    <row r="389" spans="2:12" x14ac:dyDescent="0.3">
      <c r="B389" s="1" t="str">
        <f>+DATAOPS!C392</f>
        <v>MARELLE</v>
      </c>
      <c r="C389" s="1">
        <f>+DATAOPS!M392</f>
        <v>16.5</v>
      </c>
      <c r="D389" s="1">
        <f>+DATAOPS!N392+DATAOPS!O392+DATAOPS!Q392</f>
        <v>76</v>
      </c>
      <c r="E389" s="1">
        <f>+DATAOPS!W392</f>
        <v>55</v>
      </c>
      <c r="F389" s="1">
        <f>+DATAOPS!AA392</f>
        <v>2021</v>
      </c>
      <c r="G389" s="1" t="str">
        <f>+DATAOPS!D392</f>
        <v>ROPA DORMIR</v>
      </c>
      <c r="H389" s="1">
        <f>+DATAOPS!AB392</f>
        <v>10</v>
      </c>
      <c r="I389" s="1">
        <f t="shared" si="14"/>
        <v>907.5</v>
      </c>
      <c r="J389" s="1">
        <f t="shared" si="15"/>
        <v>4180</v>
      </c>
      <c r="K389" s="1">
        <f>+DATAOPS!O392*E389</f>
        <v>3080</v>
      </c>
      <c r="L389" s="1">
        <f>+(DATAOPS!N392+DATAOPS!O392+DATAOPS!Q392)*E389</f>
        <v>4180</v>
      </c>
    </row>
    <row r="390" spans="2:12" x14ac:dyDescent="0.3">
      <c r="B390" s="1" t="str">
        <f>+DATAOPS!C393</f>
        <v>FASHION VIEWS</v>
      </c>
      <c r="C390" s="1">
        <f>+DATAOPS!M393</f>
        <v>16</v>
      </c>
      <c r="D390" s="1">
        <f>+DATAOPS!N393+DATAOPS!O393+DATAOPS!Q393</f>
        <v>76</v>
      </c>
      <c r="E390" s="1">
        <f>+DATAOPS!W393</f>
        <v>62</v>
      </c>
      <c r="F390" s="1">
        <f>+DATAOPS!AA393</f>
        <v>2021</v>
      </c>
      <c r="G390" s="1" t="str">
        <f>+DATAOPS!D393</f>
        <v>ROPA DORMIR</v>
      </c>
      <c r="H390" s="1">
        <f>+DATAOPS!AB393</f>
        <v>10</v>
      </c>
      <c r="I390" s="1">
        <f t="shared" si="14"/>
        <v>992</v>
      </c>
      <c r="J390" s="1">
        <f t="shared" si="15"/>
        <v>4712</v>
      </c>
      <c r="K390" s="1">
        <f>+DATAOPS!O393*E390</f>
        <v>3224</v>
      </c>
      <c r="L390" s="1">
        <f>+(DATAOPS!N393+DATAOPS!O393+DATAOPS!Q393)*E390</f>
        <v>4712</v>
      </c>
    </row>
    <row r="391" spans="2:12" x14ac:dyDescent="0.3">
      <c r="B391" s="1" t="str">
        <f>+DATAOPS!C394</f>
        <v>FASHION VIEWS</v>
      </c>
      <c r="C391" s="1">
        <f>+DATAOPS!M394</f>
        <v>16</v>
      </c>
      <c r="D391" s="1">
        <f>+DATAOPS!N394+DATAOPS!O394+DATAOPS!Q394</f>
        <v>76</v>
      </c>
      <c r="E391" s="1">
        <f>+DATAOPS!W394</f>
        <v>37</v>
      </c>
      <c r="F391" s="1">
        <f>+DATAOPS!AA394</f>
        <v>2021</v>
      </c>
      <c r="G391" s="1" t="str">
        <f>+DATAOPS!D394</f>
        <v>ROPA DORMIR</v>
      </c>
      <c r="H391" s="1">
        <f>+DATAOPS!AB394</f>
        <v>10</v>
      </c>
      <c r="I391" s="1">
        <f t="shared" si="14"/>
        <v>592</v>
      </c>
      <c r="J391" s="1">
        <f t="shared" si="15"/>
        <v>2812</v>
      </c>
      <c r="K391" s="1">
        <f>+DATAOPS!O394*E391</f>
        <v>1924</v>
      </c>
      <c r="L391" s="1">
        <f>+(DATAOPS!N394+DATAOPS!O394+DATAOPS!Q394)*E391</f>
        <v>2812</v>
      </c>
    </row>
    <row r="392" spans="2:12" x14ac:dyDescent="0.3">
      <c r="B392" s="1" t="str">
        <f>+DATAOPS!C395</f>
        <v>FASHION VIEWS</v>
      </c>
      <c r="C392" s="1">
        <f>+DATAOPS!M395</f>
        <v>12</v>
      </c>
      <c r="D392" s="1">
        <f>+DATAOPS!N395+DATAOPS!O395+DATAOPS!Q395</f>
        <v>62</v>
      </c>
      <c r="E392" s="1">
        <f>+DATAOPS!W395</f>
        <v>65</v>
      </c>
      <c r="F392" s="1">
        <f>+DATAOPS!AA395</f>
        <v>2021</v>
      </c>
      <c r="G392" s="1" t="str">
        <f>+DATAOPS!D395</f>
        <v>ROPA DORMIR</v>
      </c>
      <c r="H392" s="1">
        <f>+DATAOPS!AB395</f>
        <v>10</v>
      </c>
      <c r="I392" s="1">
        <f t="shared" si="14"/>
        <v>780</v>
      </c>
      <c r="J392" s="1">
        <f t="shared" si="15"/>
        <v>4030</v>
      </c>
      <c r="K392" s="1">
        <f>+DATAOPS!O395*E392</f>
        <v>2210</v>
      </c>
      <c r="L392" s="1">
        <f>+(DATAOPS!N395+DATAOPS!O395+DATAOPS!Q395)*E392</f>
        <v>4030</v>
      </c>
    </row>
    <row r="393" spans="2:12" x14ac:dyDescent="0.3">
      <c r="B393" s="1" t="str">
        <f>+DATAOPS!C396</f>
        <v>FASHION VIEWS</v>
      </c>
      <c r="C393" s="1">
        <f>+DATAOPS!M396</f>
        <v>13.5</v>
      </c>
      <c r="D393" s="1">
        <f>+DATAOPS!N396+DATAOPS!O396+DATAOPS!Q396</f>
        <v>66</v>
      </c>
      <c r="E393" s="1">
        <f>+DATAOPS!W396</f>
        <v>76</v>
      </c>
      <c r="F393" s="1">
        <f>+DATAOPS!AA396</f>
        <v>2021</v>
      </c>
      <c r="G393" s="1" t="str">
        <f>+DATAOPS!D396</f>
        <v>ROPA DORMIR</v>
      </c>
      <c r="H393" s="1">
        <f>+DATAOPS!AB396</f>
        <v>10</v>
      </c>
      <c r="I393" s="1">
        <f t="shared" si="14"/>
        <v>1026</v>
      </c>
      <c r="J393" s="1">
        <f t="shared" si="15"/>
        <v>5016</v>
      </c>
      <c r="K393" s="1">
        <f>+DATAOPS!O396*E393</f>
        <v>3192</v>
      </c>
      <c r="L393" s="1">
        <f>+(DATAOPS!N396+DATAOPS!O396+DATAOPS!Q396)*E393</f>
        <v>5016</v>
      </c>
    </row>
    <row r="394" spans="2:12" x14ac:dyDescent="0.3">
      <c r="B394" s="1" t="str">
        <f>+DATAOPS!C397</f>
        <v>FASHION VIEWS</v>
      </c>
      <c r="C394" s="1">
        <f>+DATAOPS!M397</f>
        <v>15</v>
      </c>
      <c r="D394" s="1">
        <f>+DATAOPS!N397+DATAOPS!O397+DATAOPS!Q397</f>
        <v>74</v>
      </c>
      <c r="E394" s="1">
        <f>+DATAOPS!W397</f>
        <v>82</v>
      </c>
      <c r="F394" s="1">
        <f>+DATAOPS!AA397</f>
        <v>2021</v>
      </c>
      <c r="G394" s="1" t="str">
        <f>+DATAOPS!D397</f>
        <v>ROPA DORMIR</v>
      </c>
      <c r="H394" s="1">
        <f>+DATAOPS!AB397</f>
        <v>10</v>
      </c>
      <c r="I394" s="1">
        <f t="shared" si="14"/>
        <v>1230</v>
      </c>
      <c r="J394" s="1">
        <f t="shared" si="15"/>
        <v>6068</v>
      </c>
      <c r="K394" s="1">
        <f>+DATAOPS!O397*E394</f>
        <v>3772</v>
      </c>
      <c r="L394" s="1">
        <f>+(DATAOPS!N397+DATAOPS!O397+DATAOPS!Q397)*E394</f>
        <v>6068</v>
      </c>
    </row>
    <row r="395" spans="2:12" x14ac:dyDescent="0.3">
      <c r="B395" s="1" t="str">
        <f>+DATAOPS!C398</f>
        <v>FASHION VIEWS</v>
      </c>
      <c r="C395" s="1">
        <f>+DATAOPS!M398</f>
        <v>15.5</v>
      </c>
      <c r="D395" s="1">
        <f>+DATAOPS!N398+DATAOPS!O398+DATAOPS!Q398</f>
        <v>76</v>
      </c>
      <c r="E395" s="1">
        <f>+DATAOPS!W398</f>
        <v>155</v>
      </c>
      <c r="F395" s="1">
        <f>+DATAOPS!AA398</f>
        <v>2021</v>
      </c>
      <c r="G395" s="1" t="str">
        <f>+DATAOPS!D398</f>
        <v>ROPA DORMIR</v>
      </c>
      <c r="H395" s="1">
        <f>+DATAOPS!AB398</f>
        <v>10</v>
      </c>
      <c r="I395" s="1">
        <f t="shared" si="14"/>
        <v>2402.5</v>
      </c>
      <c r="J395" s="1">
        <f t="shared" si="15"/>
        <v>11780</v>
      </c>
      <c r="K395" s="1">
        <f>+DATAOPS!O398*E395</f>
        <v>7440</v>
      </c>
      <c r="L395" s="1">
        <f>+(DATAOPS!N398+DATAOPS!O398+DATAOPS!Q398)*E395</f>
        <v>11780</v>
      </c>
    </row>
    <row r="396" spans="2:12" x14ac:dyDescent="0.3">
      <c r="B396" s="1" t="str">
        <f>+DATAOPS!C399</f>
        <v>FASHION VIEWS</v>
      </c>
      <c r="C396" s="1">
        <f>+DATAOPS!M399</f>
        <v>14</v>
      </c>
      <c r="D396" s="1">
        <f>+DATAOPS!N399+DATAOPS!O399+DATAOPS!Q399</f>
        <v>68</v>
      </c>
      <c r="E396" s="1">
        <f>+DATAOPS!W399</f>
        <v>147</v>
      </c>
      <c r="F396" s="1">
        <f>+DATAOPS!AA399</f>
        <v>2021</v>
      </c>
      <c r="G396" s="1" t="str">
        <f>+DATAOPS!D399</f>
        <v>ROPA DORMIR</v>
      </c>
      <c r="H396" s="1">
        <f>+DATAOPS!AB399</f>
        <v>10</v>
      </c>
      <c r="I396" s="1">
        <f t="shared" si="14"/>
        <v>2058</v>
      </c>
      <c r="J396" s="1">
        <f t="shared" si="15"/>
        <v>9996</v>
      </c>
      <c r="K396" s="1">
        <f>+DATAOPS!O399*E396</f>
        <v>6468</v>
      </c>
      <c r="L396" s="1">
        <f>+(DATAOPS!N399+DATAOPS!O399+DATAOPS!Q399)*E396</f>
        <v>9996</v>
      </c>
    </row>
    <row r="397" spans="2:12" x14ac:dyDescent="0.3">
      <c r="B397" s="1" t="str">
        <f>+DATAOPS!C400</f>
        <v>FASHION VIEWS</v>
      </c>
      <c r="C397" s="1">
        <f>+DATAOPS!M400</f>
        <v>14.5</v>
      </c>
      <c r="D397" s="1">
        <f>+DATAOPS!N400+DATAOPS!O400+DATAOPS!Q400</f>
        <v>70</v>
      </c>
      <c r="E397" s="1">
        <f>+DATAOPS!W400</f>
        <v>147</v>
      </c>
      <c r="F397" s="1">
        <f>+DATAOPS!AA400</f>
        <v>2021</v>
      </c>
      <c r="G397" s="1" t="str">
        <f>+DATAOPS!D400</f>
        <v>ROPA DORMIR</v>
      </c>
      <c r="H397" s="1">
        <f>+DATAOPS!AB400</f>
        <v>10</v>
      </c>
      <c r="I397" s="1">
        <f t="shared" si="14"/>
        <v>2131.5</v>
      </c>
      <c r="J397" s="1">
        <f t="shared" si="15"/>
        <v>10290</v>
      </c>
      <c r="K397" s="1">
        <f>+DATAOPS!O400*E397</f>
        <v>6762</v>
      </c>
      <c r="L397" s="1">
        <f>+(DATAOPS!N400+DATAOPS!O400+DATAOPS!Q400)*E397</f>
        <v>10290</v>
      </c>
    </row>
    <row r="398" spans="2:12" x14ac:dyDescent="0.3">
      <c r="B398" s="1" t="str">
        <f>+DATAOPS!C401</f>
        <v>MARELLE</v>
      </c>
      <c r="C398" s="1">
        <f>+DATAOPS!M401</f>
        <v>15</v>
      </c>
      <c r="D398" s="1">
        <f>+DATAOPS!N401+DATAOPS!O401+DATAOPS!Q401</f>
        <v>74</v>
      </c>
      <c r="E398" s="1">
        <f>+DATAOPS!W401</f>
        <v>134</v>
      </c>
      <c r="F398" s="1">
        <f>+DATAOPS!AA401</f>
        <v>2021</v>
      </c>
      <c r="G398" s="1" t="str">
        <f>+DATAOPS!D401</f>
        <v>ROPA DORMIR</v>
      </c>
      <c r="H398" s="1">
        <f>+DATAOPS!AB401</f>
        <v>10</v>
      </c>
      <c r="I398" s="1">
        <f t="shared" si="14"/>
        <v>2010</v>
      </c>
      <c r="J398" s="1">
        <f t="shared" si="15"/>
        <v>9916</v>
      </c>
      <c r="K398" s="1">
        <f>+DATAOPS!O401*E398</f>
        <v>6164</v>
      </c>
      <c r="L398" s="1">
        <f>+(DATAOPS!N401+DATAOPS!O401+DATAOPS!Q401)*E398</f>
        <v>9916</v>
      </c>
    </row>
    <row r="399" spans="2:12" x14ac:dyDescent="0.3">
      <c r="B399" s="1" t="str">
        <f>+DATAOPS!C402</f>
        <v>MARELLE</v>
      </c>
      <c r="C399" s="1">
        <f>+DATAOPS!M402</f>
        <v>9.5</v>
      </c>
      <c r="D399" s="1">
        <f>+DATAOPS!N402+DATAOPS!O402+DATAOPS!Q402</f>
        <v>48</v>
      </c>
      <c r="E399" s="1">
        <f>+DATAOPS!W402</f>
        <v>94</v>
      </c>
      <c r="F399" s="1">
        <f>+DATAOPS!AA402</f>
        <v>2021</v>
      </c>
      <c r="G399" s="1" t="str">
        <f>+DATAOPS!D402</f>
        <v>ROPA DORMIR</v>
      </c>
      <c r="H399" s="1">
        <f>+DATAOPS!AB402</f>
        <v>10</v>
      </c>
      <c r="I399" s="1">
        <f t="shared" si="14"/>
        <v>893</v>
      </c>
      <c r="J399" s="1">
        <f t="shared" si="15"/>
        <v>4512</v>
      </c>
      <c r="K399" s="1">
        <f>+DATAOPS!O402*E399</f>
        <v>2632</v>
      </c>
      <c r="L399" s="1">
        <f>+(DATAOPS!N402+DATAOPS!O402+DATAOPS!Q402)*E399</f>
        <v>4512</v>
      </c>
    </row>
    <row r="400" spans="2:12" x14ac:dyDescent="0.3">
      <c r="B400" s="1" t="str">
        <f>+DATAOPS!C403</f>
        <v>MARELLE</v>
      </c>
      <c r="C400" s="1">
        <f>+DATAOPS!M403</f>
        <v>9.1999999999999993</v>
      </c>
      <c r="D400" s="1">
        <f>+DATAOPS!N403+DATAOPS!O403+DATAOPS!Q403</f>
        <v>45.6</v>
      </c>
      <c r="E400" s="1">
        <f>+DATAOPS!W403</f>
        <v>124</v>
      </c>
      <c r="F400" s="1">
        <f>+DATAOPS!AA403</f>
        <v>2021</v>
      </c>
      <c r="G400" s="1" t="str">
        <f>+DATAOPS!D403</f>
        <v>ROPA DORMIR</v>
      </c>
      <c r="H400" s="1">
        <f>+DATAOPS!AB403</f>
        <v>10</v>
      </c>
      <c r="I400" s="1">
        <f t="shared" si="14"/>
        <v>1140.8</v>
      </c>
      <c r="J400" s="1">
        <f t="shared" si="15"/>
        <v>5654.4000000000005</v>
      </c>
      <c r="K400" s="1">
        <f>+DATAOPS!O403*E400</f>
        <v>3472</v>
      </c>
      <c r="L400" s="1">
        <f>+(DATAOPS!N403+DATAOPS!O403+DATAOPS!Q403)*E400</f>
        <v>5654.4000000000005</v>
      </c>
    </row>
    <row r="401" spans="2:12" x14ac:dyDescent="0.3">
      <c r="B401" s="1" t="str">
        <f>+DATAOPS!C404</f>
        <v>MARELLE</v>
      </c>
      <c r="C401" s="1">
        <f>+DATAOPS!M404</f>
        <v>16</v>
      </c>
      <c r="D401" s="1">
        <f>+DATAOPS!N404+DATAOPS!O404+DATAOPS!Q404</f>
        <v>76</v>
      </c>
      <c r="E401" s="1">
        <f>+DATAOPS!W404</f>
        <v>35</v>
      </c>
      <c r="F401" s="1">
        <f>+DATAOPS!AA404</f>
        <v>2021</v>
      </c>
      <c r="G401" s="1" t="str">
        <f>+DATAOPS!D404</f>
        <v>ROPA DORMIR</v>
      </c>
      <c r="H401" s="1">
        <f>+DATAOPS!AB404</f>
        <v>10</v>
      </c>
      <c r="I401" s="1">
        <f t="shared" si="14"/>
        <v>560</v>
      </c>
      <c r="J401" s="1">
        <f t="shared" si="15"/>
        <v>2660</v>
      </c>
      <c r="K401" s="1">
        <f>+DATAOPS!O404*E401</f>
        <v>1820</v>
      </c>
      <c r="L401" s="1">
        <f>+(DATAOPS!N404+DATAOPS!O404+DATAOPS!Q404)*E401</f>
        <v>2660</v>
      </c>
    </row>
    <row r="402" spans="2:12" x14ac:dyDescent="0.3">
      <c r="B402" s="1" t="str">
        <f>+DATAOPS!C405</f>
        <v>MARELLE</v>
      </c>
      <c r="C402" s="1">
        <f>+DATAOPS!M405</f>
        <v>18</v>
      </c>
      <c r="D402" s="1">
        <f>+DATAOPS!N405+DATAOPS!O405+DATAOPS!Q405</f>
        <v>84</v>
      </c>
      <c r="E402" s="1">
        <f>+DATAOPS!W405</f>
        <v>6</v>
      </c>
      <c r="F402" s="1">
        <f>+DATAOPS!AA405</f>
        <v>2021</v>
      </c>
      <c r="G402" s="1" t="str">
        <f>+DATAOPS!D405</f>
        <v>ROPA DORMIR</v>
      </c>
      <c r="H402" s="1">
        <f>+DATAOPS!AB405</f>
        <v>10</v>
      </c>
      <c r="I402" s="1">
        <f t="shared" si="14"/>
        <v>108</v>
      </c>
      <c r="J402" s="1">
        <f t="shared" si="15"/>
        <v>504</v>
      </c>
      <c r="K402" s="1">
        <f>+DATAOPS!O405*E402</f>
        <v>360</v>
      </c>
      <c r="L402" s="1">
        <f>+(DATAOPS!N405+DATAOPS!O405+DATAOPS!Q405)*E402</f>
        <v>504</v>
      </c>
    </row>
    <row r="403" spans="2:12" x14ac:dyDescent="0.3">
      <c r="B403" s="1" t="str">
        <f>+DATAOPS!C406</f>
        <v>MARELLE</v>
      </c>
      <c r="C403" s="1">
        <f>+DATAOPS!M406</f>
        <v>17</v>
      </c>
      <c r="D403" s="1">
        <f>+DATAOPS!N406+DATAOPS!O406+DATAOPS!Q406</f>
        <v>80</v>
      </c>
      <c r="E403" s="1">
        <f>+DATAOPS!W406</f>
        <v>36</v>
      </c>
      <c r="F403" s="1">
        <f>+DATAOPS!AA406</f>
        <v>2021</v>
      </c>
      <c r="G403" s="1" t="str">
        <f>+DATAOPS!D406</f>
        <v>ROPA DORMIR</v>
      </c>
      <c r="H403" s="1">
        <f>+DATAOPS!AB406</f>
        <v>10</v>
      </c>
      <c r="I403" s="1">
        <f t="shared" si="14"/>
        <v>612</v>
      </c>
      <c r="J403" s="1">
        <f t="shared" si="15"/>
        <v>2880</v>
      </c>
      <c r="K403" s="1">
        <f>+DATAOPS!O406*E403</f>
        <v>2016</v>
      </c>
      <c r="L403" s="1">
        <f>+(DATAOPS!N406+DATAOPS!O406+DATAOPS!Q406)*E403</f>
        <v>2880</v>
      </c>
    </row>
    <row r="404" spans="2:12" x14ac:dyDescent="0.3">
      <c r="B404" s="1" t="str">
        <f>+DATAOPS!C407</f>
        <v>FASHION VIEWS</v>
      </c>
      <c r="C404" s="1">
        <f>+DATAOPS!M407</f>
        <v>14</v>
      </c>
      <c r="D404" s="1">
        <f>+DATAOPS!N407+DATAOPS!O407+DATAOPS!Q407</f>
        <v>68</v>
      </c>
      <c r="E404" s="1">
        <f>+DATAOPS!W407</f>
        <v>117</v>
      </c>
      <c r="F404" s="1">
        <f>+DATAOPS!AA407</f>
        <v>2021</v>
      </c>
      <c r="G404" s="1" t="str">
        <f>+DATAOPS!D407</f>
        <v>ROPA DORMIR</v>
      </c>
      <c r="H404" s="1">
        <f>+DATAOPS!AB407</f>
        <v>11</v>
      </c>
      <c r="I404" s="1">
        <f t="shared" si="14"/>
        <v>1638</v>
      </c>
      <c r="J404" s="1">
        <f t="shared" si="15"/>
        <v>7956</v>
      </c>
      <c r="K404" s="1">
        <f>+DATAOPS!O407*E404</f>
        <v>5148</v>
      </c>
      <c r="L404" s="1">
        <f>+(DATAOPS!N407+DATAOPS!O407+DATAOPS!Q407)*E404</f>
        <v>7956</v>
      </c>
    </row>
    <row r="405" spans="2:12" x14ac:dyDescent="0.3">
      <c r="B405" s="1" t="str">
        <f>+DATAOPS!C408</f>
        <v>FASHION VIEWS</v>
      </c>
      <c r="C405" s="1">
        <f>+DATAOPS!M408</f>
        <v>13.5</v>
      </c>
      <c r="D405" s="1">
        <f>+DATAOPS!N408+DATAOPS!O408+DATAOPS!Q408</f>
        <v>66</v>
      </c>
      <c r="E405" s="1">
        <f>+DATAOPS!W408</f>
        <v>90</v>
      </c>
      <c r="F405" s="1">
        <f>+DATAOPS!AA408</f>
        <v>2021</v>
      </c>
      <c r="G405" s="1" t="str">
        <f>+DATAOPS!D408</f>
        <v>ROPA DORMIR</v>
      </c>
      <c r="H405" s="1">
        <f>+DATAOPS!AB408</f>
        <v>11</v>
      </c>
      <c r="I405" s="1">
        <f t="shared" si="14"/>
        <v>1215</v>
      </c>
      <c r="J405" s="1">
        <f t="shared" si="15"/>
        <v>5940</v>
      </c>
      <c r="K405" s="1">
        <f>+DATAOPS!O408*E405</f>
        <v>3780</v>
      </c>
      <c r="L405" s="1">
        <f>+(DATAOPS!N408+DATAOPS!O408+DATAOPS!Q408)*E405</f>
        <v>5940</v>
      </c>
    </row>
    <row r="406" spans="2:12" x14ac:dyDescent="0.3">
      <c r="B406" s="1" t="str">
        <f>+DATAOPS!C409</f>
        <v>FASHION VIEWS</v>
      </c>
      <c r="C406" s="1">
        <f>+DATAOPS!M409</f>
        <v>9.5</v>
      </c>
      <c r="D406" s="1">
        <f>+DATAOPS!N409+DATAOPS!O409+DATAOPS!Q409</f>
        <v>48</v>
      </c>
      <c r="E406" s="1">
        <f>+DATAOPS!W409</f>
        <v>59</v>
      </c>
      <c r="F406" s="1">
        <f>+DATAOPS!AA409</f>
        <v>2021</v>
      </c>
      <c r="G406" s="1" t="str">
        <f>+DATAOPS!D409</f>
        <v>ROPA DORMIR</v>
      </c>
      <c r="H406" s="1">
        <f>+DATAOPS!AB409</f>
        <v>11</v>
      </c>
      <c r="I406" s="1">
        <f t="shared" si="14"/>
        <v>560.5</v>
      </c>
      <c r="J406" s="1">
        <f t="shared" si="15"/>
        <v>2832</v>
      </c>
      <c r="K406" s="1">
        <f>+DATAOPS!O409*E406</f>
        <v>1652</v>
      </c>
      <c r="L406" s="1">
        <f>+(DATAOPS!N409+DATAOPS!O409+DATAOPS!Q409)*E406</f>
        <v>2832</v>
      </c>
    </row>
    <row r="407" spans="2:12" x14ac:dyDescent="0.3">
      <c r="B407" s="1" t="str">
        <f>+DATAOPS!C410</f>
        <v>FASHION VIEWS</v>
      </c>
      <c r="C407" s="1">
        <f>+DATAOPS!M410</f>
        <v>9</v>
      </c>
      <c r="D407" s="1">
        <f>+DATAOPS!N410+DATAOPS!O410+DATAOPS!Q410</f>
        <v>46</v>
      </c>
      <c r="E407" s="1">
        <f>+DATAOPS!W410</f>
        <v>130</v>
      </c>
      <c r="F407" s="1">
        <f>+DATAOPS!AA410</f>
        <v>2021</v>
      </c>
      <c r="G407" s="1" t="str">
        <f>+DATAOPS!D410</f>
        <v>ROPA DORMIR</v>
      </c>
      <c r="H407" s="1">
        <f>+DATAOPS!AB410</f>
        <v>11</v>
      </c>
      <c r="I407" s="1">
        <f t="shared" si="14"/>
        <v>1170</v>
      </c>
      <c r="J407" s="1">
        <f t="shared" si="15"/>
        <v>5980</v>
      </c>
      <c r="K407" s="1">
        <f>+DATAOPS!O410*E407</f>
        <v>3380</v>
      </c>
      <c r="L407" s="1">
        <f>+(DATAOPS!N410+DATAOPS!O410+DATAOPS!Q410)*E407</f>
        <v>5980</v>
      </c>
    </row>
    <row r="408" spans="2:12" x14ac:dyDescent="0.3">
      <c r="B408" s="1" t="str">
        <f>+DATAOPS!C411</f>
        <v>LIVLY</v>
      </c>
      <c r="C408" s="1">
        <f>+DATAOPS!M411</f>
        <v>35</v>
      </c>
      <c r="D408" s="1">
        <f>+DATAOPS!N411+DATAOPS!O411+DATAOPS!Q411</f>
        <v>84</v>
      </c>
      <c r="E408" s="1">
        <f>+DATAOPS!W411</f>
        <v>148</v>
      </c>
      <c r="F408" s="1">
        <f>+DATAOPS!AA411</f>
        <v>2021</v>
      </c>
      <c r="G408" s="1" t="str">
        <f>+DATAOPS!D411</f>
        <v>ROPA DORMIR</v>
      </c>
      <c r="H408" s="1">
        <f>+DATAOPS!AB411</f>
        <v>11</v>
      </c>
      <c r="I408" s="1">
        <f t="shared" si="14"/>
        <v>5180</v>
      </c>
      <c r="J408" s="1">
        <f t="shared" si="15"/>
        <v>12432</v>
      </c>
      <c r="K408" s="1">
        <f>+DATAOPS!O411*E408</f>
        <v>8880</v>
      </c>
      <c r="L408" s="1">
        <f>+(DATAOPS!N411+DATAOPS!O411+DATAOPS!Q411)*E408</f>
        <v>12432</v>
      </c>
    </row>
    <row r="409" spans="2:12" x14ac:dyDescent="0.3">
      <c r="B409" s="1" t="str">
        <f>+DATAOPS!C412</f>
        <v>LIVLY</v>
      </c>
      <c r="C409" s="1">
        <f>+DATAOPS!M412</f>
        <v>32</v>
      </c>
      <c r="D409" s="1">
        <f>+DATAOPS!N412+DATAOPS!O412+DATAOPS!Q412</f>
        <v>80</v>
      </c>
      <c r="E409" s="1">
        <f>+DATAOPS!W412</f>
        <v>130</v>
      </c>
      <c r="F409" s="1">
        <f>+DATAOPS!AA412</f>
        <v>2021</v>
      </c>
      <c r="G409" s="1" t="str">
        <f>+DATAOPS!D412</f>
        <v>ROPA DORMIR</v>
      </c>
      <c r="H409" s="1">
        <f>+DATAOPS!AB412</f>
        <v>11</v>
      </c>
      <c r="I409" s="1">
        <f t="shared" si="14"/>
        <v>4160</v>
      </c>
      <c r="J409" s="1">
        <f t="shared" si="15"/>
        <v>10400</v>
      </c>
      <c r="K409" s="1">
        <f>+DATAOPS!O412*E409</f>
        <v>7280</v>
      </c>
      <c r="L409" s="1">
        <f>+(DATAOPS!N412+DATAOPS!O412+DATAOPS!Q412)*E409</f>
        <v>10400</v>
      </c>
    </row>
    <row r="410" spans="2:12" x14ac:dyDescent="0.3">
      <c r="B410" s="1" t="str">
        <f>+DATAOPS!C413</f>
        <v>LIVLY</v>
      </c>
      <c r="C410" s="1">
        <f>+DATAOPS!M413</f>
        <v>35</v>
      </c>
      <c r="D410" s="1">
        <f>+DATAOPS!N413+DATAOPS!O413+DATAOPS!Q413</f>
        <v>96</v>
      </c>
      <c r="E410" s="1">
        <f>+DATAOPS!W413</f>
        <v>138</v>
      </c>
      <c r="F410" s="1">
        <f>+DATAOPS!AA413</f>
        <v>2021</v>
      </c>
      <c r="G410" s="1" t="str">
        <f>+DATAOPS!D413</f>
        <v>ROPA DORMIR</v>
      </c>
      <c r="H410" s="1">
        <f>+DATAOPS!AB413</f>
        <v>11</v>
      </c>
      <c r="I410" s="1">
        <f t="shared" si="14"/>
        <v>4830</v>
      </c>
      <c r="J410" s="1">
        <f t="shared" si="15"/>
        <v>13248</v>
      </c>
      <c r="K410" s="1">
        <f>+DATAOPS!O413*E410</f>
        <v>8832</v>
      </c>
      <c r="L410" s="1">
        <f>+(DATAOPS!N413+DATAOPS!O413+DATAOPS!Q413)*E410</f>
        <v>13248</v>
      </c>
    </row>
    <row r="411" spans="2:12" x14ac:dyDescent="0.3">
      <c r="B411" s="1" t="str">
        <f>+DATAOPS!C414</f>
        <v>LIVLY</v>
      </c>
      <c r="C411" s="1">
        <f>+DATAOPS!M414</f>
        <v>32</v>
      </c>
      <c r="D411" s="1">
        <f>+DATAOPS!N414+DATAOPS!O414+DATAOPS!Q414</f>
        <v>80</v>
      </c>
      <c r="E411" s="1">
        <f>+DATAOPS!W414</f>
        <v>138</v>
      </c>
      <c r="F411" s="1">
        <f>+DATAOPS!AA414</f>
        <v>2021</v>
      </c>
      <c r="G411" s="1" t="str">
        <f>+DATAOPS!D414</f>
        <v>ROPA DORMIR</v>
      </c>
      <c r="H411" s="1">
        <f>+DATAOPS!AB414</f>
        <v>11</v>
      </c>
      <c r="I411" s="1">
        <f t="shared" si="14"/>
        <v>4416</v>
      </c>
      <c r="J411" s="1">
        <f t="shared" si="15"/>
        <v>11040</v>
      </c>
      <c r="K411" s="1">
        <f>+DATAOPS!O414*E411</f>
        <v>7728</v>
      </c>
      <c r="L411" s="1">
        <f>+(DATAOPS!N414+DATAOPS!O414+DATAOPS!Q414)*E411</f>
        <v>11040</v>
      </c>
    </row>
    <row r="412" spans="2:12" x14ac:dyDescent="0.3">
      <c r="B412" s="1" t="str">
        <f>+DATAOPS!C415</f>
        <v>LIVLY</v>
      </c>
      <c r="C412" s="1">
        <f>+DATAOPS!M415</f>
        <v>32</v>
      </c>
      <c r="D412" s="1">
        <f>+DATAOPS!N415+DATAOPS!O415+DATAOPS!Q415</f>
        <v>80</v>
      </c>
      <c r="E412" s="1">
        <f>+DATAOPS!W415</f>
        <v>108</v>
      </c>
      <c r="F412" s="1">
        <f>+DATAOPS!AA415</f>
        <v>2021</v>
      </c>
      <c r="G412" s="1" t="str">
        <f>+DATAOPS!D415</f>
        <v>ROPA DORMIR</v>
      </c>
      <c r="H412" s="1">
        <f>+DATAOPS!AB415</f>
        <v>11</v>
      </c>
      <c r="I412" s="1">
        <f t="shared" si="14"/>
        <v>3456</v>
      </c>
      <c r="J412" s="1">
        <f t="shared" si="15"/>
        <v>8640</v>
      </c>
      <c r="K412" s="1">
        <f>+DATAOPS!O415*E412</f>
        <v>6048</v>
      </c>
      <c r="L412" s="1">
        <f>+(DATAOPS!N415+DATAOPS!O415+DATAOPS!Q415)*E412</f>
        <v>8640</v>
      </c>
    </row>
    <row r="413" spans="2:12" x14ac:dyDescent="0.3">
      <c r="B413" s="1" t="str">
        <f>+DATAOPS!C416</f>
        <v>BABY BOX</v>
      </c>
      <c r="C413" s="1">
        <f>+DATAOPS!M416</f>
        <v>17</v>
      </c>
      <c r="D413" s="1">
        <f>+DATAOPS!N416+DATAOPS!O416+DATAOPS!Q416</f>
        <v>32</v>
      </c>
      <c r="E413" s="1">
        <f>+DATAOPS!W416</f>
        <v>120</v>
      </c>
      <c r="F413" s="1">
        <f>+DATAOPS!AA416</f>
        <v>2021</v>
      </c>
      <c r="G413" s="1" t="str">
        <f>+DATAOPS!D416</f>
        <v>BEBES</v>
      </c>
      <c r="H413" s="1">
        <f>+DATAOPS!AB416</f>
        <v>11</v>
      </c>
      <c r="I413" s="1">
        <f t="shared" si="14"/>
        <v>2040</v>
      </c>
      <c r="J413" s="1">
        <f t="shared" si="15"/>
        <v>3840</v>
      </c>
      <c r="K413" s="1">
        <f>+DATAOPS!O416*E413</f>
        <v>1920</v>
      </c>
      <c r="L413" s="1">
        <f>+(DATAOPS!N416+DATAOPS!O416+DATAOPS!Q416)*E413</f>
        <v>3840</v>
      </c>
    </row>
    <row r="414" spans="2:12" x14ac:dyDescent="0.3">
      <c r="B414" s="1" t="str">
        <f>+DATAOPS!C417</f>
        <v>FASHION VIEWS</v>
      </c>
      <c r="C414" s="1">
        <f>+DATAOPS!M417</f>
        <v>18.5</v>
      </c>
      <c r="D414" s="1">
        <f>+DATAOPS!N417+DATAOPS!O417+DATAOPS!Q417</f>
        <v>88</v>
      </c>
      <c r="E414" s="1">
        <f>+DATAOPS!W417</f>
        <v>0</v>
      </c>
      <c r="F414" s="1">
        <f>+DATAOPS!AA417</f>
        <v>2021</v>
      </c>
      <c r="G414" s="1" t="str">
        <f>+DATAOPS!D417</f>
        <v>ROPA DORMIR</v>
      </c>
      <c r="H414" s="1">
        <f>+DATAOPS!AB417</f>
        <v>12</v>
      </c>
      <c r="I414" s="1">
        <f t="shared" si="14"/>
        <v>0</v>
      </c>
      <c r="J414" s="1">
        <f t="shared" si="15"/>
        <v>0</v>
      </c>
      <c r="K414" s="1">
        <f>+DATAOPS!O417*E414</f>
        <v>0</v>
      </c>
      <c r="L414" s="1">
        <f>+(DATAOPS!N417+DATAOPS!O417+DATAOPS!Q417)*E414</f>
        <v>0</v>
      </c>
    </row>
    <row r="415" spans="2:12" x14ac:dyDescent="0.3">
      <c r="B415" s="1" t="str">
        <f>+DATAOPS!C418</f>
        <v>FASHION VIEWS</v>
      </c>
      <c r="C415" s="1">
        <f>+DATAOPS!M418</f>
        <v>14</v>
      </c>
      <c r="D415" s="1">
        <f>+DATAOPS!N418+DATAOPS!O418+DATAOPS!Q418</f>
        <v>68</v>
      </c>
      <c r="E415" s="1">
        <f>+DATAOPS!W418</f>
        <v>0</v>
      </c>
      <c r="F415" s="1">
        <f>+DATAOPS!AA418</f>
        <v>2021</v>
      </c>
      <c r="G415" s="1" t="str">
        <f>+DATAOPS!D418</f>
        <v>ROPA DORMIR</v>
      </c>
      <c r="H415" s="1">
        <f>+DATAOPS!AB418</f>
        <v>12</v>
      </c>
      <c r="I415" s="1">
        <f t="shared" si="14"/>
        <v>0</v>
      </c>
      <c r="J415" s="1">
        <f t="shared" si="15"/>
        <v>0</v>
      </c>
      <c r="K415" s="1">
        <f>+DATAOPS!O418*E415</f>
        <v>0</v>
      </c>
      <c r="L415" s="1">
        <f>+(DATAOPS!N418+DATAOPS!O418+DATAOPS!Q418)*E415</f>
        <v>0</v>
      </c>
    </row>
    <row r="416" spans="2:12" x14ac:dyDescent="0.3">
      <c r="B416" s="1" t="str">
        <f>+DATAOPS!C419</f>
        <v>FASHION VIEWS</v>
      </c>
      <c r="C416" s="1">
        <f>+DATAOPS!M419</f>
        <v>10</v>
      </c>
      <c r="D416" s="1">
        <f>+DATAOPS!N419+DATAOPS!O419+DATAOPS!Q419</f>
        <v>52</v>
      </c>
      <c r="E416" s="1">
        <f>+DATAOPS!W419</f>
        <v>0</v>
      </c>
      <c r="F416" s="1">
        <f>+DATAOPS!AA419</f>
        <v>2021</v>
      </c>
      <c r="G416" s="1" t="str">
        <f>+DATAOPS!D419</f>
        <v>ROPA DORMIR</v>
      </c>
      <c r="H416" s="1">
        <f>+DATAOPS!AB419</f>
        <v>12</v>
      </c>
      <c r="I416" s="1">
        <f t="shared" si="14"/>
        <v>0</v>
      </c>
      <c r="J416" s="1">
        <f t="shared" si="15"/>
        <v>0</v>
      </c>
      <c r="K416" s="1">
        <f>+DATAOPS!O419*E416</f>
        <v>0</v>
      </c>
      <c r="L416" s="1">
        <f>+(DATAOPS!N419+DATAOPS!O419+DATAOPS!Q419)*E416</f>
        <v>0</v>
      </c>
    </row>
    <row r="417" spans="2:12" x14ac:dyDescent="0.3">
      <c r="B417" s="1" t="str">
        <f>+DATAOPS!C420</f>
        <v>FASHION VIEWS</v>
      </c>
      <c r="C417" s="1">
        <f>+DATAOPS!M420</f>
        <v>10</v>
      </c>
      <c r="D417" s="1">
        <f>+DATAOPS!N420+DATAOPS!O420+DATAOPS!Q420</f>
        <v>52</v>
      </c>
      <c r="E417" s="1">
        <f>+DATAOPS!W420</f>
        <v>0</v>
      </c>
      <c r="F417" s="1">
        <f>+DATAOPS!AA420</f>
        <v>2021</v>
      </c>
      <c r="G417" s="1" t="str">
        <f>+DATAOPS!D420</f>
        <v>ROPA DORMIR</v>
      </c>
      <c r="H417" s="1">
        <f>+DATAOPS!AB420</f>
        <v>12</v>
      </c>
      <c r="I417" s="1">
        <f t="shared" si="14"/>
        <v>0</v>
      </c>
      <c r="J417" s="1">
        <f t="shared" si="15"/>
        <v>0</v>
      </c>
      <c r="K417" s="1">
        <f>+DATAOPS!O420*E417</f>
        <v>0</v>
      </c>
      <c r="L417" s="1">
        <f>+(DATAOPS!N420+DATAOPS!O420+DATAOPS!Q420)*E417</f>
        <v>0</v>
      </c>
    </row>
    <row r="418" spans="2:12" x14ac:dyDescent="0.3">
      <c r="B418" s="1" t="str">
        <f>+DATAOPS!C421</f>
        <v>FASHION VIEWS</v>
      </c>
      <c r="C418" s="1">
        <f>+DATAOPS!M421</f>
        <v>27</v>
      </c>
      <c r="D418" s="1">
        <f>+DATAOPS!N421+DATAOPS!O421+DATAOPS!Q421</f>
        <v>176</v>
      </c>
      <c r="E418" s="1">
        <f>+DATAOPS!W421</f>
        <v>0</v>
      </c>
      <c r="F418" s="1">
        <f>+DATAOPS!AA421</f>
        <v>2021</v>
      </c>
      <c r="G418" s="1" t="str">
        <f>+DATAOPS!D421</f>
        <v>ROPA DORMIR</v>
      </c>
      <c r="H418" s="1">
        <f>+DATAOPS!AB421</f>
        <v>12</v>
      </c>
      <c r="I418" s="1">
        <f t="shared" si="14"/>
        <v>0</v>
      </c>
      <c r="J418" s="1">
        <f t="shared" si="15"/>
        <v>0</v>
      </c>
      <c r="K418" s="1">
        <f>+DATAOPS!O421*E418</f>
        <v>0</v>
      </c>
      <c r="L418" s="1">
        <f>+(DATAOPS!N421+DATAOPS!O421+DATAOPS!Q421)*E418</f>
        <v>0</v>
      </c>
    </row>
    <row r="419" spans="2:12" x14ac:dyDescent="0.3">
      <c r="B419" s="1" t="str">
        <f>+DATAOPS!C422</f>
        <v>MARELLE</v>
      </c>
      <c r="C419" s="1">
        <f>+DATAOPS!M422</f>
        <v>16.5</v>
      </c>
      <c r="D419" s="1">
        <f>+DATAOPS!N422+DATAOPS!O422+DATAOPS!Q422</f>
        <v>76</v>
      </c>
      <c r="E419" s="1">
        <f>+DATAOPS!W422</f>
        <v>0</v>
      </c>
      <c r="F419" s="1">
        <f>+DATAOPS!AA422</f>
        <v>2021</v>
      </c>
      <c r="G419" s="1" t="str">
        <f>+DATAOPS!D422</f>
        <v>ROPA DORMIR</v>
      </c>
      <c r="H419" s="1">
        <f>+DATAOPS!AB422</f>
        <v>12</v>
      </c>
      <c r="I419" s="1">
        <f t="shared" si="14"/>
        <v>0</v>
      </c>
      <c r="J419" s="1">
        <f t="shared" si="15"/>
        <v>0</v>
      </c>
      <c r="K419" s="1">
        <f>+DATAOPS!O422*E419</f>
        <v>0</v>
      </c>
      <c r="L419" s="1">
        <f>+(DATAOPS!N422+DATAOPS!O422+DATAOPS!Q422)*E419</f>
        <v>0</v>
      </c>
    </row>
    <row r="420" spans="2:12" x14ac:dyDescent="0.3">
      <c r="B420" s="1" t="str">
        <f>+DATAOPS!C423</f>
        <v>MARELLE</v>
      </c>
      <c r="C420" s="1">
        <f>+DATAOPS!M423</f>
        <v>16.5</v>
      </c>
      <c r="D420" s="1">
        <f>+DATAOPS!N423+DATAOPS!O423+DATAOPS!Q423</f>
        <v>76</v>
      </c>
      <c r="E420" s="1">
        <f>+DATAOPS!W423</f>
        <v>0</v>
      </c>
      <c r="F420" s="1">
        <f>+DATAOPS!AA423</f>
        <v>2021</v>
      </c>
      <c r="G420" s="1" t="str">
        <f>+DATAOPS!D423</f>
        <v>ROPA DORMIR</v>
      </c>
      <c r="H420" s="1">
        <f>+DATAOPS!AB423</f>
        <v>12</v>
      </c>
      <c r="I420" s="1">
        <f t="shared" si="14"/>
        <v>0</v>
      </c>
      <c r="J420" s="1">
        <f t="shared" si="15"/>
        <v>0</v>
      </c>
      <c r="K420" s="1">
        <f>+DATAOPS!O423*E420</f>
        <v>0</v>
      </c>
      <c r="L420" s="1">
        <f>+(DATAOPS!N423+DATAOPS!O423+DATAOPS!Q423)*E420</f>
        <v>0</v>
      </c>
    </row>
    <row r="421" spans="2:12" x14ac:dyDescent="0.3">
      <c r="B421" s="1" t="str">
        <f>+DATAOPS!C424</f>
        <v>MARELLE</v>
      </c>
      <c r="C421" s="1">
        <f>+DATAOPS!M424</f>
        <v>42</v>
      </c>
      <c r="D421" s="1">
        <f>+DATAOPS!N424+DATAOPS!O424+DATAOPS!Q424</f>
        <v>64</v>
      </c>
      <c r="E421" s="1">
        <f>+DATAOPS!W424</f>
        <v>0</v>
      </c>
      <c r="F421" s="1">
        <f>+DATAOPS!AA424</f>
        <v>2021</v>
      </c>
      <c r="G421" s="1" t="str">
        <f>+DATAOPS!D424</f>
        <v>ROPA DORMIR</v>
      </c>
      <c r="H421" s="1">
        <f>+DATAOPS!AB424</f>
        <v>12</v>
      </c>
      <c r="I421" s="1">
        <f t="shared" si="14"/>
        <v>0</v>
      </c>
      <c r="J421" s="1">
        <f t="shared" si="15"/>
        <v>0</v>
      </c>
      <c r="K421" s="1">
        <f>+DATAOPS!O424*E421</f>
        <v>0</v>
      </c>
      <c r="L421" s="1">
        <f>+(DATAOPS!N424+DATAOPS!O424+DATAOPS!Q424)*E421</f>
        <v>0</v>
      </c>
    </row>
    <row r="422" spans="2:12" x14ac:dyDescent="0.3">
      <c r="B422" s="1" t="str">
        <f>+DATAOPS!C425</f>
        <v>FASHION VIEWS</v>
      </c>
      <c r="C422" s="1">
        <f>+DATAOPS!M425</f>
        <v>36</v>
      </c>
      <c r="D422" s="1">
        <f>+DATAOPS!N425+DATAOPS!O425+DATAOPS!Q425</f>
        <v>48</v>
      </c>
      <c r="E422" s="1">
        <f>+DATAOPS!W425</f>
        <v>0</v>
      </c>
      <c r="F422" s="1">
        <f>+DATAOPS!AA425</f>
        <v>2021</v>
      </c>
      <c r="G422" s="1" t="str">
        <f>+DATAOPS!D425</f>
        <v>ROPA DORMIR</v>
      </c>
      <c r="H422" s="1">
        <f>+DATAOPS!AB425</f>
        <v>12</v>
      </c>
      <c r="I422" s="1">
        <f t="shared" si="14"/>
        <v>0</v>
      </c>
      <c r="J422" s="1">
        <f t="shared" si="15"/>
        <v>0</v>
      </c>
      <c r="K422" s="1">
        <f>+DATAOPS!O425*E422</f>
        <v>0</v>
      </c>
      <c r="L422" s="1">
        <f>+(DATAOPS!N425+DATAOPS!O425+DATAOPS!Q425)*E422</f>
        <v>0</v>
      </c>
    </row>
    <row r="423" spans="2:12" x14ac:dyDescent="0.3">
      <c r="B423" s="1" t="str">
        <f>+DATAOPS!C426</f>
        <v>FASHION VIEWS</v>
      </c>
      <c r="C423" s="1">
        <f>+DATAOPS!M426</f>
        <v>11.5</v>
      </c>
      <c r="D423" s="1">
        <f>+DATAOPS!N426+DATAOPS!O426+DATAOPS!Q426</f>
        <v>50</v>
      </c>
      <c r="E423" s="1">
        <f>+DATAOPS!W426</f>
        <v>0</v>
      </c>
      <c r="F423" s="1">
        <f>+DATAOPS!AA426</f>
        <v>2021</v>
      </c>
      <c r="G423" s="1" t="str">
        <f>+DATAOPS!D426</f>
        <v>ROPA DORMIR</v>
      </c>
      <c r="H423" s="1">
        <f>+DATAOPS!AB426</f>
        <v>12</v>
      </c>
      <c r="I423" s="1">
        <f t="shared" si="14"/>
        <v>0</v>
      </c>
      <c r="J423" s="1">
        <f t="shared" si="15"/>
        <v>0</v>
      </c>
      <c r="K423" s="1">
        <f>+DATAOPS!O426*E423</f>
        <v>0</v>
      </c>
      <c r="L423" s="1">
        <f>+(DATAOPS!N426+DATAOPS!O426+DATAOPS!Q426)*E423</f>
        <v>0</v>
      </c>
    </row>
    <row r="424" spans="2:12" x14ac:dyDescent="0.3">
      <c r="B424" s="1" t="str">
        <f>+DATAOPS!C427</f>
        <v>MARELLE</v>
      </c>
      <c r="C424" s="1">
        <f>+DATAOPS!M427</f>
        <v>7.5</v>
      </c>
      <c r="D424" s="1">
        <f>+DATAOPS!N427+DATAOPS!O427+DATAOPS!Q427</f>
        <v>34</v>
      </c>
      <c r="E424" s="1">
        <f>+DATAOPS!W427</f>
        <v>0</v>
      </c>
      <c r="F424" s="1">
        <f>+DATAOPS!AA427</f>
        <v>2021</v>
      </c>
      <c r="G424" s="1" t="str">
        <f>+DATAOPS!D427</f>
        <v>ROPA DORMIR</v>
      </c>
      <c r="H424" s="1">
        <f>+DATAOPS!AB427</f>
        <v>12</v>
      </c>
      <c r="I424" s="1">
        <f t="shared" si="14"/>
        <v>0</v>
      </c>
      <c r="J424" s="1">
        <f t="shared" si="15"/>
        <v>0</v>
      </c>
      <c r="K424" s="1">
        <f>+DATAOPS!O427*E424</f>
        <v>0</v>
      </c>
      <c r="L424" s="1">
        <f>+(DATAOPS!N427+DATAOPS!O427+DATAOPS!Q427)*E424</f>
        <v>0</v>
      </c>
    </row>
    <row r="425" spans="2:12" x14ac:dyDescent="0.3">
      <c r="B425" s="1" t="str">
        <f>+DATAOPS!C428</f>
        <v>MARELLE</v>
      </c>
      <c r="C425" s="1">
        <f>+DATAOPS!M428</f>
        <v>7.5</v>
      </c>
      <c r="D425" s="1">
        <f>+DATAOPS!N428+DATAOPS!O428+DATAOPS!Q428</f>
        <v>34</v>
      </c>
      <c r="E425" s="1">
        <f>+DATAOPS!W428</f>
        <v>0</v>
      </c>
      <c r="F425" s="1">
        <f>+DATAOPS!AA428</f>
        <v>2021</v>
      </c>
      <c r="G425" s="1" t="str">
        <f>+DATAOPS!D428</f>
        <v>ROPA DORMIR</v>
      </c>
      <c r="H425" s="1">
        <f>+DATAOPS!AB428</f>
        <v>12</v>
      </c>
      <c r="I425" s="1">
        <f t="shared" si="14"/>
        <v>0</v>
      </c>
      <c r="J425" s="1">
        <f t="shared" si="15"/>
        <v>0</v>
      </c>
      <c r="K425" s="1">
        <f>+DATAOPS!O428*E425</f>
        <v>0</v>
      </c>
      <c r="L425" s="1">
        <f>+(DATAOPS!N428+DATAOPS!O428+DATAOPS!Q428)*E425</f>
        <v>0</v>
      </c>
    </row>
    <row r="426" spans="2:12" x14ac:dyDescent="0.3">
      <c r="B426" s="1" t="str">
        <f>+DATAOPS!C429</f>
        <v>MARELLE</v>
      </c>
      <c r="C426" s="1">
        <f>+DATAOPS!M429</f>
        <v>7.5</v>
      </c>
      <c r="D426" s="1">
        <f>+DATAOPS!N429+DATAOPS!O429+DATAOPS!Q429</f>
        <v>34</v>
      </c>
      <c r="E426" s="1">
        <f>+DATAOPS!W429</f>
        <v>0</v>
      </c>
      <c r="F426" s="1">
        <f>+DATAOPS!AA429</f>
        <v>2021</v>
      </c>
      <c r="G426" s="1" t="str">
        <f>+DATAOPS!D429</f>
        <v>ROPA DORMIR</v>
      </c>
      <c r="H426" s="1">
        <f>+DATAOPS!AB429</f>
        <v>12</v>
      </c>
      <c r="I426" s="1">
        <f t="shared" si="14"/>
        <v>0</v>
      </c>
      <c r="J426" s="1">
        <f t="shared" si="15"/>
        <v>0</v>
      </c>
      <c r="K426" s="1">
        <f>+DATAOPS!O429*E426</f>
        <v>0</v>
      </c>
      <c r="L426" s="1">
        <f>+(DATAOPS!N429+DATAOPS!O429+DATAOPS!Q429)*E426</f>
        <v>0</v>
      </c>
    </row>
    <row r="427" spans="2:12" x14ac:dyDescent="0.3">
      <c r="B427" s="1" t="str">
        <f>+DATAOPS!C430</f>
        <v>MARELLE</v>
      </c>
      <c r="C427" s="1">
        <f>+DATAOPS!M430</f>
        <v>11</v>
      </c>
      <c r="D427" s="1">
        <f>+DATAOPS!N430+DATAOPS!O430+DATAOPS!Q430</f>
        <v>48</v>
      </c>
      <c r="E427" s="1">
        <f>+DATAOPS!W430</f>
        <v>0</v>
      </c>
      <c r="F427" s="1">
        <f>+DATAOPS!AA430</f>
        <v>2021</v>
      </c>
      <c r="G427" s="1" t="str">
        <f>+DATAOPS!D430</f>
        <v>ROPA DORMIR</v>
      </c>
      <c r="H427" s="1">
        <f>+DATAOPS!AB430</f>
        <v>12</v>
      </c>
      <c r="I427" s="1">
        <f t="shared" si="14"/>
        <v>0</v>
      </c>
      <c r="J427" s="1">
        <f t="shared" si="15"/>
        <v>0</v>
      </c>
      <c r="K427" s="1">
        <f>+DATAOPS!O430*E427</f>
        <v>0</v>
      </c>
      <c r="L427" s="1">
        <f>+(DATAOPS!N430+DATAOPS!O430+DATAOPS!Q430)*E427</f>
        <v>0</v>
      </c>
    </row>
    <row r="428" spans="2:12" x14ac:dyDescent="0.3">
      <c r="B428" s="1" t="str">
        <f>+DATAOPS!C431</f>
        <v>MARELLE</v>
      </c>
      <c r="C428" s="1">
        <f>+DATAOPS!M431</f>
        <v>15</v>
      </c>
      <c r="D428" s="1">
        <f>+DATAOPS!N431+DATAOPS!O431+DATAOPS!Q431</f>
        <v>64</v>
      </c>
      <c r="E428" s="1">
        <f>+DATAOPS!W431</f>
        <v>0</v>
      </c>
      <c r="F428" s="1">
        <f>+DATAOPS!AA431</f>
        <v>2021</v>
      </c>
      <c r="G428" s="1" t="str">
        <f>+DATAOPS!D431</f>
        <v>ROPA DORMIR</v>
      </c>
      <c r="H428" s="1">
        <f>+DATAOPS!AB431</f>
        <v>12</v>
      </c>
      <c r="I428" s="1">
        <f t="shared" si="14"/>
        <v>0</v>
      </c>
      <c r="J428" s="1">
        <f t="shared" si="15"/>
        <v>0</v>
      </c>
      <c r="K428" s="1">
        <f>+DATAOPS!O431*E428</f>
        <v>0</v>
      </c>
      <c r="L428" s="1">
        <f>+(DATAOPS!N431+DATAOPS!O431+DATAOPS!Q431)*E428</f>
        <v>0</v>
      </c>
    </row>
    <row r="429" spans="2:12" x14ac:dyDescent="0.3">
      <c r="B429" s="1" t="str">
        <f>+DATAOPS!C432</f>
        <v>FASHION VIEWS</v>
      </c>
      <c r="C429" s="1">
        <f>+DATAOPS!M432</f>
        <v>14</v>
      </c>
      <c r="D429" s="1">
        <f>+DATAOPS!N432+DATAOPS!O432+DATAOPS!Q432</f>
        <v>60</v>
      </c>
      <c r="E429" s="1">
        <f>+DATAOPS!W432</f>
        <v>0</v>
      </c>
      <c r="F429" s="1">
        <f>+DATAOPS!AA432</f>
        <v>2021</v>
      </c>
      <c r="G429" s="1" t="str">
        <f>+DATAOPS!D432</f>
        <v>ROPA DORMIR</v>
      </c>
      <c r="H429" s="1">
        <f>+DATAOPS!AB432</f>
        <v>12</v>
      </c>
      <c r="I429" s="1">
        <f t="shared" si="14"/>
        <v>0</v>
      </c>
      <c r="J429" s="1">
        <f t="shared" si="15"/>
        <v>0</v>
      </c>
      <c r="K429" s="1">
        <f>+DATAOPS!O432*E429</f>
        <v>0</v>
      </c>
      <c r="L429" s="1">
        <f>+(DATAOPS!N432+DATAOPS!O432+DATAOPS!Q432)*E429</f>
        <v>0</v>
      </c>
    </row>
    <row r="430" spans="2:12" x14ac:dyDescent="0.3">
      <c r="B430" s="1" t="str">
        <f>+DATAOPS!C433</f>
        <v>FASHION VIEWS</v>
      </c>
      <c r="C430" s="1">
        <f>+DATAOPS!M433</f>
        <v>15</v>
      </c>
      <c r="D430" s="1">
        <f>+DATAOPS!N433+DATAOPS!O433+DATAOPS!Q433</f>
        <v>64</v>
      </c>
      <c r="E430" s="1">
        <f>+DATAOPS!W433</f>
        <v>0</v>
      </c>
      <c r="F430" s="1">
        <f>+DATAOPS!AA433</f>
        <v>2021</v>
      </c>
      <c r="G430" s="1" t="str">
        <f>+DATAOPS!D433</f>
        <v>ROPA DORMIR</v>
      </c>
      <c r="H430" s="1">
        <f>+DATAOPS!AB433</f>
        <v>12</v>
      </c>
      <c r="I430" s="1">
        <f t="shared" si="14"/>
        <v>0</v>
      </c>
      <c r="J430" s="1">
        <f t="shared" si="15"/>
        <v>0</v>
      </c>
      <c r="K430" s="1">
        <f>+DATAOPS!O433*E430</f>
        <v>0</v>
      </c>
      <c r="L430" s="1">
        <f>+(DATAOPS!N433+DATAOPS!O433+DATAOPS!Q433)*E430</f>
        <v>0</v>
      </c>
    </row>
    <row r="431" spans="2:12" x14ac:dyDescent="0.3">
      <c r="B431" s="1" t="str">
        <f>+DATAOPS!C434</f>
        <v>FASHION VIEWS</v>
      </c>
      <c r="C431" s="1">
        <f>+DATAOPS!M434</f>
        <v>18</v>
      </c>
      <c r="D431" s="1">
        <f>+DATAOPS!N434+DATAOPS!O434+DATAOPS!Q434</f>
        <v>84</v>
      </c>
      <c r="E431" s="1">
        <f>+DATAOPS!W434</f>
        <v>0</v>
      </c>
      <c r="F431" s="1">
        <f>+DATAOPS!AA434</f>
        <v>2021</v>
      </c>
      <c r="G431" s="1" t="str">
        <f>+DATAOPS!D434</f>
        <v>ROPA DORMIR</v>
      </c>
      <c r="H431" s="1">
        <f>+DATAOPS!AB434</f>
        <v>12</v>
      </c>
      <c r="I431" s="1">
        <f t="shared" si="14"/>
        <v>0</v>
      </c>
      <c r="J431" s="1">
        <f t="shared" si="15"/>
        <v>0</v>
      </c>
      <c r="K431" s="1">
        <f>+DATAOPS!O434*E431</f>
        <v>0</v>
      </c>
      <c r="L431" s="1">
        <f>+(DATAOPS!N434+DATAOPS!O434+DATAOPS!Q434)*E431</f>
        <v>0</v>
      </c>
    </row>
    <row r="432" spans="2:12" x14ac:dyDescent="0.3">
      <c r="B432" s="1" t="str">
        <f>+DATAOPS!C435</f>
        <v>FASHION VIEWS</v>
      </c>
      <c r="C432" s="1">
        <f>+DATAOPS!M435</f>
        <v>8</v>
      </c>
      <c r="D432" s="1">
        <f>+DATAOPS!N435+DATAOPS!O435+DATAOPS!Q435</f>
        <v>36</v>
      </c>
      <c r="E432" s="1">
        <f>+DATAOPS!W435</f>
        <v>0</v>
      </c>
      <c r="F432" s="1">
        <f>+DATAOPS!AA435</f>
        <v>2021</v>
      </c>
      <c r="G432" s="1" t="str">
        <f>+DATAOPS!D435</f>
        <v>ROPA DORMIR</v>
      </c>
      <c r="H432" s="1">
        <f>+DATAOPS!AB435</f>
        <v>12</v>
      </c>
      <c r="I432" s="1">
        <f t="shared" si="14"/>
        <v>0</v>
      </c>
      <c r="J432" s="1">
        <f t="shared" si="15"/>
        <v>0</v>
      </c>
      <c r="K432" s="1">
        <f>+DATAOPS!O435*E432</f>
        <v>0</v>
      </c>
      <c r="L432" s="1">
        <f>+(DATAOPS!N435+DATAOPS!O435+DATAOPS!Q435)*E432</f>
        <v>0</v>
      </c>
    </row>
    <row r="433" spans="2:12" x14ac:dyDescent="0.3">
      <c r="B433" s="1" t="str">
        <f>+DATAOPS!C436</f>
        <v>FASHION VIEWS</v>
      </c>
      <c r="C433" s="1">
        <f>+DATAOPS!M436</f>
        <v>17.5</v>
      </c>
      <c r="D433" s="1">
        <f>+DATAOPS!N436+DATAOPS!O436+DATAOPS!Q436</f>
        <v>84</v>
      </c>
      <c r="E433" s="1">
        <f>+DATAOPS!W436</f>
        <v>0</v>
      </c>
      <c r="F433" s="1">
        <f>+DATAOPS!AA436</f>
        <v>2021</v>
      </c>
      <c r="G433" s="1" t="str">
        <f>+DATAOPS!D436</f>
        <v>ROPA DORMIR</v>
      </c>
      <c r="H433" s="1">
        <f>+DATAOPS!AB436</f>
        <v>12</v>
      </c>
      <c r="I433" s="1">
        <f t="shared" si="14"/>
        <v>0</v>
      </c>
      <c r="J433" s="1">
        <f t="shared" si="15"/>
        <v>0</v>
      </c>
      <c r="K433" s="1">
        <f>+DATAOPS!O436*E433</f>
        <v>0</v>
      </c>
      <c r="L433" s="1">
        <f>+(DATAOPS!N436+DATAOPS!O436+DATAOPS!Q436)*E433</f>
        <v>0</v>
      </c>
    </row>
    <row r="434" spans="2:12" x14ac:dyDescent="0.3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</row>
    <row r="435" spans="2:12" x14ac:dyDescent="0.3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</row>
    <row r="436" spans="2:12" x14ac:dyDescent="0.3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</row>
    <row r="437" spans="2:12" x14ac:dyDescent="0.3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</row>
    <row r="438" spans="2:12" x14ac:dyDescent="0.3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</row>
    <row r="439" spans="2:12" x14ac:dyDescent="0.3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</row>
    <row r="440" spans="2:12" x14ac:dyDescent="0.3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</row>
    <row r="441" spans="2:12" x14ac:dyDescent="0.3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</row>
    <row r="442" spans="2:12" x14ac:dyDescent="0.3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</row>
    <row r="443" spans="2:12" x14ac:dyDescent="0.3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</row>
    <row r="444" spans="2:12" x14ac:dyDescent="0.3">
      <c r="B444" s="1" t="str">
        <f>+DATAOPS!C447</f>
        <v>KISSY KISSY</v>
      </c>
      <c r="C444" s="1">
        <f>+DATAOPS!M447</f>
        <v>24.5</v>
      </c>
      <c r="D444" s="404">
        <f>+DATAOPS!R447</f>
        <v>142</v>
      </c>
      <c r="E444" s="1">
        <f>+DATAOPS!W447</f>
        <v>244</v>
      </c>
      <c r="F444" s="1">
        <f>+DATAOPS!AA447</f>
        <v>2022</v>
      </c>
      <c r="G444" s="1" t="str">
        <f>+DATAOPS!D447</f>
        <v>BEBES</v>
      </c>
      <c r="H444" s="1">
        <f>+DATAOPS!AB447</f>
        <v>1</v>
      </c>
      <c r="I444" s="1">
        <f t="shared" si="14"/>
        <v>5978</v>
      </c>
      <c r="J444" s="1">
        <f t="shared" si="15"/>
        <v>34648</v>
      </c>
      <c r="K444" s="1">
        <f>+DATAOPS!O447*E444</f>
        <v>9272</v>
      </c>
      <c r="L444" s="1">
        <f>+(DATAOPS!N447+DATAOPS!O447+DATAOPS!Q447)*E444</f>
        <v>15128</v>
      </c>
    </row>
    <row r="445" spans="2:12" x14ac:dyDescent="0.3">
      <c r="B445" s="1" t="str">
        <f>+DATAOPS!C448</f>
        <v>KISSY KISSY</v>
      </c>
      <c r="C445" s="1">
        <f>+DATAOPS!M448</f>
        <v>20.5</v>
      </c>
      <c r="D445" s="404">
        <f>+DATAOPS!R448</f>
        <v>112.66666666666667</v>
      </c>
      <c r="E445" s="1">
        <f>+DATAOPS!W448</f>
        <v>230</v>
      </c>
      <c r="F445" s="1">
        <f>+DATAOPS!AA448</f>
        <v>2022</v>
      </c>
      <c r="G445" s="1" t="str">
        <f>+DATAOPS!D448</f>
        <v>BEBES</v>
      </c>
      <c r="H445" s="1">
        <f>+DATAOPS!AB448</f>
        <v>1</v>
      </c>
      <c r="I445" s="1">
        <f t="shared" si="14"/>
        <v>4715</v>
      </c>
      <c r="J445" s="1">
        <f t="shared" si="15"/>
        <v>25913.333333333336</v>
      </c>
      <c r="K445" s="1">
        <f>+DATAOPS!O448*E445</f>
        <v>8740</v>
      </c>
      <c r="L445" s="1">
        <f>+(DATAOPS!N448+DATAOPS!O448+DATAOPS!Q448)*E445</f>
        <v>10580</v>
      </c>
    </row>
    <row r="446" spans="2:12" x14ac:dyDescent="0.3">
      <c r="B446" s="1" t="str">
        <f>+DATAOPS!C449</f>
        <v>KISSY KISSY</v>
      </c>
      <c r="C446" s="1">
        <f>+DATAOPS!M449</f>
        <v>23.5</v>
      </c>
      <c r="D446" s="404">
        <f>+DATAOPS!R449</f>
        <v>136</v>
      </c>
      <c r="E446" s="1">
        <f>+DATAOPS!W449</f>
        <v>116</v>
      </c>
      <c r="F446" s="1">
        <f>+DATAOPS!AA449</f>
        <v>2022</v>
      </c>
      <c r="G446" s="1" t="str">
        <f>+DATAOPS!D449</f>
        <v>BEBES</v>
      </c>
      <c r="H446" s="1">
        <f>+DATAOPS!AB449</f>
        <v>1</v>
      </c>
      <c r="I446" s="1">
        <f t="shared" si="14"/>
        <v>2726</v>
      </c>
      <c r="J446" s="1">
        <f t="shared" si="15"/>
        <v>15776</v>
      </c>
      <c r="K446" s="1">
        <f>+DATAOPS!O449*E446</f>
        <v>4176</v>
      </c>
      <c r="L446" s="1">
        <f>+(DATAOPS!N449+DATAOPS!O449+DATAOPS!Q449)*E446</f>
        <v>6496</v>
      </c>
    </row>
    <row r="447" spans="2:12" x14ac:dyDescent="0.3">
      <c r="B447" s="1" t="str">
        <f>+DATAOPS!C450</f>
        <v>KISSY KISSY</v>
      </c>
      <c r="C447" s="1">
        <f>+DATAOPS!M450</f>
        <v>15</v>
      </c>
      <c r="D447" s="404">
        <f>+DATAOPS!R450</f>
        <v>104</v>
      </c>
      <c r="E447" s="1">
        <f>+DATAOPS!W450</f>
        <v>248</v>
      </c>
      <c r="F447" s="1">
        <f>+DATAOPS!AA450</f>
        <v>2022</v>
      </c>
      <c r="G447" s="1" t="str">
        <f>+DATAOPS!D450</f>
        <v>BEBES</v>
      </c>
      <c r="H447" s="1">
        <f>+DATAOPS!AB450</f>
        <v>1</v>
      </c>
      <c r="I447" s="1">
        <f t="shared" si="14"/>
        <v>3720</v>
      </c>
      <c r="J447" s="1">
        <f t="shared" si="15"/>
        <v>25792</v>
      </c>
      <c r="K447" s="1">
        <f>+DATAOPS!O450*E447</f>
        <v>0</v>
      </c>
      <c r="L447" s="1">
        <f>+(DATAOPS!N450+DATAOPS!O450+DATAOPS!Q450)*E447</f>
        <v>5952</v>
      </c>
    </row>
    <row r="448" spans="2:12" x14ac:dyDescent="0.3">
      <c r="B448" s="1" t="str">
        <f>+DATAOPS!C451</f>
        <v>KISSY KISSY</v>
      </c>
      <c r="C448" s="1">
        <f>+DATAOPS!M451</f>
        <v>9.8000000000000007</v>
      </c>
      <c r="D448" s="404">
        <f>+DATAOPS!R451</f>
        <v>43.2</v>
      </c>
      <c r="E448" s="1">
        <f>+DATAOPS!W451</f>
        <v>96</v>
      </c>
      <c r="F448" s="1">
        <f>+DATAOPS!AA451</f>
        <v>2022</v>
      </c>
      <c r="G448" s="1" t="str">
        <f>+DATAOPS!D451</f>
        <v>BEBES</v>
      </c>
      <c r="H448" s="1">
        <f>+DATAOPS!AB451</f>
        <v>1</v>
      </c>
      <c r="I448" s="1">
        <f t="shared" si="14"/>
        <v>940.80000000000007</v>
      </c>
      <c r="J448" s="1">
        <f t="shared" si="15"/>
        <v>4147.2000000000007</v>
      </c>
      <c r="K448" s="1">
        <f>+DATAOPS!O451*E448</f>
        <v>3379.2000000000003</v>
      </c>
      <c r="L448" s="1">
        <f>+(DATAOPS!N451+DATAOPS!O451+DATAOPS!Q451)*E448</f>
        <v>4147.2000000000007</v>
      </c>
    </row>
    <row r="449" spans="2:12" x14ac:dyDescent="0.3">
      <c r="B449" s="1" t="str">
        <f>+DATAOPS!C452</f>
        <v>KISSY KISSY</v>
      </c>
      <c r="C449" s="1">
        <f>+DATAOPS!M452</f>
        <v>21</v>
      </c>
      <c r="D449" s="404">
        <f>+DATAOPS!R452</f>
        <v>126.66666666666667</v>
      </c>
      <c r="E449" s="1">
        <f>+DATAOPS!W452</f>
        <v>63</v>
      </c>
      <c r="F449" s="1">
        <f>+DATAOPS!AA452</f>
        <v>2022</v>
      </c>
      <c r="G449" s="1" t="str">
        <f>+DATAOPS!D452</f>
        <v>BEBES</v>
      </c>
      <c r="H449" s="1">
        <f>+DATAOPS!AB452</f>
        <v>1</v>
      </c>
      <c r="I449" s="1">
        <f t="shared" si="14"/>
        <v>1323</v>
      </c>
      <c r="J449" s="1">
        <f t="shared" si="15"/>
        <v>7980</v>
      </c>
      <c r="K449" s="1">
        <f>+DATAOPS!O452*E449</f>
        <v>1512</v>
      </c>
      <c r="L449" s="1">
        <f>+(DATAOPS!N452+DATAOPS!O452+DATAOPS!Q452)*E449</f>
        <v>2520</v>
      </c>
    </row>
    <row r="450" spans="2:12" x14ac:dyDescent="0.3">
      <c r="B450" s="1" t="str">
        <f>+DATAOPS!C453</f>
        <v>KISSY KISSY</v>
      </c>
      <c r="C450" s="1">
        <f>+DATAOPS!M453</f>
        <v>9</v>
      </c>
      <c r="D450" s="404">
        <f>+DATAOPS!R453</f>
        <v>62.666666666666671</v>
      </c>
      <c r="E450" s="1">
        <f>+DATAOPS!W453</f>
        <v>59</v>
      </c>
      <c r="F450" s="1">
        <f>+DATAOPS!AA453</f>
        <v>2022</v>
      </c>
      <c r="G450" s="1" t="str">
        <f>+DATAOPS!D453</f>
        <v>BEBES</v>
      </c>
      <c r="H450" s="1">
        <f>+DATAOPS!AB453</f>
        <v>1</v>
      </c>
      <c r="I450" s="1">
        <f t="shared" ref="I450:I460" si="16">+C450*E450</f>
        <v>531</v>
      </c>
      <c r="J450" s="1">
        <f t="shared" ref="J450:J460" si="17">+D450*E450</f>
        <v>3697.3333333333335</v>
      </c>
      <c r="K450" s="1">
        <f>+DATAOPS!O453*E450</f>
        <v>0</v>
      </c>
      <c r="L450" s="1">
        <f>+(DATAOPS!N453+DATAOPS!O453+DATAOPS!Q453)*E450</f>
        <v>944</v>
      </c>
    </row>
    <row r="451" spans="2:12" x14ac:dyDescent="0.3">
      <c r="B451" s="1" t="str">
        <f>+DATAOPS!C454</f>
        <v>KISSY KISSY</v>
      </c>
      <c r="C451" s="1">
        <f>+DATAOPS!M454</f>
        <v>8</v>
      </c>
      <c r="D451" s="404">
        <f>+DATAOPS!R454</f>
        <v>56</v>
      </c>
      <c r="E451" s="1">
        <f>+DATAOPS!W454</f>
        <v>76</v>
      </c>
      <c r="F451" s="1">
        <f>+DATAOPS!AA454</f>
        <v>2022</v>
      </c>
      <c r="G451" s="1" t="str">
        <f>+DATAOPS!D454</f>
        <v>BEBES</v>
      </c>
      <c r="H451" s="1">
        <f>+DATAOPS!AB454</f>
        <v>1</v>
      </c>
      <c r="I451" s="1">
        <f t="shared" si="16"/>
        <v>608</v>
      </c>
      <c r="J451" s="1">
        <f t="shared" si="17"/>
        <v>4256</v>
      </c>
      <c r="K451" s="1">
        <f>+DATAOPS!O454*E451</f>
        <v>0</v>
      </c>
      <c r="L451" s="1">
        <f>+(DATAOPS!N454+DATAOPS!O454+DATAOPS!Q454)*E451</f>
        <v>1216</v>
      </c>
    </row>
    <row r="452" spans="2:12" x14ac:dyDescent="0.3">
      <c r="B452" s="1" t="str">
        <f>+DATAOPS!C455</f>
        <v>KISSY KISSY</v>
      </c>
      <c r="C452" s="1">
        <f>+DATAOPS!M455</f>
        <v>6.5</v>
      </c>
      <c r="D452" s="404">
        <f>+DATAOPS!R455</f>
        <v>38</v>
      </c>
      <c r="E452" s="1">
        <f>+DATAOPS!W455</f>
        <v>39</v>
      </c>
      <c r="F452" s="1">
        <f>+DATAOPS!AA455</f>
        <v>2022</v>
      </c>
      <c r="G452" s="1" t="str">
        <f>+DATAOPS!D455</f>
        <v>BEBES</v>
      </c>
      <c r="H452" s="1">
        <f>+DATAOPS!AB455</f>
        <v>1</v>
      </c>
      <c r="I452" s="1">
        <f t="shared" si="16"/>
        <v>253.5</v>
      </c>
      <c r="J452" s="1">
        <f t="shared" si="17"/>
        <v>1482</v>
      </c>
      <c r="K452" s="1">
        <f>+DATAOPS!O455*E452</f>
        <v>390</v>
      </c>
      <c r="L452" s="1">
        <f>+(DATAOPS!N455+DATAOPS!O455+DATAOPS!Q455)*E452</f>
        <v>702</v>
      </c>
    </row>
    <row r="453" spans="2:12" x14ac:dyDescent="0.3">
      <c r="B453" s="1" t="str">
        <f>+DATAOPS!C456</f>
        <v>LIVLY</v>
      </c>
      <c r="C453" s="1">
        <f>+DATAOPS!M456</f>
        <v>2.5</v>
      </c>
      <c r="D453" s="404">
        <f>+DATAOPS!R456</f>
        <v>18</v>
      </c>
      <c r="E453" s="1">
        <f>+DATAOPS!W456</f>
        <v>0</v>
      </c>
      <c r="F453" s="1">
        <f>+DATAOPS!AA456</f>
        <v>2022</v>
      </c>
      <c r="G453" s="1" t="str">
        <f>+DATAOPS!D456</f>
        <v>ROPA DORMIR</v>
      </c>
      <c r="H453" s="1">
        <f>+DATAOPS!AB456</f>
        <v>1</v>
      </c>
      <c r="I453" s="1">
        <f t="shared" si="16"/>
        <v>0</v>
      </c>
      <c r="J453" s="1">
        <f t="shared" si="17"/>
        <v>0</v>
      </c>
      <c r="K453" s="1">
        <f>+DATAOPS!O456*E453</f>
        <v>0</v>
      </c>
      <c r="L453" s="1">
        <f>+(DATAOPS!N456+DATAOPS!O456+DATAOPS!Q456)*E453</f>
        <v>0</v>
      </c>
    </row>
    <row r="454" spans="2:12" x14ac:dyDescent="0.3">
      <c r="B454" s="1" t="str">
        <f>+DATAOPS!C457</f>
        <v>LIVLY</v>
      </c>
      <c r="C454" s="1">
        <f>+DATAOPS!M457</f>
        <v>2.5</v>
      </c>
      <c r="D454" s="404">
        <f>+DATAOPS!R457</f>
        <v>18</v>
      </c>
      <c r="E454" s="1">
        <f>+DATAOPS!W457</f>
        <v>0</v>
      </c>
      <c r="F454" s="1">
        <f>+DATAOPS!AA457</f>
        <v>2022</v>
      </c>
      <c r="G454" s="1" t="str">
        <f>+DATAOPS!D457</f>
        <v>ROPA DORMIR</v>
      </c>
      <c r="H454" s="1">
        <f>+DATAOPS!AB457</f>
        <v>1</v>
      </c>
      <c r="I454" s="1">
        <f t="shared" si="16"/>
        <v>0</v>
      </c>
      <c r="J454" s="1">
        <f t="shared" si="17"/>
        <v>0</v>
      </c>
      <c r="K454" s="1">
        <f>+DATAOPS!O457*E454</f>
        <v>0</v>
      </c>
      <c r="L454" s="1">
        <f>+(DATAOPS!N457+DATAOPS!O457+DATAOPS!Q457)*E454</f>
        <v>0</v>
      </c>
    </row>
    <row r="455" spans="2:12" x14ac:dyDescent="0.3">
      <c r="B455" s="1" t="str">
        <f>+DATAOPS!C458</f>
        <v>LIVLY</v>
      </c>
      <c r="C455" s="1">
        <f>+DATAOPS!M458</f>
        <v>2.5</v>
      </c>
      <c r="D455" s="404">
        <f>+DATAOPS!R458</f>
        <v>18</v>
      </c>
      <c r="E455" s="1">
        <f>+DATAOPS!W458</f>
        <v>0</v>
      </c>
      <c r="F455" s="1">
        <f>+DATAOPS!AA458</f>
        <v>2022</v>
      </c>
      <c r="G455" s="1" t="str">
        <f>+DATAOPS!D458</f>
        <v>ROPA DORMIR</v>
      </c>
      <c r="H455" s="1">
        <f>+DATAOPS!AB458</f>
        <v>1</v>
      </c>
      <c r="I455" s="1">
        <f t="shared" si="16"/>
        <v>0</v>
      </c>
      <c r="J455" s="1">
        <f t="shared" si="17"/>
        <v>0</v>
      </c>
      <c r="K455" s="1">
        <f>+DATAOPS!O458*E455</f>
        <v>0</v>
      </c>
      <c r="L455" s="1">
        <f>+(DATAOPS!N458+DATAOPS!O458+DATAOPS!Q458)*E455</f>
        <v>0</v>
      </c>
    </row>
    <row r="456" spans="2:12" x14ac:dyDescent="0.3">
      <c r="B456" s="1" t="str">
        <f>+DATAOPS!C459</f>
        <v>LIVLY</v>
      </c>
      <c r="C456" s="1">
        <f>+DATAOPS!M459</f>
        <v>2.5</v>
      </c>
      <c r="D456" s="404">
        <f>+DATAOPS!R459</f>
        <v>18</v>
      </c>
      <c r="E456" s="1">
        <f>+DATAOPS!W459</f>
        <v>0</v>
      </c>
      <c r="F456" s="1">
        <f>+DATAOPS!AA459</f>
        <v>2022</v>
      </c>
      <c r="G456" s="1" t="str">
        <f>+DATAOPS!D459</f>
        <v>ROPA DORMIR</v>
      </c>
      <c r="H456" s="1">
        <f>+DATAOPS!AB459</f>
        <v>1</v>
      </c>
      <c r="I456" s="1">
        <f t="shared" si="16"/>
        <v>0</v>
      </c>
      <c r="J456" s="1">
        <f t="shared" si="17"/>
        <v>0</v>
      </c>
      <c r="K456" s="1">
        <f>+DATAOPS!O459*E456</f>
        <v>0</v>
      </c>
      <c r="L456" s="1">
        <f>+(DATAOPS!N459+DATAOPS!O459+DATAOPS!Q459)*E456</f>
        <v>0</v>
      </c>
    </row>
    <row r="457" spans="2:12" x14ac:dyDescent="0.3">
      <c r="B457" s="1" t="str">
        <f>+DATAOPS!C460</f>
        <v>LIVLY</v>
      </c>
      <c r="C457" s="1">
        <f>+DATAOPS!M460</f>
        <v>2.5</v>
      </c>
      <c r="D457" s="404">
        <f>+DATAOPS!R460</f>
        <v>18</v>
      </c>
      <c r="E457" s="1">
        <f>+DATAOPS!W460</f>
        <v>0</v>
      </c>
      <c r="F457" s="1">
        <f>+DATAOPS!AA460</f>
        <v>2022</v>
      </c>
      <c r="G457" s="1" t="str">
        <f>+DATAOPS!D460</f>
        <v>ROPA DORMIR</v>
      </c>
      <c r="H457" s="1">
        <f>+DATAOPS!AB460</f>
        <v>1</v>
      </c>
      <c r="I457" s="1">
        <f t="shared" si="16"/>
        <v>0</v>
      </c>
      <c r="J457" s="1">
        <f t="shared" si="17"/>
        <v>0</v>
      </c>
      <c r="K457" s="1">
        <f>+DATAOPS!O460*E457</f>
        <v>0</v>
      </c>
      <c r="L457" s="1">
        <f>+(DATAOPS!N460+DATAOPS!O460+DATAOPS!Q460)*E457</f>
        <v>0</v>
      </c>
    </row>
    <row r="458" spans="2:12" x14ac:dyDescent="0.3">
      <c r="B458" s="1" t="str">
        <f>+DATAOPS!C461</f>
        <v>LIVLY</v>
      </c>
      <c r="C458" s="1">
        <f>+DATAOPS!M461</f>
        <v>2.5</v>
      </c>
      <c r="D458" s="404">
        <f>+DATAOPS!R461</f>
        <v>18</v>
      </c>
      <c r="E458" s="1">
        <f>+DATAOPS!W461</f>
        <v>0</v>
      </c>
      <c r="F458" s="1">
        <f>+DATAOPS!AA461</f>
        <v>2022</v>
      </c>
      <c r="G458" s="1" t="str">
        <f>+DATAOPS!D461</f>
        <v>ROPA DORMIR</v>
      </c>
      <c r="H458" s="1">
        <f>+DATAOPS!AB461</f>
        <v>1</v>
      </c>
      <c r="I458" s="1">
        <f t="shared" si="16"/>
        <v>0</v>
      </c>
      <c r="J458" s="1">
        <f t="shared" si="17"/>
        <v>0</v>
      </c>
      <c r="K458" s="1">
        <f>+DATAOPS!O461*E458</f>
        <v>0</v>
      </c>
      <c r="L458" s="1">
        <f>+(DATAOPS!N461+DATAOPS!O461+DATAOPS!Q461)*E458</f>
        <v>0</v>
      </c>
    </row>
    <row r="459" spans="2:12" x14ac:dyDescent="0.3">
      <c r="B459" s="1" t="str">
        <f>+DATAOPS!C462</f>
        <v>ARMSTRONG</v>
      </c>
      <c r="C459" s="1">
        <f>+DATAOPS!M462</f>
        <v>1</v>
      </c>
      <c r="D459" s="404">
        <f>+DATAOPS!R462</f>
        <v>8</v>
      </c>
      <c r="E459" s="1">
        <f>+DATAOPS!W462</f>
        <v>0</v>
      </c>
      <c r="F459" s="1">
        <f>+DATAOPS!AA462</f>
        <v>2022</v>
      </c>
      <c r="G459" s="1" t="str">
        <f>+DATAOPS!D462</f>
        <v>NIÑAS</v>
      </c>
      <c r="H459" s="1">
        <f>+DATAOPS!AB462</f>
        <v>2</v>
      </c>
      <c r="I459" s="1">
        <f t="shared" si="16"/>
        <v>0</v>
      </c>
      <c r="J459" s="1">
        <f t="shared" si="17"/>
        <v>0</v>
      </c>
      <c r="K459" s="1">
        <f>+DATAOPS!O462*E459</f>
        <v>0</v>
      </c>
      <c r="L459" s="1">
        <f>+(DATAOPS!N462+DATAOPS!O462+DATAOPS!Q462)*E459</f>
        <v>0</v>
      </c>
    </row>
    <row r="460" spans="2:12" x14ac:dyDescent="0.3">
      <c r="B460" s="1" t="str">
        <f>+DATAOPS!C463</f>
        <v>ARMSTRONG</v>
      </c>
      <c r="C460" s="1">
        <f>+DATAOPS!M463</f>
        <v>11</v>
      </c>
      <c r="D460" s="404">
        <f>+DATAOPS!R463</f>
        <v>74.666666666666671</v>
      </c>
      <c r="E460" s="1">
        <f>+DATAOPS!W463</f>
        <v>0</v>
      </c>
      <c r="F460" s="1">
        <f>+DATAOPS!AA463</f>
        <v>2022</v>
      </c>
      <c r="G460" s="1" t="str">
        <f>+DATAOPS!D463</f>
        <v>NIÑAS</v>
      </c>
      <c r="H460" s="1">
        <f>+DATAOPS!AB463</f>
        <v>2</v>
      </c>
      <c r="I460" s="1">
        <f t="shared" si="16"/>
        <v>0</v>
      </c>
      <c r="J460" s="1">
        <f t="shared" si="17"/>
        <v>0</v>
      </c>
      <c r="K460" s="1">
        <f>+DATAOPS!O463*E460</f>
        <v>0</v>
      </c>
      <c r="L460" s="1">
        <f>+(DATAOPS!N463+DATAOPS!O463+DATAOPS!Q463)*E460</f>
        <v>0</v>
      </c>
    </row>
    <row r="489" spans="2:5" x14ac:dyDescent="0.3">
      <c r="B489" s="49"/>
      <c r="C489" s="366"/>
      <c r="D489" s="366"/>
      <c r="E489" s="366"/>
    </row>
    <row r="490" spans="2:5" x14ac:dyDescent="0.3">
      <c r="B490" s="49"/>
      <c r="C490" s="366"/>
      <c r="D490" s="366"/>
      <c r="E490" s="366"/>
    </row>
    <row r="491" spans="2:5" x14ac:dyDescent="0.3">
      <c r="B491" s="49"/>
      <c r="C491" s="366"/>
      <c r="D491" s="366"/>
      <c r="E491" s="366"/>
    </row>
    <row r="506" spans="14:16" x14ac:dyDescent="0.3">
      <c r="N506" s="366"/>
      <c r="O506" s="366"/>
      <c r="P506" s="366"/>
    </row>
    <row r="523" spans="2:5" x14ac:dyDescent="0.3">
      <c r="B523" s="49"/>
      <c r="C523" s="366"/>
      <c r="D523" s="366"/>
      <c r="E523" s="36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5"/>
  <dimension ref="A1:AT490"/>
  <sheetViews>
    <sheetView view="pageBreakPreview" topLeftCell="K1" zoomScale="85" zoomScaleNormal="98" zoomScaleSheetLayoutView="85" workbookViewId="0">
      <selection activeCell="Y9" sqref="Y9"/>
    </sheetView>
  </sheetViews>
  <sheetFormatPr baseColWidth="10" defaultColWidth="11.44140625" defaultRowHeight="14.4" x14ac:dyDescent="0.3"/>
  <cols>
    <col min="1" max="1" width="8.44140625" style="185" customWidth="1"/>
    <col min="2" max="2" width="14.6640625" style="30" customWidth="1"/>
    <col min="3" max="3" width="12" style="30" customWidth="1"/>
    <col min="4" max="4" width="10" style="30" customWidth="1"/>
    <col min="5" max="5" width="7.88671875" style="30" customWidth="1"/>
    <col min="6" max="6" width="7.6640625" style="30" customWidth="1"/>
    <col min="7" max="7" width="6.88671875" style="30" customWidth="1"/>
    <col min="8" max="9" width="7.6640625" style="30" customWidth="1"/>
    <col min="10" max="14" width="6.33203125" style="30" customWidth="1"/>
    <col min="15" max="15" width="9.88671875" style="30" bestFit="1" customWidth="1"/>
    <col min="16" max="16" width="8" style="30" customWidth="1"/>
    <col min="17" max="17" width="6.33203125" style="30" customWidth="1"/>
    <col min="18" max="18" width="8.44140625" style="30" customWidth="1"/>
    <col min="19" max="19" width="19.109375" style="249" customWidth="1"/>
    <col min="20" max="20" width="32" style="31" customWidth="1"/>
    <col min="21" max="21" width="7.33203125" style="249" customWidth="1"/>
    <col min="22" max="23" width="7.88671875" style="249" customWidth="1"/>
    <col min="24" max="24" width="16.88671875" style="249" bestFit="1" customWidth="1"/>
    <col min="25" max="25" width="15.6640625" style="2" customWidth="1"/>
    <col min="26" max="26" width="12.44140625" style="2" bestFit="1" customWidth="1"/>
    <col min="27" max="27" width="7.88671875" style="2" bestFit="1" customWidth="1"/>
    <col min="28" max="28" width="5.6640625" style="2" customWidth="1"/>
    <col min="29" max="29" width="15.5546875" style="249" customWidth="1"/>
    <col min="30" max="30" width="10.88671875" style="249" customWidth="1"/>
    <col min="31" max="31" width="5.88671875" style="249" customWidth="1"/>
    <col min="32" max="34" width="6.109375" style="249" customWidth="1"/>
    <col min="35" max="35" width="6.33203125" style="249" customWidth="1"/>
    <col min="36" max="36" width="5.6640625" style="249" customWidth="1"/>
    <col min="37" max="37" width="6.33203125" style="249" customWidth="1"/>
    <col min="38" max="38" width="12.5546875" style="249" customWidth="1"/>
    <col min="39" max="39" width="17.5546875" style="249" hidden="1" customWidth="1"/>
    <col min="40" max="40" width="9.6640625" style="249" customWidth="1"/>
    <col min="41" max="16384" width="11.44140625" style="185"/>
  </cols>
  <sheetData>
    <row r="1" spans="1:41" x14ac:dyDescent="0.3">
      <c r="AD1" s="22" t="s">
        <v>353</v>
      </c>
      <c r="AI1" s="249">
        <v>0</v>
      </c>
      <c r="AM1" s="241"/>
      <c r="AN1" s="241"/>
      <c r="AO1" s="188"/>
    </row>
    <row r="2" spans="1:41" s="187" customFormat="1" ht="65.25" customHeight="1" x14ac:dyDescent="0.3">
      <c r="A2" s="187" t="s">
        <v>1935</v>
      </c>
      <c r="B2" s="250" t="s">
        <v>1099</v>
      </c>
      <c r="C2" s="250" t="s">
        <v>1614</v>
      </c>
      <c r="D2" s="250" t="s">
        <v>1840</v>
      </c>
      <c r="E2" s="251" t="s">
        <v>1608</v>
      </c>
      <c r="F2" s="251" t="s">
        <v>1605</v>
      </c>
      <c r="G2" s="251" t="s">
        <v>1606</v>
      </c>
      <c r="H2" s="251" t="s">
        <v>1607</v>
      </c>
      <c r="I2" s="251" t="s">
        <v>1934</v>
      </c>
      <c r="J2" s="251" t="s">
        <v>1931</v>
      </c>
      <c r="K2" s="251" t="s">
        <v>1932</v>
      </c>
      <c r="L2" s="251" t="s">
        <v>1933</v>
      </c>
      <c r="M2" s="251"/>
      <c r="N2" s="251" t="s">
        <v>1934</v>
      </c>
      <c r="O2" s="251" t="s">
        <v>1931</v>
      </c>
      <c r="P2" s="251" t="s">
        <v>1932</v>
      </c>
      <c r="Q2" s="251" t="s">
        <v>1933</v>
      </c>
      <c r="R2" s="251" t="s">
        <v>1959</v>
      </c>
      <c r="S2" s="251" t="s">
        <v>1609</v>
      </c>
      <c r="T2" s="252" t="s">
        <v>1610</v>
      </c>
      <c r="U2" s="253" t="s">
        <v>302</v>
      </c>
      <c r="V2" s="253" t="s">
        <v>515</v>
      </c>
      <c r="W2" s="253" t="s">
        <v>1962</v>
      </c>
      <c r="X2" s="254" t="s">
        <v>516</v>
      </c>
      <c r="Y2" s="254" t="s">
        <v>513</v>
      </c>
      <c r="Z2" s="254" t="s">
        <v>517</v>
      </c>
      <c r="AA2" s="254" t="s">
        <v>1580</v>
      </c>
      <c r="AB2" s="254" t="s">
        <v>1936</v>
      </c>
      <c r="AC2" s="255" t="s">
        <v>695</v>
      </c>
      <c r="AD2" s="256" t="s">
        <v>418</v>
      </c>
      <c r="AE2" s="256" t="s">
        <v>420</v>
      </c>
      <c r="AF2" s="256" t="s">
        <v>448</v>
      </c>
      <c r="AG2" s="256" t="s">
        <v>392</v>
      </c>
      <c r="AH2" s="256" t="s">
        <v>450</v>
      </c>
      <c r="AI2" s="256" t="s">
        <v>85</v>
      </c>
      <c r="AJ2" s="256" t="s">
        <v>419</v>
      </c>
      <c r="AK2" s="256" t="s">
        <v>492</v>
      </c>
      <c r="AL2" s="257" t="s">
        <v>137</v>
      </c>
      <c r="AM2" s="258" t="s">
        <v>514</v>
      </c>
      <c r="AN2" s="258" t="s">
        <v>1960</v>
      </c>
    </row>
    <row r="3" spans="1:41" s="188" customFormat="1" ht="16.5" customHeight="1" x14ac:dyDescent="0.3">
      <c r="A3" s="185"/>
      <c r="B3" s="326"/>
      <c r="C3" s="247"/>
      <c r="D3" s="200"/>
      <c r="E3" s="267"/>
      <c r="F3" s="267"/>
      <c r="G3" s="196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87"/>
      <c r="T3" s="287"/>
      <c r="U3" s="272"/>
      <c r="V3" s="272"/>
      <c r="W3" s="272"/>
      <c r="X3" s="276"/>
      <c r="Y3" s="277"/>
      <c r="Z3" s="245"/>
      <c r="AA3" s="311">
        <f t="shared" ref="AA3:AA4" si="0">IF(YEAR(Z3)&gt;2000,YEAR(Z3),YEAR(Y3))</f>
        <v>1900</v>
      </c>
      <c r="AB3" s="311">
        <f t="shared" ref="AB3:AB4" si="1">MONTH(Z3)</f>
        <v>1</v>
      </c>
      <c r="AC3" s="243" t="s">
        <v>1927</v>
      </c>
      <c r="AD3" s="344"/>
      <c r="AE3" s="345"/>
      <c r="AF3" s="345"/>
      <c r="AG3" s="345"/>
      <c r="AH3" s="345"/>
      <c r="AI3" s="345"/>
      <c r="AJ3" s="345"/>
      <c r="AK3" s="345"/>
      <c r="AL3" s="244"/>
      <c r="AM3" s="241"/>
      <c r="AN3" s="242"/>
    </row>
    <row r="4" spans="1:41" ht="16.5" customHeight="1" x14ac:dyDescent="0.3">
      <c r="B4" s="326"/>
      <c r="C4" s="247"/>
      <c r="D4" s="200"/>
      <c r="E4" s="267"/>
      <c r="F4" s="267"/>
      <c r="G4" s="196"/>
      <c r="H4" s="248"/>
      <c r="I4" s="248"/>
      <c r="J4" s="248"/>
      <c r="K4" s="248"/>
      <c r="L4" s="248"/>
      <c r="M4" s="248"/>
      <c r="N4" s="248">
        <v>0.125</v>
      </c>
      <c r="O4" s="248">
        <v>0.25</v>
      </c>
      <c r="P4" s="248">
        <v>0.15</v>
      </c>
      <c r="Q4" s="248">
        <v>0.125</v>
      </c>
      <c r="R4" s="248" t="s">
        <v>1958</v>
      </c>
      <c r="S4" s="287"/>
      <c r="T4" s="287"/>
      <c r="U4" s="272"/>
      <c r="V4" s="272"/>
      <c r="W4" s="272"/>
      <c r="X4" s="276"/>
      <c r="Y4" s="277"/>
      <c r="Z4" s="245"/>
      <c r="AA4" s="311">
        <f t="shared" si="0"/>
        <v>1900</v>
      </c>
      <c r="AB4" s="311">
        <f t="shared" si="1"/>
        <v>1</v>
      </c>
      <c r="AC4" s="243" t="s">
        <v>1927</v>
      </c>
      <c r="AD4" s="344"/>
      <c r="AE4" s="345"/>
      <c r="AF4" s="345"/>
      <c r="AG4" s="345"/>
      <c r="AH4" s="345"/>
      <c r="AI4" s="345"/>
      <c r="AJ4" s="345"/>
      <c r="AK4" s="345"/>
      <c r="AL4" s="244"/>
      <c r="AM4" s="241"/>
      <c r="AN4" s="242"/>
    </row>
    <row r="5" spans="1:41" ht="16.5" customHeight="1" x14ac:dyDescent="0.3">
      <c r="A5" s="185" t="str">
        <f>+A2</f>
        <v>It</v>
      </c>
      <c r="B5" s="185" t="str">
        <f t="shared" ref="B5:AN5" si="2">+B2</f>
        <v xml:space="preserve">     OP
Click para ver</v>
      </c>
      <c r="C5" s="185" t="str">
        <f t="shared" si="2"/>
        <v>CLIENTE</v>
      </c>
      <c r="D5" s="185" t="str">
        <f t="shared" si="2"/>
        <v>Tipo Producto</v>
      </c>
      <c r="E5" s="185" t="str">
        <f t="shared" si="2"/>
        <v>FICHA TECNICA</v>
      </c>
      <c r="F5" s="185" t="str">
        <f t="shared" si="2"/>
        <v>OS CORTE</v>
      </c>
      <c r="G5" s="185" t="str">
        <f t="shared" si="2"/>
        <v>OS BORDADO</v>
      </c>
      <c r="H5" s="185" t="str">
        <f t="shared" si="2"/>
        <v>OS CONFECCION</v>
      </c>
      <c r="I5" s="185" t="str">
        <f t="shared" si="2"/>
        <v>Cte</v>
      </c>
      <c r="J5" s="185" t="str">
        <f t="shared" si="2"/>
        <v>Conf</v>
      </c>
      <c r="K5" s="185" t="str">
        <f t="shared" si="2"/>
        <v>Bord/Est</v>
      </c>
      <c r="L5" s="185" t="str">
        <f t="shared" si="2"/>
        <v>Acab</v>
      </c>
      <c r="M5" s="362" t="s">
        <v>1961</v>
      </c>
      <c r="N5" s="185" t="str">
        <f t="shared" si="2"/>
        <v>Cte</v>
      </c>
      <c r="O5" s="185" t="str">
        <f t="shared" si="2"/>
        <v>Conf</v>
      </c>
      <c r="P5" s="185" t="str">
        <f t="shared" si="2"/>
        <v>Bord/Est</v>
      </c>
      <c r="Q5" s="185" t="str">
        <f t="shared" si="2"/>
        <v>Acab</v>
      </c>
      <c r="R5" s="185" t="str">
        <f t="shared" si="2"/>
        <v>Tot Min</v>
      </c>
      <c r="S5" s="185" t="str">
        <f t="shared" si="2"/>
        <v>MODELO (ORDEN)</v>
      </c>
      <c r="T5" s="185" t="str">
        <f t="shared" si="2"/>
        <v xml:space="preserve">    DESCRPPCION DEL MODELO</v>
      </c>
      <c r="U5" s="185" t="str">
        <f t="shared" si="2"/>
        <v>CANT. OP</v>
      </c>
      <c r="V5" s="185" t="str">
        <f t="shared" si="2"/>
        <v>CANT. CORTADA</v>
      </c>
      <c r="W5" s="362" t="s">
        <v>1962</v>
      </c>
      <c r="X5" s="185" t="str">
        <f t="shared" si="2"/>
        <v>FECHA DE PEDIDO</v>
      </c>
      <c r="Y5" s="185" t="str">
        <f t="shared" si="2"/>
        <v>FECHA DE DESPACHO</v>
      </c>
      <c r="Z5" s="185" t="str">
        <f t="shared" si="2"/>
        <v>FECHA DESPACHO MODIFICADA</v>
      </c>
      <c r="AA5" s="185" t="str">
        <f t="shared" si="2"/>
        <v>AÑO</v>
      </c>
      <c r="AB5" s="185" t="str">
        <f t="shared" si="2"/>
        <v>MES</v>
      </c>
      <c r="AC5" s="185" t="str">
        <f t="shared" si="2"/>
        <v xml:space="preserve">ESTADO   </v>
      </c>
      <c r="AD5" s="185" t="str">
        <f t="shared" si="2"/>
        <v>TELA</v>
      </c>
      <c r="AE5" s="185" t="str">
        <f t="shared" si="2"/>
        <v>TRICOT</v>
      </c>
      <c r="AF5" s="185" t="str">
        <f t="shared" si="2"/>
        <v>TIZADO</v>
      </c>
      <c r="AG5" s="185" t="str">
        <f t="shared" si="2"/>
        <v>CORTE</v>
      </c>
      <c r="AH5" s="185" t="str">
        <f t="shared" si="2"/>
        <v>FUSIONADO</v>
      </c>
      <c r="AI5" s="185" t="str">
        <f t="shared" si="2"/>
        <v>BORDADO</v>
      </c>
      <c r="AJ5" s="185" t="str">
        <f t="shared" si="2"/>
        <v>BOTONES</v>
      </c>
      <c r="AK5" s="185" t="str">
        <f t="shared" si="2"/>
        <v>PUNTILLAS/BLONDA</v>
      </c>
      <c r="AL5" s="185" t="str">
        <f t="shared" si="2"/>
        <v>TALLER</v>
      </c>
      <c r="AM5" s="185" t="str">
        <f t="shared" si="2"/>
        <v>FECHA DE DESPACHO REAL</v>
      </c>
      <c r="AN5" s="185" t="str">
        <f t="shared" si="2"/>
        <v>BORD</v>
      </c>
    </row>
    <row r="6" spans="1:41" x14ac:dyDescent="0.3">
      <c r="A6" s="185">
        <v>20</v>
      </c>
      <c r="B6" s="212" t="s">
        <v>784</v>
      </c>
      <c r="C6" s="212" t="s">
        <v>1616</v>
      </c>
      <c r="D6" s="335" t="s">
        <v>1848</v>
      </c>
      <c r="E6" s="212"/>
      <c r="F6" s="212" t="s">
        <v>1597</v>
      </c>
      <c r="G6" s="212" t="s">
        <v>1941</v>
      </c>
      <c r="H6" s="212"/>
      <c r="I6" s="212">
        <v>2</v>
      </c>
      <c r="J6" s="357">
        <v>9</v>
      </c>
      <c r="K6" s="212">
        <v>9</v>
      </c>
      <c r="L6" s="212">
        <v>1</v>
      </c>
      <c r="M6" s="212">
        <f>SUM((I6:L6))</f>
        <v>21</v>
      </c>
      <c r="N6" s="212">
        <f>+I6/0.125</f>
        <v>16</v>
      </c>
      <c r="O6" s="212">
        <f>+J6/0.25</f>
        <v>36</v>
      </c>
      <c r="P6" s="212">
        <f>+K6/0.15</f>
        <v>60</v>
      </c>
      <c r="Q6" s="212">
        <f>+L6/0.125</f>
        <v>8</v>
      </c>
      <c r="R6" s="212">
        <f>SUM(N6:Q6)</f>
        <v>120</v>
      </c>
      <c r="S6" s="202" t="s">
        <v>699</v>
      </c>
      <c r="T6" s="203" t="s">
        <v>701</v>
      </c>
      <c r="U6" s="202">
        <v>110</v>
      </c>
      <c r="V6" s="202">
        <v>115</v>
      </c>
      <c r="W6" s="202">
        <v>115</v>
      </c>
      <c r="X6" s="367">
        <v>43753</v>
      </c>
      <c r="Y6" s="205">
        <v>43836</v>
      </c>
      <c r="Z6" s="205">
        <v>43861</v>
      </c>
      <c r="AA6" s="273">
        <f t="shared" ref="AA6:AA69" si="3">IF(YEAR(Z6)&gt;2000,YEAR(Z6),YEAR(Y6))</f>
        <v>2020</v>
      </c>
      <c r="AB6" s="273">
        <f t="shared" ref="AB6:AB69" si="4">MONTH(Z6)</f>
        <v>1</v>
      </c>
      <c r="AC6" s="211" t="s">
        <v>920</v>
      </c>
      <c r="AD6" s="211" t="s">
        <v>422</v>
      </c>
      <c r="AE6" s="211" t="s">
        <v>422</v>
      </c>
      <c r="AF6" s="211" t="s">
        <v>422</v>
      </c>
      <c r="AG6" s="207" t="s">
        <v>422</v>
      </c>
      <c r="AH6" s="346" t="s">
        <v>422</v>
      </c>
      <c r="AI6" s="211" t="s">
        <v>422</v>
      </c>
      <c r="AJ6" s="211" t="s">
        <v>423</v>
      </c>
      <c r="AK6" s="211" t="s">
        <v>423</v>
      </c>
      <c r="AL6" s="222" t="s">
        <v>108</v>
      </c>
      <c r="AM6" s="209"/>
      <c r="AN6" s="220" t="s">
        <v>805</v>
      </c>
    </row>
    <row r="7" spans="1:41" x14ac:dyDescent="0.3">
      <c r="A7" s="185">
        <v>21</v>
      </c>
      <c r="B7" s="212" t="s">
        <v>785</v>
      </c>
      <c r="C7" s="212" t="s">
        <v>1616</v>
      </c>
      <c r="D7" s="335" t="s">
        <v>1848</v>
      </c>
      <c r="E7" s="212"/>
      <c r="F7" s="212" t="s">
        <v>1597</v>
      </c>
      <c r="G7" s="212" t="s">
        <v>1941</v>
      </c>
      <c r="H7" s="212"/>
      <c r="I7" s="212">
        <v>2</v>
      </c>
      <c r="J7" s="357">
        <v>9</v>
      </c>
      <c r="K7" s="212">
        <v>16</v>
      </c>
      <c r="L7" s="212">
        <v>1</v>
      </c>
      <c r="M7" s="212">
        <f t="shared" ref="M7:M69" si="5">SUM((I7:L7))</f>
        <v>28</v>
      </c>
      <c r="N7" s="212">
        <f t="shared" ref="N7:N69" si="6">+I7/0.125</f>
        <v>16</v>
      </c>
      <c r="O7" s="212">
        <f t="shared" ref="O7:O69" si="7">+J7/0.25</f>
        <v>36</v>
      </c>
      <c r="P7" s="212">
        <f t="shared" ref="P7:P69" si="8">+K7/0.15</f>
        <v>106.66666666666667</v>
      </c>
      <c r="Q7" s="212">
        <f t="shared" ref="Q7:Q69" si="9">+L7/0.125</f>
        <v>8</v>
      </c>
      <c r="R7" s="212">
        <f t="shared" ref="R7:R69" si="10">SUM(N7:Q7)</f>
        <v>166.66666666666669</v>
      </c>
      <c r="S7" s="202" t="s">
        <v>700</v>
      </c>
      <c r="T7" s="203" t="s">
        <v>783</v>
      </c>
      <c r="U7" s="202">
        <v>104</v>
      </c>
      <c r="V7" s="202">
        <v>109</v>
      </c>
      <c r="W7" s="202">
        <v>109</v>
      </c>
      <c r="X7" s="367">
        <v>43753</v>
      </c>
      <c r="Y7" s="205">
        <v>43836</v>
      </c>
      <c r="Z7" s="205">
        <v>43861</v>
      </c>
      <c r="AA7" s="273">
        <f t="shared" si="3"/>
        <v>2020</v>
      </c>
      <c r="AB7" s="273">
        <f t="shared" si="4"/>
        <v>1</v>
      </c>
      <c r="AC7" s="211" t="s">
        <v>920</v>
      </c>
      <c r="AD7" s="211" t="s">
        <v>422</v>
      </c>
      <c r="AE7" s="211" t="s">
        <v>422</v>
      </c>
      <c r="AF7" s="211" t="s">
        <v>422</v>
      </c>
      <c r="AG7" s="207" t="s">
        <v>422</v>
      </c>
      <c r="AH7" s="346" t="s">
        <v>422</v>
      </c>
      <c r="AI7" s="211" t="s">
        <v>422</v>
      </c>
      <c r="AJ7" s="211" t="s">
        <v>423</v>
      </c>
      <c r="AK7" s="211" t="s">
        <v>423</v>
      </c>
      <c r="AL7" s="222" t="s">
        <v>108</v>
      </c>
      <c r="AM7" s="209"/>
      <c r="AN7" s="220"/>
    </row>
    <row r="8" spans="1:41" x14ac:dyDescent="0.3">
      <c r="A8" s="185">
        <v>22</v>
      </c>
      <c r="B8" s="212" t="s">
        <v>786</v>
      </c>
      <c r="C8" s="212" t="s">
        <v>1616</v>
      </c>
      <c r="D8" s="335" t="s">
        <v>1848</v>
      </c>
      <c r="E8" s="212"/>
      <c r="F8" s="212"/>
      <c r="G8" s="212" t="s">
        <v>1941</v>
      </c>
      <c r="H8" s="212" t="s">
        <v>1040</v>
      </c>
      <c r="I8" s="212">
        <v>2</v>
      </c>
      <c r="J8" s="212">
        <v>8</v>
      </c>
      <c r="K8" s="212">
        <v>16</v>
      </c>
      <c r="L8" s="212">
        <v>1</v>
      </c>
      <c r="M8" s="212">
        <f t="shared" si="5"/>
        <v>27</v>
      </c>
      <c r="N8" s="212">
        <f t="shared" si="6"/>
        <v>16</v>
      </c>
      <c r="O8" s="212">
        <f t="shared" si="7"/>
        <v>32</v>
      </c>
      <c r="P8" s="212">
        <f t="shared" si="8"/>
        <v>106.66666666666667</v>
      </c>
      <c r="Q8" s="212">
        <f t="shared" si="9"/>
        <v>8</v>
      </c>
      <c r="R8" s="212">
        <f t="shared" si="10"/>
        <v>162.66666666666669</v>
      </c>
      <c r="S8" s="202" t="s">
        <v>702</v>
      </c>
      <c r="T8" s="203" t="s">
        <v>703</v>
      </c>
      <c r="U8" s="202">
        <v>66</v>
      </c>
      <c r="V8" s="202">
        <v>71</v>
      </c>
      <c r="W8" s="202">
        <v>71</v>
      </c>
      <c r="X8" s="367">
        <v>43753</v>
      </c>
      <c r="Y8" s="205">
        <v>43836</v>
      </c>
      <c r="Z8" s="205">
        <v>43861</v>
      </c>
      <c r="AA8" s="273">
        <f t="shared" si="3"/>
        <v>2020</v>
      </c>
      <c r="AB8" s="273">
        <f t="shared" si="4"/>
        <v>1</v>
      </c>
      <c r="AC8" s="211" t="s">
        <v>920</v>
      </c>
      <c r="AD8" s="211" t="s">
        <v>422</v>
      </c>
      <c r="AE8" s="211" t="s">
        <v>422</v>
      </c>
      <c r="AF8" s="211" t="s">
        <v>422</v>
      </c>
      <c r="AG8" s="207" t="s">
        <v>422</v>
      </c>
      <c r="AH8" s="346" t="s">
        <v>422</v>
      </c>
      <c r="AI8" s="211" t="s">
        <v>422</v>
      </c>
      <c r="AJ8" s="211" t="s">
        <v>423</v>
      </c>
      <c r="AK8" s="211" t="s">
        <v>423</v>
      </c>
      <c r="AL8" s="222" t="s">
        <v>254</v>
      </c>
      <c r="AM8" s="209"/>
      <c r="AN8" s="220"/>
    </row>
    <row r="9" spans="1:41" x14ac:dyDescent="0.3">
      <c r="A9" s="185">
        <v>23</v>
      </c>
      <c r="B9" s="212" t="s">
        <v>787</v>
      </c>
      <c r="C9" s="212" t="s">
        <v>1616</v>
      </c>
      <c r="D9" s="335" t="s">
        <v>1848</v>
      </c>
      <c r="E9" s="212"/>
      <c r="F9" s="212" t="s">
        <v>1597</v>
      </c>
      <c r="G9" s="212" t="s">
        <v>1941</v>
      </c>
      <c r="H9" s="212" t="s">
        <v>1040</v>
      </c>
      <c r="I9" s="212">
        <v>2</v>
      </c>
      <c r="J9" s="212">
        <v>8</v>
      </c>
      <c r="K9" s="212">
        <v>8.5</v>
      </c>
      <c r="L9" s="212">
        <v>1</v>
      </c>
      <c r="M9" s="212">
        <f t="shared" si="5"/>
        <v>19.5</v>
      </c>
      <c r="N9" s="212">
        <f t="shared" si="6"/>
        <v>16</v>
      </c>
      <c r="O9" s="212">
        <f t="shared" si="7"/>
        <v>32</v>
      </c>
      <c r="P9" s="212">
        <f t="shared" si="8"/>
        <v>56.666666666666671</v>
      </c>
      <c r="Q9" s="212">
        <f t="shared" si="9"/>
        <v>8</v>
      </c>
      <c r="R9" s="212">
        <f t="shared" si="10"/>
        <v>112.66666666666667</v>
      </c>
      <c r="S9" s="202" t="s">
        <v>704</v>
      </c>
      <c r="T9" s="203" t="s">
        <v>705</v>
      </c>
      <c r="U9" s="202">
        <v>80</v>
      </c>
      <c r="V9" s="202">
        <v>83</v>
      </c>
      <c r="W9" s="202">
        <v>83</v>
      </c>
      <c r="X9" s="367">
        <v>43753</v>
      </c>
      <c r="Y9" s="205">
        <v>43836</v>
      </c>
      <c r="Z9" s="205">
        <v>43861</v>
      </c>
      <c r="AA9" s="273">
        <f t="shared" si="3"/>
        <v>2020</v>
      </c>
      <c r="AB9" s="273">
        <f t="shared" si="4"/>
        <v>1</v>
      </c>
      <c r="AC9" s="211" t="s">
        <v>920</v>
      </c>
      <c r="AD9" s="211" t="s">
        <v>422</v>
      </c>
      <c r="AE9" s="211" t="s">
        <v>422</v>
      </c>
      <c r="AF9" s="211" t="s">
        <v>422</v>
      </c>
      <c r="AG9" s="207" t="s">
        <v>422</v>
      </c>
      <c r="AH9" s="346" t="s">
        <v>422</v>
      </c>
      <c r="AI9" s="211" t="s">
        <v>422</v>
      </c>
      <c r="AJ9" s="211" t="s">
        <v>423</v>
      </c>
      <c r="AK9" s="211" t="s">
        <v>423</v>
      </c>
      <c r="AL9" s="222" t="s">
        <v>1198</v>
      </c>
      <c r="AM9" s="209"/>
      <c r="AN9" s="220"/>
    </row>
    <row r="10" spans="1:41" x14ac:dyDescent="0.3">
      <c r="A10" s="185">
        <v>24</v>
      </c>
      <c r="B10" s="212" t="s">
        <v>788</v>
      </c>
      <c r="C10" s="212" t="s">
        <v>1616</v>
      </c>
      <c r="D10" s="335" t="s">
        <v>1848</v>
      </c>
      <c r="E10" s="212"/>
      <c r="F10" s="212"/>
      <c r="G10" s="212" t="s">
        <v>1940</v>
      </c>
      <c r="H10" s="212" t="s">
        <v>1948</v>
      </c>
      <c r="I10" s="212">
        <v>2</v>
      </c>
      <c r="J10" s="212">
        <v>9</v>
      </c>
      <c r="K10" s="212">
        <v>9</v>
      </c>
      <c r="L10" s="212">
        <v>1</v>
      </c>
      <c r="M10" s="212">
        <f t="shared" si="5"/>
        <v>21</v>
      </c>
      <c r="N10" s="212">
        <f t="shared" si="6"/>
        <v>16</v>
      </c>
      <c r="O10" s="212">
        <f t="shared" si="7"/>
        <v>36</v>
      </c>
      <c r="P10" s="212">
        <f t="shared" si="8"/>
        <v>60</v>
      </c>
      <c r="Q10" s="212">
        <f t="shared" si="9"/>
        <v>8</v>
      </c>
      <c r="R10" s="212">
        <f t="shared" si="10"/>
        <v>120</v>
      </c>
      <c r="S10" s="202" t="s">
        <v>706</v>
      </c>
      <c r="T10" s="203" t="s">
        <v>707</v>
      </c>
      <c r="U10" s="202">
        <v>106</v>
      </c>
      <c r="V10" s="202">
        <v>111</v>
      </c>
      <c r="W10" s="202">
        <v>111</v>
      </c>
      <c r="X10" s="367">
        <v>43753</v>
      </c>
      <c r="Y10" s="205">
        <v>43836</v>
      </c>
      <c r="Z10" s="205">
        <v>43861</v>
      </c>
      <c r="AA10" s="273">
        <f t="shared" si="3"/>
        <v>2020</v>
      </c>
      <c r="AB10" s="273">
        <f t="shared" si="4"/>
        <v>1</v>
      </c>
      <c r="AC10" s="211" t="s">
        <v>920</v>
      </c>
      <c r="AD10" s="211" t="s">
        <v>422</v>
      </c>
      <c r="AE10" s="211" t="s">
        <v>422</v>
      </c>
      <c r="AF10" s="211" t="s">
        <v>422</v>
      </c>
      <c r="AG10" s="207" t="s">
        <v>422</v>
      </c>
      <c r="AH10" s="346" t="s">
        <v>422</v>
      </c>
      <c r="AI10" s="211" t="s">
        <v>422</v>
      </c>
      <c r="AJ10" s="211" t="s">
        <v>423</v>
      </c>
      <c r="AK10" s="211" t="s">
        <v>423</v>
      </c>
      <c r="AL10" s="222" t="s">
        <v>772</v>
      </c>
      <c r="AM10" s="209"/>
      <c r="AN10" s="209"/>
    </row>
    <row r="11" spans="1:41" x14ac:dyDescent="0.3">
      <c r="A11" s="185">
        <v>25</v>
      </c>
      <c r="B11" s="212" t="s">
        <v>789</v>
      </c>
      <c r="C11" s="212" t="s">
        <v>1616</v>
      </c>
      <c r="D11" s="335" t="s">
        <v>1848</v>
      </c>
      <c r="E11" s="212"/>
      <c r="F11" s="212"/>
      <c r="G11" s="212" t="s">
        <v>1940</v>
      </c>
      <c r="H11" s="212" t="s">
        <v>1948</v>
      </c>
      <c r="I11" s="212">
        <v>2</v>
      </c>
      <c r="J11" s="212">
        <v>8.5</v>
      </c>
      <c r="K11" s="212">
        <v>9</v>
      </c>
      <c r="L11" s="212">
        <v>1</v>
      </c>
      <c r="M11" s="212">
        <f t="shared" si="5"/>
        <v>20.5</v>
      </c>
      <c r="N11" s="212">
        <f t="shared" si="6"/>
        <v>16</v>
      </c>
      <c r="O11" s="212">
        <f t="shared" si="7"/>
        <v>34</v>
      </c>
      <c r="P11" s="212">
        <f t="shared" si="8"/>
        <v>60</v>
      </c>
      <c r="Q11" s="212">
        <f t="shared" si="9"/>
        <v>8</v>
      </c>
      <c r="R11" s="212">
        <f t="shared" si="10"/>
        <v>118</v>
      </c>
      <c r="S11" s="202" t="s">
        <v>708</v>
      </c>
      <c r="T11" s="203" t="s">
        <v>709</v>
      </c>
      <c r="U11" s="202">
        <v>42</v>
      </c>
      <c r="V11" s="202">
        <v>47</v>
      </c>
      <c r="W11" s="202">
        <v>47</v>
      </c>
      <c r="X11" s="367">
        <v>43753</v>
      </c>
      <c r="Y11" s="205">
        <v>43836</v>
      </c>
      <c r="Z11" s="205">
        <v>43861</v>
      </c>
      <c r="AA11" s="273">
        <f t="shared" si="3"/>
        <v>2020</v>
      </c>
      <c r="AB11" s="273">
        <f t="shared" si="4"/>
        <v>1</v>
      </c>
      <c r="AC11" s="211" t="s">
        <v>920</v>
      </c>
      <c r="AD11" s="211" t="s">
        <v>422</v>
      </c>
      <c r="AE11" s="211" t="s">
        <v>422</v>
      </c>
      <c r="AF11" s="211" t="s">
        <v>422</v>
      </c>
      <c r="AG11" s="207" t="s">
        <v>422</v>
      </c>
      <c r="AH11" s="346" t="s">
        <v>422</v>
      </c>
      <c r="AI11" s="211" t="s">
        <v>422</v>
      </c>
      <c r="AJ11" s="211" t="s">
        <v>423</v>
      </c>
      <c r="AK11" s="211" t="s">
        <v>423</v>
      </c>
      <c r="AL11" s="222" t="s">
        <v>772</v>
      </c>
      <c r="AM11" s="209"/>
      <c r="AN11" s="209"/>
    </row>
    <row r="12" spans="1:41" x14ac:dyDescent="0.3">
      <c r="A12" s="185">
        <v>26</v>
      </c>
      <c r="B12" s="212" t="s">
        <v>790</v>
      </c>
      <c r="C12" s="212" t="s">
        <v>1616</v>
      </c>
      <c r="D12" s="335" t="s">
        <v>1848</v>
      </c>
      <c r="E12" s="212"/>
      <c r="F12" s="212" t="s">
        <v>1597</v>
      </c>
      <c r="G12" s="212" t="s">
        <v>1940</v>
      </c>
      <c r="H12" s="212"/>
      <c r="I12" s="212">
        <v>2</v>
      </c>
      <c r="J12" s="357">
        <v>10</v>
      </c>
      <c r="K12" s="212">
        <v>9</v>
      </c>
      <c r="L12" s="212">
        <v>1</v>
      </c>
      <c r="M12" s="212">
        <f t="shared" si="5"/>
        <v>22</v>
      </c>
      <c r="N12" s="212">
        <f t="shared" si="6"/>
        <v>16</v>
      </c>
      <c r="O12" s="212">
        <f t="shared" si="7"/>
        <v>40</v>
      </c>
      <c r="P12" s="212">
        <f t="shared" si="8"/>
        <v>60</v>
      </c>
      <c r="Q12" s="212">
        <f t="shared" si="9"/>
        <v>8</v>
      </c>
      <c r="R12" s="212">
        <f t="shared" si="10"/>
        <v>124</v>
      </c>
      <c r="S12" s="202" t="s">
        <v>710</v>
      </c>
      <c r="T12" s="203" t="s">
        <v>711</v>
      </c>
      <c r="U12" s="202">
        <v>90</v>
      </c>
      <c r="V12" s="202">
        <v>95</v>
      </c>
      <c r="W12" s="202">
        <v>95</v>
      </c>
      <c r="X12" s="367">
        <v>43753</v>
      </c>
      <c r="Y12" s="205">
        <v>43836</v>
      </c>
      <c r="Z12" s="205">
        <v>43861</v>
      </c>
      <c r="AA12" s="273">
        <f t="shared" si="3"/>
        <v>2020</v>
      </c>
      <c r="AB12" s="273">
        <f t="shared" si="4"/>
        <v>1</v>
      </c>
      <c r="AC12" s="211" t="s">
        <v>920</v>
      </c>
      <c r="AD12" s="211" t="s">
        <v>422</v>
      </c>
      <c r="AE12" s="211" t="s">
        <v>422</v>
      </c>
      <c r="AF12" s="211" t="s">
        <v>422</v>
      </c>
      <c r="AG12" s="207" t="s">
        <v>422</v>
      </c>
      <c r="AH12" s="346" t="s">
        <v>422</v>
      </c>
      <c r="AI12" s="211" t="s">
        <v>422</v>
      </c>
      <c r="AJ12" s="211" t="s">
        <v>423</v>
      </c>
      <c r="AK12" s="211" t="s">
        <v>423</v>
      </c>
      <c r="AL12" s="222" t="s">
        <v>108</v>
      </c>
      <c r="AM12" s="209"/>
      <c r="AN12" s="209"/>
    </row>
    <row r="13" spans="1:41" x14ac:dyDescent="0.3">
      <c r="A13" s="185">
        <v>27</v>
      </c>
      <c r="B13" s="212" t="s">
        <v>791</v>
      </c>
      <c r="C13" s="212" t="s">
        <v>1616</v>
      </c>
      <c r="D13" s="335" t="s">
        <v>1848</v>
      </c>
      <c r="E13" s="212"/>
      <c r="F13" s="212"/>
      <c r="G13" s="212" t="s">
        <v>1940</v>
      </c>
      <c r="H13" s="212" t="s">
        <v>1948</v>
      </c>
      <c r="I13" s="212">
        <v>2</v>
      </c>
      <c r="J13" s="212">
        <v>7.5</v>
      </c>
      <c r="K13" s="212">
        <v>9</v>
      </c>
      <c r="L13" s="212">
        <v>1</v>
      </c>
      <c r="M13" s="212">
        <f t="shared" si="5"/>
        <v>19.5</v>
      </c>
      <c r="N13" s="212">
        <f t="shared" si="6"/>
        <v>16</v>
      </c>
      <c r="O13" s="212">
        <f t="shared" si="7"/>
        <v>30</v>
      </c>
      <c r="P13" s="212">
        <f t="shared" si="8"/>
        <v>60</v>
      </c>
      <c r="Q13" s="212">
        <f t="shared" si="9"/>
        <v>8</v>
      </c>
      <c r="R13" s="212">
        <f t="shared" si="10"/>
        <v>114</v>
      </c>
      <c r="S13" s="202" t="s">
        <v>712</v>
      </c>
      <c r="T13" s="203" t="s">
        <v>713</v>
      </c>
      <c r="U13" s="202">
        <v>54</v>
      </c>
      <c r="V13" s="202">
        <v>57</v>
      </c>
      <c r="W13" s="202">
        <v>57</v>
      </c>
      <c r="X13" s="367">
        <v>43753</v>
      </c>
      <c r="Y13" s="205">
        <v>43836</v>
      </c>
      <c r="Z13" s="205">
        <v>43861</v>
      </c>
      <c r="AA13" s="273">
        <f t="shared" si="3"/>
        <v>2020</v>
      </c>
      <c r="AB13" s="273">
        <f t="shared" si="4"/>
        <v>1</v>
      </c>
      <c r="AC13" s="211" t="s">
        <v>920</v>
      </c>
      <c r="AD13" s="211" t="s">
        <v>422</v>
      </c>
      <c r="AE13" s="211" t="s">
        <v>422</v>
      </c>
      <c r="AF13" s="211" t="s">
        <v>422</v>
      </c>
      <c r="AG13" s="207" t="s">
        <v>422</v>
      </c>
      <c r="AH13" s="346" t="s">
        <v>422</v>
      </c>
      <c r="AI13" s="211" t="s">
        <v>422</v>
      </c>
      <c r="AJ13" s="211" t="s">
        <v>423</v>
      </c>
      <c r="AK13" s="211" t="s">
        <v>423</v>
      </c>
      <c r="AL13" s="222" t="s">
        <v>772</v>
      </c>
      <c r="AM13" s="209"/>
      <c r="AN13" s="209"/>
    </row>
    <row r="14" spans="1:41" x14ac:dyDescent="0.3">
      <c r="A14" s="185">
        <v>28</v>
      </c>
      <c r="B14" s="212" t="s">
        <v>792</v>
      </c>
      <c r="C14" s="212" t="s">
        <v>1616</v>
      </c>
      <c r="D14" s="335" t="s">
        <v>1848</v>
      </c>
      <c r="E14" s="212"/>
      <c r="F14" s="212"/>
      <c r="G14" s="212" t="s">
        <v>1940</v>
      </c>
      <c r="H14" s="212" t="s">
        <v>1040</v>
      </c>
      <c r="I14" s="212">
        <v>1</v>
      </c>
      <c r="J14" s="212">
        <v>2</v>
      </c>
      <c r="K14" s="212">
        <v>5.5</v>
      </c>
      <c r="L14" s="212">
        <v>0.5</v>
      </c>
      <c r="M14" s="212">
        <f t="shared" si="5"/>
        <v>9</v>
      </c>
      <c r="N14" s="212">
        <f t="shared" si="6"/>
        <v>8</v>
      </c>
      <c r="O14" s="212">
        <f t="shared" si="7"/>
        <v>8</v>
      </c>
      <c r="P14" s="212">
        <f t="shared" si="8"/>
        <v>36.666666666666671</v>
      </c>
      <c r="Q14" s="212">
        <f t="shared" si="9"/>
        <v>4</v>
      </c>
      <c r="R14" s="212">
        <f t="shared" si="10"/>
        <v>56.666666666666671</v>
      </c>
      <c r="S14" s="202" t="s">
        <v>714</v>
      </c>
      <c r="T14" s="203" t="s">
        <v>715</v>
      </c>
      <c r="U14" s="202">
        <v>80</v>
      </c>
      <c r="V14" s="202">
        <v>82</v>
      </c>
      <c r="W14" s="202">
        <v>82</v>
      </c>
      <c r="X14" s="367">
        <v>43753</v>
      </c>
      <c r="Y14" s="205">
        <v>43836</v>
      </c>
      <c r="Z14" s="205">
        <v>43861</v>
      </c>
      <c r="AA14" s="273">
        <f t="shared" si="3"/>
        <v>2020</v>
      </c>
      <c r="AB14" s="273">
        <f t="shared" si="4"/>
        <v>1</v>
      </c>
      <c r="AC14" s="211" t="s">
        <v>920</v>
      </c>
      <c r="AD14" s="211" t="s">
        <v>422</v>
      </c>
      <c r="AE14" s="211" t="s">
        <v>422</v>
      </c>
      <c r="AF14" s="211" t="s">
        <v>422</v>
      </c>
      <c r="AG14" s="211" t="s">
        <v>422</v>
      </c>
      <c r="AH14" s="211" t="s">
        <v>423</v>
      </c>
      <c r="AI14" s="211" t="s">
        <v>422</v>
      </c>
      <c r="AJ14" s="211" t="s">
        <v>423</v>
      </c>
      <c r="AK14" s="211" t="s">
        <v>423</v>
      </c>
      <c r="AL14" s="222" t="s">
        <v>254</v>
      </c>
      <c r="AM14" s="209"/>
      <c r="AN14" s="209"/>
    </row>
    <row r="15" spans="1:41" x14ac:dyDescent="0.3">
      <c r="A15" s="185">
        <v>29</v>
      </c>
      <c r="B15" s="212" t="s">
        <v>793</v>
      </c>
      <c r="C15" s="212" t="s">
        <v>1616</v>
      </c>
      <c r="D15" s="335" t="s">
        <v>1848</v>
      </c>
      <c r="E15" s="212"/>
      <c r="F15" s="212"/>
      <c r="G15" s="212" t="s">
        <v>1940</v>
      </c>
      <c r="H15" s="212" t="s">
        <v>1010</v>
      </c>
      <c r="I15" s="212">
        <v>1</v>
      </c>
      <c r="J15" s="212">
        <v>2.2000000000000002</v>
      </c>
      <c r="K15" s="212">
        <v>5.5</v>
      </c>
      <c r="L15" s="212">
        <v>0.5</v>
      </c>
      <c r="M15" s="212">
        <f t="shared" si="5"/>
        <v>9.1999999999999993</v>
      </c>
      <c r="N15" s="212">
        <f t="shared" si="6"/>
        <v>8</v>
      </c>
      <c r="O15" s="212">
        <f t="shared" si="7"/>
        <v>8.8000000000000007</v>
      </c>
      <c r="P15" s="212">
        <f t="shared" si="8"/>
        <v>36.666666666666671</v>
      </c>
      <c r="Q15" s="212">
        <f t="shared" si="9"/>
        <v>4</v>
      </c>
      <c r="R15" s="212">
        <f t="shared" si="10"/>
        <v>57.466666666666669</v>
      </c>
      <c r="S15" s="202" t="s">
        <v>716</v>
      </c>
      <c r="T15" s="203" t="s">
        <v>717</v>
      </c>
      <c r="U15" s="202">
        <v>76</v>
      </c>
      <c r="V15" s="202">
        <v>80</v>
      </c>
      <c r="W15" s="202">
        <v>80</v>
      </c>
      <c r="X15" s="367">
        <v>43753</v>
      </c>
      <c r="Y15" s="205">
        <v>43836</v>
      </c>
      <c r="Z15" s="205">
        <v>43861</v>
      </c>
      <c r="AA15" s="273">
        <f t="shared" si="3"/>
        <v>2020</v>
      </c>
      <c r="AB15" s="273">
        <f t="shared" si="4"/>
        <v>1</v>
      </c>
      <c r="AC15" s="211" t="s">
        <v>920</v>
      </c>
      <c r="AD15" s="211" t="s">
        <v>422</v>
      </c>
      <c r="AE15" s="211" t="s">
        <v>422</v>
      </c>
      <c r="AF15" s="211" t="s">
        <v>422</v>
      </c>
      <c r="AG15" s="211" t="s">
        <v>422</v>
      </c>
      <c r="AH15" s="211" t="s">
        <v>423</v>
      </c>
      <c r="AI15" s="211" t="s">
        <v>422</v>
      </c>
      <c r="AJ15" s="211" t="s">
        <v>423</v>
      </c>
      <c r="AK15" s="211" t="s">
        <v>423</v>
      </c>
      <c r="AL15" s="222" t="s">
        <v>140</v>
      </c>
      <c r="AM15" s="209"/>
      <c r="AN15" s="209"/>
    </row>
    <row r="16" spans="1:41" x14ac:dyDescent="0.3">
      <c r="A16" s="185">
        <v>30</v>
      </c>
      <c r="B16" s="212" t="s">
        <v>794</v>
      </c>
      <c r="C16" s="212" t="s">
        <v>1616</v>
      </c>
      <c r="D16" s="335" t="s">
        <v>1848</v>
      </c>
      <c r="E16" s="212"/>
      <c r="F16" s="212"/>
      <c r="G16" s="212" t="s">
        <v>1940</v>
      </c>
      <c r="H16" s="212" t="s">
        <v>1040</v>
      </c>
      <c r="I16" s="212">
        <v>2</v>
      </c>
      <c r="J16" s="212">
        <v>4.7</v>
      </c>
      <c r="K16" s="212">
        <v>6</v>
      </c>
      <c r="L16" s="212">
        <v>1</v>
      </c>
      <c r="M16" s="212">
        <f t="shared" si="5"/>
        <v>13.7</v>
      </c>
      <c r="N16" s="212">
        <f t="shared" si="6"/>
        <v>16</v>
      </c>
      <c r="O16" s="212">
        <f t="shared" si="7"/>
        <v>18.8</v>
      </c>
      <c r="P16" s="212">
        <f t="shared" si="8"/>
        <v>40</v>
      </c>
      <c r="Q16" s="212">
        <f t="shared" si="9"/>
        <v>8</v>
      </c>
      <c r="R16" s="212">
        <f t="shared" si="10"/>
        <v>82.8</v>
      </c>
      <c r="S16" s="202" t="s">
        <v>718</v>
      </c>
      <c r="T16" s="203" t="s">
        <v>719</v>
      </c>
      <c r="U16" s="202">
        <v>78</v>
      </c>
      <c r="V16" s="202">
        <v>80</v>
      </c>
      <c r="W16" s="202">
        <v>80</v>
      </c>
      <c r="X16" s="367">
        <v>43753</v>
      </c>
      <c r="Y16" s="205">
        <v>43836</v>
      </c>
      <c r="Z16" s="205">
        <v>43861</v>
      </c>
      <c r="AA16" s="273">
        <f t="shared" si="3"/>
        <v>2020</v>
      </c>
      <c r="AB16" s="273">
        <f t="shared" si="4"/>
        <v>1</v>
      </c>
      <c r="AC16" s="211" t="s">
        <v>920</v>
      </c>
      <c r="AD16" s="211" t="s">
        <v>422</v>
      </c>
      <c r="AE16" s="211" t="s">
        <v>422</v>
      </c>
      <c r="AF16" s="211" t="s">
        <v>422</v>
      </c>
      <c r="AG16" s="211" t="s">
        <v>422</v>
      </c>
      <c r="AH16" s="211" t="s">
        <v>423</v>
      </c>
      <c r="AI16" s="211" t="s">
        <v>422</v>
      </c>
      <c r="AJ16" s="211" t="s">
        <v>423</v>
      </c>
      <c r="AK16" s="211" t="s">
        <v>423</v>
      </c>
      <c r="AL16" s="222" t="s">
        <v>254</v>
      </c>
      <c r="AM16" s="209"/>
      <c r="AN16" s="209"/>
    </row>
    <row r="17" spans="1:40" x14ac:dyDescent="0.3">
      <c r="A17" s="185">
        <v>31</v>
      </c>
      <c r="B17" s="212" t="s">
        <v>795</v>
      </c>
      <c r="C17" s="212" t="s">
        <v>1616</v>
      </c>
      <c r="D17" s="335" t="s">
        <v>1848</v>
      </c>
      <c r="E17" s="212"/>
      <c r="F17" s="212" t="s">
        <v>1597</v>
      </c>
      <c r="G17" s="212" t="s">
        <v>1941</v>
      </c>
      <c r="H17" s="212"/>
      <c r="I17" s="212">
        <v>2</v>
      </c>
      <c r="J17" s="357">
        <v>9</v>
      </c>
      <c r="K17" s="212">
        <v>8.5</v>
      </c>
      <c r="L17" s="212">
        <v>1</v>
      </c>
      <c r="M17" s="212">
        <f t="shared" si="5"/>
        <v>20.5</v>
      </c>
      <c r="N17" s="212">
        <f t="shared" si="6"/>
        <v>16</v>
      </c>
      <c r="O17" s="212">
        <f t="shared" si="7"/>
        <v>36</v>
      </c>
      <c r="P17" s="212">
        <f t="shared" si="8"/>
        <v>56.666666666666671</v>
      </c>
      <c r="Q17" s="212">
        <f t="shared" si="9"/>
        <v>8</v>
      </c>
      <c r="R17" s="212">
        <f t="shared" si="10"/>
        <v>116.66666666666667</v>
      </c>
      <c r="S17" s="202" t="s">
        <v>720</v>
      </c>
      <c r="T17" s="203" t="s">
        <v>721</v>
      </c>
      <c r="U17" s="202">
        <v>102</v>
      </c>
      <c r="V17" s="202">
        <v>107</v>
      </c>
      <c r="W17" s="202">
        <v>107</v>
      </c>
      <c r="X17" s="367">
        <v>43753</v>
      </c>
      <c r="Y17" s="205">
        <v>43836</v>
      </c>
      <c r="Z17" s="205">
        <v>43861</v>
      </c>
      <c r="AA17" s="273">
        <f t="shared" si="3"/>
        <v>2020</v>
      </c>
      <c r="AB17" s="273">
        <f t="shared" si="4"/>
        <v>1</v>
      </c>
      <c r="AC17" s="211" t="s">
        <v>920</v>
      </c>
      <c r="AD17" s="211" t="s">
        <v>422</v>
      </c>
      <c r="AE17" s="211" t="s">
        <v>422</v>
      </c>
      <c r="AF17" s="207" t="s">
        <v>422</v>
      </c>
      <c r="AG17" s="207" t="s">
        <v>422</v>
      </c>
      <c r="AH17" s="346" t="s">
        <v>422</v>
      </c>
      <c r="AI17" s="211" t="s">
        <v>422</v>
      </c>
      <c r="AJ17" s="211" t="s">
        <v>423</v>
      </c>
      <c r="AK17" s="211" t="s">
        <v>423</v>
      </c>
      <c r="AL17" s="222" t="s">
        <v>140</v>
      </c>
      <c r="AM17" s="209"/>
      <c r="AN17" s="209"/>
    </row>
    <row r="18" spans="1:40" x14ac:dyDescent="0.3">
      <c r="A18" s="185">
        <v>32</v>
      </c>
      <c r="B18" s="212" t="s">
        <v>796</v>
      </c>
      <c r="C18" s="212" t="s">
        <v>1616</v>
      </c>
      <c r="D18" s="335" t="s">
        <v>1848</v>
      </c>
      <c r="E18" s="212"/>
      <c r="F18" s="212"/>
      <c r="G18" s="212" t="s">
        <v>1941</v>
      </c>
      <c r="H18" s="212" t="s">
        <v>1010</v>
      </c>
      <c r="I18" s="212">
        <v>2</v>
      </c>
      <c r="J18" s="212">
        <v>9</v>
      </c>
      <c r="K18" s="212">
        <v>8.5</v>
      </c>
      <c r="L18" s="212">
        <v>1</v>
      </c>
      <c r="M18" s="212">
        <f t="shared" si="5"/>
        <v>20.5</v>
      </c>
      <c r="N18" s="212">
        <f t="shared" si="6"/>
        <v>16</v>
      </c>
      <c r="O18" s="212">
        <f t="shared" si="7"/>
        <v>36</v>
      </c>
      <c r="P18" s="212">
        <f t="shared" si="8"/>
        <v>56.666666666666671</v>
      </c>
      <c r="Q18" s="212">
        <f t="shared" si="9"/>
        <v>8</v>
      </c>
      <c r="R18" s="212">
        <f t="shared" si="10"/>
        <v>116.66666666666667</v>
      </c>
      <c r="S18" s="202" t="s">
        <v>722</v>
      </c>
      <c r="T18" s="203" t="s">
        <v>741</v>
      </c>
      <c r="U18" s="202">
        <v>40</v>
      </c>
      <c r="V18" s="202">
        <v>45</v>
      </c>
      <c r="W18" s="202">
        <v>45</v>
      </c>
      <c r="X18" s="367">
        <v>43753</v>
      </c>
      <c r="Y18" s="205">
        <v>43836</v>
      </c>
      <c r="Z18" s="205">
        <v>43861</v>
      </c>
      <c r="AA18" s="273">
        <f t="shared" si="3"/>
        <v>2020</v>
      </c>
      <c r="AB18" s="273">
        <f t="shared" si="4"/>
        <v>1</v>
      </c>
      <c r="AC18" s="211" t="s">
        <v>920</v>
      </c>
      <c r="AD18" s="211" t="s">
        <v>422</v>
      </c>
      <c r="AE18" s="211" t="s">
        <v>422</v>
      </c>
      <c r="AF18" s="211" t="s">
        <v>422</v>
      </c>
      <c r="AG18" s="211" t="s">
        <v>422</v>
      </c>
      <c r="AH18" s="217" t="s">
        <v>422</v>
      </c>
      <c r="AI18" s="211" t="s">
        <v>422</v>
      </c>
      <c r="AJ18" s="211" t="s">
        <v>423</v>
      </c>
      <c r="AK18" s="211" t="s">
        <v>423</v>
      </c>
      <c r="AL18" s="222" t="s">
        <v>140</v>
      </c>
      <c r="AM18" s="209"/>
      <c r="AN18" s="209"/>
    </row>
    <row r="19" spans="1:40" x14ac:dyDescent="0.3">
      <c r="A19" s="185">
        <v>33</v>
      </c>
      <c r="B19" s="212" t="s">
        <v>797</v>
      </c>
      <c r="C19" s="212" t="s">
        <v>1616</v>
      </c>
      <c r="D19" s="335" t="s">
        <v>1848</v>
      </c>
      <c r="E19" s="212"/>
      <c r="F19" s="212"/>
      <c r="G19" s="212" t="s">
        <v>1941</v>
      </c>
      <c r="H19" s="212" t="s">
        <v>1010</v>
      </c>
      <c r="I19" s="212">
        <v>2</v>
      </c>
      <c r="J19" s="212">
        <v>9</v>
      </c>
      <c r="K19" s="212">
        <v>8.5</v>
      </c>
      <c r="L19" s="212">
        <v>1</v>
      </c>
      <c r="M19" s="212">
        <f t="shared" si="5"/>
        <v>20.5</v>
      </c>
      <c r="N19" s="212">
        <f t="shared" si="6"/>
        <v>16</v>
      </c>
      <c r="O19" s="212">
        <f t="shared" si="7"/>
        <v>36</v>
      </c>
      <c r="P19" s="212">
        <f t="shared" si="8"/>
        <v>56.666666666666671</v>
      </c>
      <c r="Q19" s="212">
        <f t="shared" si="9"/>
        <v>8</v>
      </c>
      <c r="R19" s="212">
        <f t="shared" si="10"/>
        <v>116.66666666666667</v>
      </c>
      <c r="S19" s="202" t="s">
        <v>723</v>
      </c>
      <c r="T19" s="203" t="s">
        <v>724</v>
      </c>
      <c r="U19" s="202">
        <v>46</v>
      </c>
      <c r="V19" s="202">
        <v>51</v>
      </c>
      <c r="W19" s="202">
        <v>51</v>
      </c>
      <c r="X19" s="367">
        <v>43753</v>
      </c>
      <c r="Y19" s="205">
        <v>43836</v>
      </c>
      <c r="Z19" s="205">
        <v>43861</v>
      </c>
      <c r="AA19" s="273">
        <f t="shared" si="3"/>
        <v>2020</v>
      </c>
      <c r="AB19" s="273">
        <f t="shared" si="4"/>
        <v>1</v>
      </c>
      <c r="AC19" s="211" t="s">
        <v>920</v>
      </c>
      <c r="AD19" s="211" t="s">
        <v>422</v>
      </c>
      <c r="AE19" s="211" t="s">
        <v>422</v>
      </c>
      <c r="AF19" s="211" t="s">
        <v>422</v>
      </c>
      <c r="AG19" s="211" t="s">
        <v>422</v>
      </c>
      <c r="AH19" s="217" t="s">
        <v>422</v>
      </c>
      <c r="AI19" s="211" t="s">
        <v>422</v>
      </c>
      <c r="AJ19" s="211" t="s">
        <v>423</v>
      </c>
      <c r="AK19" s="211" t="s">
        <v>423</v>
      </c>
      <c r="AL19" s="222" t="s">
        <v>140</v>
      </c>
      <c r="AM19" s="209"/>
      <c r="AN19" s="209"/>
    </row>
    <row r="20" spans="1:40" x14ac:dyDescent="0.3">
      <c r="A20" s="185">
        <v>34</v>
      </c>
      <c r="B20" s="212" t="s">
        <v>798</v>
      </c>
      <c r="C20" s="212" t="s">
        <v>1616</v>
      </c>
      <c r="D20" s="335" t="s">
        <v>1848</v>
      </c>
      <c r="E20" s="212"/>
      <c r="F20" s="212"/>
      <c r="G20" s="212" t="s">
        <v>1941</v>
      </c>
      <c r="H20" s="212"/>
      <c r="I20" s="212">
        <v>2</v>
      </c>
      <c r="J20" s="357">
        <v>9</v>
      </c>
      <c r="K20" s="212">
        <v>8.5</v>
      </c>
      <c r="L20" s="212">
        <v>1</v>
      </c>
      <c r="M20" s="212">
        <f t="shared" si="5"/>
        <v>20.5</v>
      </c>
      <c r="N20" s="212">
        <f t="shared" si="6"/>
        <v>16</v>
      </c>
      <c r="O20" s="212">
        <f t="shared" si="7"/>
        <v>36</v>
      </c>
      <c r="P20" s="212">
        <f t="shared" si="8"/>
        <v>56.666666666666671</v>
      </c>
      <c r="Q20" s="212">
        <f t="shared" si="9"/>
        <v>8</v>
      </c>
      <c r="R20" s="212">
        <f t="shared" si="10"/>
        <v>116.66666666666667</v>
      </c>
      <c r="S20" s="202" t="s">
        <v>725</v>
      </c>
      <c r="T20" s="203" t="s">
        <v>726</v>
      </c>
      <c r="U20" s="202">
        <v>68</v>
      </c>
      <c r="V20" s="202">
        <v>73</v>
      </c>
      <c r="W20" s="202">
        <v>73</v>
      </c>
      <c r="X20" s="367">
        <v>43753</v>
      </c>
      <c r="Y20" s="205">
        <v>43836</v>
      </c>
      <c r="Z20" s="205">
        <v>43861</v>
      </c>
      <c r="AA20" s="273">
        <f t="shared" si="3"/>
        <v>2020</v>
      </c>
      <c r="AB20" s="273">
        <f t="shared" si="4"/>
        <v>1</v>
      </c>
      <c r="AC20" s="211" t="s">
        <v>920</v>
      </c>
      <c r="AD20" s="211" t="s">
        <v>422</v>
      </c>
      <c r="AE20" s="211" t="s">
        <v>422</v>
      </c>
      <c r="AF20" s="211" t="s">
        <v>422</v>
      </c>
      <c r="AG20" s="211" t="s">
        <v>422</v>
      </c>
      <c r="AH20" s="217" t="s">
        <v>422</v>
      </c>
      <c r="AI20" s="211" t="s">
        <v>422</v>
      </c>
      <c r="AJ20" s="211" t="s">
        <v>423</v>
      </c>
      <c r="AK20" s="211" t="s">
        <v>423</v>
      </c>
      <c r="AL20" s="222" t="s">
        <v>140</v>
      </c>
      <c r="AM20" s="209"/>
      <c r="AN20" s="209"/>
    </row>
    <row r="21" spans="1:40" x14ac:dyDescent="0.3">
      <c r="A21" s="185">
        <v>35</v>
      </c>
      <c r="B21" s="212" t="s">
        <v>799</v>
      </c>
      <c r="C21" s="212" t="s">
        <v>1616</v>
      </c>
      <c r="D21" s="335" t="s">
        <v>1848</v>
      </c>
      <c r="E21" s="212"/>
      <c r="F21" s="212" t="s">
        <v>1597</v>
      </c>
      <c r="G21" s="212" t="s">
        <v>1941</v>
      </c>
      <c r="H21" s="212"/>
      <c r="I21" s="212">
        <v>2</v>
      </c>
      <c r="J21" s="357">
        <v>9</v>
      </c>
      <c r="K21" s="212">
        <v>8.5</v>
      </c>
      <c r="L21" s="212">
        <v>1</v>
      </c>
      <c r="M21" s="212">
        <f t="shared" si="5"/>
        <v>20.5</v>
      </c>
      <c r="N21" s="212">
        <f t="shared" si="6"/>
        <v>16</v>
      </c>
      <c r="O21" s="212">
        <f t="shared" si="7"/>
        <v>36</v>
      </c>
      <c r="P21" s="212">
        <f t="shared" si="8"/>
        <v>56.666666666666671</v>
      </c>
      <c r="Q21" s="212">
        <f t="shared" si="9"/>
        <v>8</v>
      </c>
      <c r="R21" s="212">
        <f t="shared" si="10"/>
        <v>116.66666666666667</v>
      </c>
      <c r="S21" s="202" t="s">
        <v>727</v>
      </c>
      <c r="T21" s="203" t="s">
        <v>728</v>
      </c>
      <c r="U21" s="202">
        <v>38</v>
      </c>
      <c r="V21" s="202">
        <v>43</v>
      </c>
      <c r="W21" s="202">
        <v>43</v>
      </c>
      <c r="X21" s="367">
        <v>43753</v>
      </c>
      <c r="Y21" s="205">
        <v>43836</v>
      </c>
      <c r="Z21" s="205">
        <v>43861</v>
      </c>
      <c r="AA21" s="273">
        <f t="shared" si="3"/>
        <v>2020</v>
      </c>
      <c r="AB21" s="273">
        <f t="shared" si="4"/>
        <v>1</v>
      </c>
      <c r="AC21" s="211" t="s">
        <v>920</v>
      </c>
      <c r="AD21" s="211" t="s">
        <v>422</v>
      </c>
      <c r="AE21" s="211" t="s">
        <v>422</v>
      </c>
      <c r="AF21" s="211" t="s">
        <v>422</v>
      </c>
      <c r="AG21" s="211" t="s">
        <v>422</v>
      </c>
      <c r="AH21" s="217" t="s">
        <v>422</v>
      </c>
      <c r="AI21" s="211" t="s">
        <v>422</v>
      </c>
      <c r="AJ21" s="211" t="s">
        <v>423</v>
      </c>
      <c r="AK21" s="211" t="s">
        <v>423</v>
      </c>
      <c r="AL21" s="222" t="s">
        <v>108</v>
      </c>
      <c r="AM21" s="209"/>
      <c r="AN21" s="209"/>
    </row>
    <row r="22" spans="1:40" x14ac:dyDescent="0.3">
      <c r="A22" s="185">
        <v>36</v>
      </c>
      <c r="B22" s="212" t="s">
        <v>800</v>
      </c>
      <c r="C22" s="212" t="s">
        <v>1616</v>
      </c>
      <c r="D22" s="335" t="s">
        <v>1848</v>
      </c>
      <c r="E22" s="212"/>
      <c r="F22" s="212"/>
      <c r="G22" s="212" t="s">
        <v>1941</v>
      </c>
      <c r="H22" s="212" t="s">
        <v>1010</v>
      </c>
      <c r="I22" s="212">
        <v>2</v>
      </c>
      <c r="J22" s="212">
        <v>7</v>
      </c>
      <c r="K22" s="212">
        <v>8.5</v>
      </c>
      <c r="L22" s="212">
        <v>1</v>
      </c>
      <c r="M22" s="212">
        <f t="shared" si="5"/>
        <v>18.5</v>
      </c>
      <c r="N22" s="212">
        <f t="shared" si="6"/>
        <v>16</v>
      </c>
      <c r="O22" s="212">
        <f t="shared" si="7"/>
        <v>28</v>
      </c>
      <c r="P22" s="212">
        <f t="shared" si="8"/>
        <v>56.666666666666671</v>
      </c>
      <c r="Q22" s="212">
        <f t="shared" si="9"/>
        <v>8</v>
      </c>
      <c r="R22" s="212">
        <f t="shared" si="10"/>
        <v>108.66666666666667</v>
      </c>
      <c r="S22" s="202" t="s">
        <v>729</v>
      </c>
      <c r="T22" s="203" t="s">
        <v>730</v>
      </c>
      <c r="U22" s="202">
        <v>88</v>
      </c>
      <c r="V22" s="202">
        <v>92</v>
      </c>
      <c r="W22" s="202">
        <v>92</v>
      </c>
      <c r="X22" s="367">
        <v>43753</v>
      </c>
      <c r="Y22" s="205">
        <v>43836</v>
      </c>
      <c r="Z22" s="205">
        <v>43861</v>
      </c>
      <c r="AA22" s="273">
        <f t="shared" si="3"/>
        <v>2020</v>
      </c>
      <c r="AB22" s="273">
        <f t="shared" si="4"/>
        <v>1</v>
      </c>
      <c r="AC22" s="211" t="s">
        <v>920</v>
      </c>
      <c r="AD22" s="211" t="s">
        <v>422</v>
      </c>
      <c r="AE22" s="211" t="s">
        <v>422</v>
      </c>
      <c r="AF22" s="211" t="s">
        <v>422</v>
      </c>
      <c r="AG22" s="211" t="s">
        <v>422</v>
      </c>
      <c r="AH22" s="217" t="s">
        <v>422</v>
      </c>
      <c r="AI22" s="211" t="s">
        <v>422</v>
      </c>
      <c r="AJ22" s="211" t="s">
        <v>423</v>
      </c>
      <c r="AK22" s="211" t="s">
        <v>423</v>
      </c>
      <c r="AL22" s="222" t="s">
        <v>140</v>
      </c>
      <c r="AM22" s="209"/>
      <c r="AN22" s="209"/>
    </row>
    <row r="23" spans="1:40" x14ac:dyDescent="0.3">
      <c r="A23" s="185">
        <v>37</v>
      </c>
      <c r="B23" s="212" t="s">
        <v>801</v>
      </c>
      <c r="C23" s="212" t="s">
        <v>1616</v>
      </c>
      <c r="D23" s="201" t="s">
        <v>1848</v>
      </c>
      <c r="E23" s="212"/>
      <c r="F23" s="212"/>
      <c r="G23" s="212" t="s">
        <v>1941</v>
      </c>
      <c r="H23" s="212" t="s">
        <v>1040</v>
      </c>
      <c r="I23" s="212">
        <v>1</v>
      </c>
      <c r="J23" s="212">
        <v>2</v>
      </c>
      <c r="K23" s="212">
        <v>3.5</v>
      </c>
      <c r="L23" s="212">
        <v>0.5</v>
      </c>
      <c r="M23" s="212">
        <f t="shared" si="5"/>
        <v>7</v>
      </c>
      <c r="N23" s="212">
        <f t="shared" si="6"/>
        <v>8</v>
      </c>
      <c r="O23" s="212">
        <f t="shared" si="7"/>
        <v>8</v>
      </c>
      <c r="P23" s="212">
        <f t="shared" si="8"/>
        <v>23.333333333333336</v>
      </c>
      <c r="Q23" s="212">
        <f t="shared" si="9"/>
        <v>4</v>
      </c>
      <c r="R23" s="212">
        <f t="shared" si="10"/>
        <v>43.333333333333336</v>
      </c>
      <c r="S23" s="202" t="s">
        <v>731</v>
      </c>
      <c r="T23" s="203" t="s">
        <v>738</v>
      </c>
      <c r="U23" s="202">
        <v>24</v>
      </c>
      <c r="V23" s="202">
        <v>26</v>
      </c>
      <c r="W23" s="202">
        <v>26</v>
      </c>
      <c r="X23" s="367">
        <v>43753</v>
      </c>
      <c r="Y23" s="205">
        <v>43836</v>
      </c>
      <c r="Z23" s="205">
        <v>43861</v>
      </c>
      <c r="AA23" s="273">
        <f t="shared" si="3"/>
        <v>2020</v>
      </c>
      <c r="AB23" s="273">
        <f t="shared" si="4"/>
        <v>1</v>
      </c>
      <c r="AC23" s="211" t="s">
        <v>920</v>
      </c>
      <c r="AD23" s="211" t="s">
        <v>422</v>
      </c>
      <c r="AE23" s="211" t="s">
        <v>422</v>
      </c>
      <c r="AF23" s="211" t="s">
        <v>422</v>
      </c>
      <c r="AG23" s="211" t="s">
        <v>422</v>
      </c>
      <c r="AH23" s="211" t="s">
        <v>423</v>
      </c>
      <c r="AI23" s="211" t="s">
        <v>422</v>
      </c>
      <c r="AJ23" s="211" t="s">
        <v>423</v>
      </c>
      <c r="AK23" s="211" t="s">
        <v>423</v>
      </c>
      <c r="AL23" s="222" t="s">
        <v>254</v>
      </c>
      <c r="AM23" s="209"/>
      <c r="AN23" s="209"/>
    </row>
    <row r="24" spans="1:40" x14ac:dyDescent="0.3">
      <c r="A24" s="185">
        <v>38</v>
      </c>
      <c r="B24" s="212" t="s">
        <v>802</v>
      </c>
      <c r="C24" s="212" t="s">
        <v>1616</v>
      </c>
      <c r="D24" s="201" t="s">
        <v>1848</v>
      </c>
      <c r="E24" s="212"/>
      <c r="F24" s="212"/>
      <c r="G24" s="212" t="s">
        <v>1941</v>
      </c>
      <c r="H24" s="212" t="s">
        <v>1010</v>
      </c>
      <c r="I24" s="212">
        <v>1</v>
      </c>
      <c r="J24" s="212">
        <v>2.2000000000000002</v>
      </c>
      <c r="K24" s="212">
        <v>5.5</v>
      </c>
      <c r="L24" s="212">
        <v>0.5</v>
      </c>
      <c r="M24" s="212">
        <f t="shared" si="5"/>
        <v>9.1999999999999993</v>
      </c>
      <c r="N24" s="212">
        <f t="shared" si="6"/>
        <v>8</v>
      </c>
      <c r="O24" s="212">
        <f t="shared" si="7"/>
        <v>8.8000000000000007</v>
      </c>
      <c r="P24" s="212">
        <f t="shared" si="8"/>
        <v>36.666666666666671</v>
      </c>
      <c r="Q24" s="212">
        <f t="shared" si="9"/>
        <v>4</v>
      </c>
      <c r="R24" s="212">
        <f t="shared" si="10"/>
        <v>57.466666666666669</v>
      </c>
      <c r="S24" s="202" t="s">
        <v>732</v>
      </c>
      <c r="T24" s="203" t="s">
        <v>733</v>
      </c>
      <c r="U24" s="202">
        <v>54</v>
      </c>
      <c r="V24" s="202">
        <v>58</v>
      </c>
      <c r="W24" s="202">
        <v>58</v>
      </c>
      <c r="X24" s="367">
        <v>43753</v>
      </c>
      <c r="Y24" s="205">
        <v>43836</v>
      </c>
      <c r="Z24" s="205">
        <v>43861</v>
      </c>
      <c r="AA24" s="273">
        <f t="shared" si="3"/>
        <v>2020</v>
      </c>
      <c r="AB24" s="273">
        <f t="shared" si="4"/>
        <v>1</v>
      </c>
      <c r="AC24" s="211" t="s">
        <v>920</v>
      </c>
      <c r="AD24" s="211" t="s">
        <v>422</v>
      </c>
      <c r="AE24" s="211" t="s">
        <v>422</v>
      </c>
      <c r="AF24" s="211" t="s">
        <v>422</v>
      </c>
      <c r="AG24" s="211" t="s">
        <v>422</v>
      </c>
      <c r="AH24" s="211" t="s">
        <v>423</v>
      </c>
      <c r="AI24" s="211" t="s">
        <v>422</v>
      </c>
      <c r="AJ24" s="211" t="s">
        <v>423</v>
      </c>
      <c r="AK24" s="211" t="s">
        <v>423</v>
      </c>
      <c r="AL24" s="222" t="s">
        <v>140</v>
      </c>
      <c r="AM24" s="209"/>
      <c r="AN24" s="209"/>
    </row>
    <row r="25" spans="1:40" x14ac:dyDescent="0.3">
      <c r="A25" s="185">
        <v>39</v>
      </c>
      <c r="B25" s="212" t="s">
        <v>803</v>
      </c>
      <c r="C25" s="212" t="s">
        <v>1616</v>
      </c>
      <c r="D25" s="201" t="s">
        <v>1848</v>
      </c>
      <c r="E25" s="212"/>
      <c r="F25" s="212"/>
      <c r="G25" s="212" t="s">
        <v>1941</v>
      </c>
      <c r="H25" s="212" t="s">
        <v>1040</v>
      </c>
      <c r="I25" s="212">
        <v>2</v>
      </c>
      <c r="J25" s="212">
        <v>4.7</v>
      </c>
      <c r="K25" s="212">
        <v>6</v>
      </c>
      <c r="L25" s="212">
        <v>1</v>
      </c>
      <c r="M25" s="212">
        <f t="shared" si="5"/>
        <v>13.7</v>
      </c>
      <c r="N25" s="212">
        <f t="shared" si="6"/>
        <v>16</v>
      </c>
      <c r="O25" s="212">
        <f t="shared" si="7"/>
        <v>18.8</v>
      </c>
      <c r="P25" s="212">
        <f t="shared" si="8"/>
        <v>40</v>
      </c>
      <c r="Q25" s="212">
        <f t="shared" si="9"/>
        <v>8</v>
      </c>
      <c r="R25" s="212">
        <f t="shared" si="10"/>
        <v>82.8</v>
      </c>
      <c r="S25" s="202" t="s">
        <v>734</v>
      </c>
      <c r="T25" s="203" t="s">
        <v>735</v>
      </c>
      <c r="U25" s="202">
        <v>22</v>
      </c>
      <c r="V25" s="202">
        <v>24</v>
      </c>
      <c r="W25" s="202">
        <v>24</v>
      </c>
      <c r="X25" s="367">
        <v>43753</v>
      </c>
      <c r="Y25" s="205">
        <v>43836</v>
      </c>
      <c r="Z25" s="205">
        <v>43861</v>
      </c>
      <c r="AA25" s="273">
        <f t="shared" si="3"/>
        <v>2020</v>
      </c>
      <c r="AB25" s="273">
        <f t="shared" si="4"/>
        <v>1</v>
      </c>
      <c r="AC25" s="211" t="s">
        <v>920</v>
      </c>
      <c r="AD25" s="211" t="s">
        <v>422</v>
      </c>
      <c r="AE25" s="211" t="s">
        <v>422</v>
      </c>
      <c r="AF25" s="211" t="s">
        <v>422</v>
      </c>
      <c r="AG25" s="211" t="s">
        <v>422</v>
      </c>
      <c r="AH25" s="211" t="s">
        <v>423</v>
      </c>
      <c r="AI25" s="211" t="s">
        <v>422</v>
      </c>
      <c r="AJ25" s="211" t="s">
        <v>423</v>
      </c>
      <c r="AK25" s="211" t="s">
        <v>423</v>
      </c>
      <c r="AL25" s="222" t="s">
        <v>254</v>
      </c>
      <c r="AM25" s="209"/>
      <c r="AN25" s="209"/>
    </row>
    <row r="26" spans="1:40" x14ac:dyDescent="0.3">
      <c r="A26" s="185">
        <v>40</v>
      </c>
      <c r="B26" s="212" t="s">
        <v>804</v>
      </c>
      <c r="C26" s="212" t="s">
        <v>1616</v>
      </c>
      <c r="D26" s="201" t="s">
        <v>1848</v>
      </c>
      <c r="E26" s="212"/>
      <c r="F26" s="212" t="s">
        <v>1597</v>
      </c>
      <c r="G26" s="212" t="s">
        <v>1940</v>
      </c>
      <c r="H26" s="212"/>
      <c r="I26" s="212">
        <v>1</v>
      </c>
      <c r="J26" s="357">
        <v>4.5</v>
      </c>
      <c r="K26" s="212">
        <v>5.5</v>
      </c>
      <c r="L26" s="212">
        <v>0.8</v>
      </c>
      <c r="M26" s="212">
        <f t="shared" si="5"/>
        <v>11.8</v>
      </c>
      <c r="N26" s="212">
        <f t="shared" si="6"/>
        <v>8</v>
      </c>
      <c r="O26" s="212">
        <f t="shared" si="7"/>
        <v>18</v>
      </c>
      <c r="P26" s="212">
        <f t="shared" si="8"/>
        <v>36.666666666666671</v>
      </c>
      <c r="Q26" s="212">
        <f t="shared" si="9"/>
        <v>6.4</v>
      </c>
      <c r="R26" s="212">
        <f t="shared" si="10"/>
        <v>69.066666666666677</v>
      </c>
      <c r="S26" s="202" t="s">
        <v>736</v>
      </c>
      <c r="T26" s="203" t="s">
        <v>737</v>
      </c>
      <c r="U26" s="202">
        <v>40</v>
      </c>
      <c r="V26" s="202">
        <v>44</v>
      </c>
      <c r="W26" s="202">
        <v>44</v>
      </c>
      <c r="X26" s="367">
        <v>43753</v>
      </c>
      <c r="Y26" s="205">
        <v>43836</v>
      </c>
      <c r="Z26" s="205">
        <v>43861</v>
      </c>
      <c r="AA26" s="273">
        <f t="shared" si="3"/>
        <v>2020</v>
      </c>
      <c r="AB26" s="273">
        <f t="shared" si="4"/>
        <v>1</v>
      </c>
      <c r="AC26" s="211" t="s">
        <v>920</v>
      </c>
      <c r="AD26" s="211" t="s">
        <v>422</v>
      </c>
      <c r="AE26" s="211" t="s">
        <v>422</v>
      </c>
      <c r="AF26" s="211" t="s">
        <v>422</v>
      </c>
      <c r="AG26" s="211" t="s">
        <v>422</v>
      </c>
      <c r="AH26" s="211" t="s">
        <v>423</v>
      </c>
      <c r="AI26" s="211" t="s">
        <v>422</v>
      </c>
      <c r="AJ26" s="211" t="s">
        <v>423</v>
      </c>
      <c r="AK26" s="211" t="s">
        <v>423</v>
      </c>
      <c r="AL26" s="222" t="s">
        <v>108</v>
      </c>
      <c r="AM26" s="209"/>
      <c r="AN26" s="209"/>
    </row>
    <row r="27" spans="1:40" x14ac:dyDescent="0.3">
      <c r="A27" s="188">
        <v>1</v>
      </c>
      <c r="B27" s="201" t="s">
        <v>739</v>
      </c>
      <c r="C27" s="247" t="s">
        <v>1615</v>
      </c>
      <c r="D27" s="199" t="s">
        <v>1881</v>
      </c>
      <c r="E27" s="201"/>
      <c r="F27" s="201"/>
      <c r="G27" s="368" t="s">
        <v>1604</v>
      </c>
      <c r="H27" s="201" t="s">
        <v>1428</v>
      </c>
      <c r="I27" s="201">
        <v>2</v>
      </c>
      <c r="J27" s="201">
        <v>10.5</v>
      </c>
      <c r="K27" s="212">
        <v>0</v>
      </c>
      <c r="L27" s="212">
        <v>1.5</v>
      </c>
      <c r="M27" s="212">
        <f t="shared" si="5"/>
        <v>14</v>
      </c>
      <c r="N27" s="212">
        <f t="shared" si="6"/>
        <v>16</v>
      </c>
      <c r="O27" s="212">
        <f t="shared" si="7"/>
        <v>42</v>
      </c>
      <c r="P27" s="212">
        <f t="shared" si="8"/>
        <v>0</v>
      </c>
      <c r="Q27" s="212">
        <f t="shared" si="9"/>
        <v>12</v>
      </c>
      <c r="R27" s="212">
        <f t="shared" si="10"/>
        <v>70</v>
      </c>
      <c r="S27" s="202" t="s">
        <v>558</v>
      </c>
      <c r="T27" s="203" t="s">
        <v>271</v>
      </c>
      <c r="U27" s="202">
        <v>50</v>
      </c>
      <c r="V27" s="202">
        <v>52</v>
      </c>
      <c r="W27" s="202">
        <v>52</v>
      </c>
      <c r="X27" s="367">
        <v>43692</v>
      </c>
      <c r="Y27" s="205">
        <v>43753</v>
      </c>
      <c r="Z27" s="205">
        <v>43874</v>
      </c>
      <c r="AA27" s="273">
        <f t="shared" si="3"/>
        <v>2020</v>
      </c>
      <c r="AB27" s="273">
        <f t="shared" si="4"/>
        <v>2</v>
      </c>
      <c r="AC27" s="206" t="s">
        <v>920</v>
      </c>
      <c r="AD27" s="211" t="s">
        <v>422</v>
      </c>
      <c r="AE27" s="211" t="s">
        <v>422</v>
      </c>
      <c r="AF27" s="211" t="s">
        <v>422</v>
      </c>
      <c r="AG27" s="211" t="s">
        <v>422</v>
      </c>
      <c r="AH27" s="211" t="s">
        <v>422</v>
      </c>
      <c r="AI27" s="211" t="s">
        <v>423</v>
      </c>
      <c r="AJ27" s="211" t="s">
        <v>422</v>
      </c>
      <c r="AK27" s="211" t="s">
        <v>423</v>
      </c>
      <c r="AL27" s="211" t="s">
        <v>138</v>
      </c>
      <c r="AM27" s="209"/>
      <c r="AN27" s="209"/>
    </row>
    <row r="28" spans="1:40" x14ac:dyDescent="0.3">
      <c r="A28" s="185">
        <v>2</v>
      </c>
      <c r="B28" s="201" t="s">
        <v>740</v>
      </c>
      <c r="C28" s="247" t="s">
        <v>1615</v>
      </c>
      <c r="D28" s="199" t="s">
        <v>1881</v>
      </c>
      <c r="E28" s="201"/>
      <c r="F28" s="201"/>
      <c r="G28" s="368" t="s">
        <v>1604</v>
      </c>
      <c r="H28" s="201" t="s">
        <v>1428</v>
      </c>
      <c r="I28" s="201">
        <v>2</v>
      </c>
      <c r="J28" s="201">
        <v>11</v>
      </c>
      <c r="K28" s="212">
        <v>0</v>
      </c>
      <c r="L28" s="212">
        <v>1.5</v>
      </c>
      <c r="M28" s="212">
        <f t="shared" si="5"/>
        <v>14.5</v>
      </c>
      <c r="N28" s="212">
        <f t="shared" si="6"/>
        <v>16</v>
      </c>
      <c r="O28" s="212">
        <f t="shared" si="7"/>
        <v>44</v>
      </c>
      <c r="P28" s="212">
        <f t="shared" si="8"/>
        <v>0</v>
      </c>
      <c r="Q28" s="212">
        <f t="shared" si="9"/>
        <v>12</v>
      </c>
      <c r="R28" s="212">
        <f t="shared" si="10"/>
        <v>72</v>
      </c>
      <c r="S28" s="202" t="s">
        <v>559</v>
      </c>
      <c r="T28" s="203" t="s">
        <v>270</v>
      </c>
      <c r="U28" s="202">
        <v>44</v>
      </c>
      <c r="V28" s="202">
        <v>46</v>
      </c>
      <c r="W28" s="202">
        <v>46</v>
      </c>
      <c r="X28" s="367">
        <v>43692</v>
      </c>
      <c r="Y28" s="205">
        <v>43753</v>
      </c>
      <c r="Z28" s="205">
        <v>43874</v>
      </c>
      <c r="AA28" s="273">
        <f t="shared" si="3"/>
        <v>2020</v>
      </c>
      <c r="AB28" s="273">
        <f t="shared" si="4"/>
        <v>2</v>
      </c>
      <c r="AC28" s="206" t="s">
        <v>920</v>
      </c>
      <c r="AD28" s="211" t="s">
        <v>422</v>
      </c>
      <c r="AE28" s="211" t="s">
        <v>422</v>
      </c>
      <c r="AF28" s="211" t="s">
        <v>422</v>
      </c>
      <c r="AG28" s="211" t="s">
        <v>422</v>
      </c>
      <c r="AH28" s="211" t="s">
        <v>422</v>
      </c>
      <c r="AI28" s="211" t="s">
        <v>423</v>
      </c>
      <c r="AJ28" s="211" t="s">
        <v>422</v>
      </c>
      <c r="AK28" s="211" t="s">
        <v>423</v>
      </c>
      <c r="AL28" s="211" t="s">
        <v>138</v>
      </c>
      <c r="AM28" s="209"/>
      <c r="AN28" s="209"/>
    </row>
    <row r="29" spans="1:40" x14ac:dyDescent="0.3">
      <c r="A29" s="185">
        <v>3</v>
      </c>
      <c r="B29" s="201" t="s">
        <v>742</v>
      </c>
      <c r="C29" s="247" t="s">
        <v>1615</v>
      </c>
      <c r="D29" s="199" t="s">
        <v>1881</v>
      </c>
      <c r="E29" s="201"/>
      <c r="F29" s="201"/>
      <c r="G29" s="368" t="s">
        <v>1604</v>
      </c>
      <c r="H29" s="201"/>
      <c r="I29" s="201">
        <v>3</v>
      </c>
      <c r="J29" s="357">
        <v>13.5</v>
      </c>
      <c r="K29" s="212">
        <v>0</v>
      </c>
      <c r="L29" s="212">
        <v>1.5</v>
      </c>
      <c r="M29" s="212">
        <f t="shared" si="5"/>
        <v>18</v>
      </c>
      <c r="N29" s="212">
        <f t="shared" si="6"/>
        <v>24</v>
      </c>
      <c r="O29" s="212">
        <f t="shared" si="7"/>
        <v>54</v>
      </c>
      <c r="P29" s="212">
        <f t="shared" si="8"/>
        <v>0</v>
      </c>
      <c r="Q29" s="212">
        <f t="shared" si="9"/>
        <v>12</v>
      </c>
      <c r="R29" s="212">
        <f t="shared" si="10"/>
        <v>90</v>
      </c>
      <c r="S29" s="202" t="s">
        <v>773</v>
      </c>
      <c r="T29" s="203" t="s">
        <v>743</v>
      </c>
      <c r="U29" s="202">
        <v>62</v>
      </c>
      <c r="V29" s="202">
        <v>66</v>
      </c>
      <c r="W29" s="202">
        <v>66</v>
      </c>
      <c r="X29" s="367">
        <v>43713</v>
      </c>
      <c r="Y29" s="205">
        <v>43831</v>
      </c>
      <c r="Z29" s="205">
        <v>43874</v>
      </c>
      <c r="AA29" s="273">
        <f t="shared" si="3"/>
        <v>2020</v>
      </c>
      <c r="AB29" s="273">
        <f t="shared" si="4"/>
        <v>2</v>
      </c>
      <c r="AC29" s="206" t="s">
        <v>920</v>
      </c>
      <c r="AD29" s="211" t="s">
        <v>422</v>
      </c>
      <c r="AE29" s="211" t="s">
        <v>422</v>
      </c>
      <c r="AF29" s="211" t="s">
        <v>422</v>
      </c>
      <c r="AG29" s="211" t="s">
        <v>422</v>
      </c>
      <c r="AH29" s="211" t="s">
        <v>422</v>
      </c>
      <c r="AI29" s="211" t="s">
        <v>423</v>
      </c>
      <c r="AJ29" s="211" t="s">
        <v>422</v>
      </c>
      <c r="AK29" s="211" t="s">
        <v>423</v>
      </c>
      <c r="AL29" s="211" t="s">
        <v>696</v>
      </c>
      <c r="AM29" s="209"/>
      <c r="AN29" s="209"/>
    </row>
    <row r="30" spans="1:40" x14ac:dyDescent="0.3">
      <c r="A30" s="185">
        <v>4</v>
      </c>
      <c r="B30" s="201" t="s">
        <v>744</v>
      </c>
      <c r="C30" s="247" t="s">
        <v>1615</v>
      </c>
      <c r="D30" s="199" t="s">
        <v>1881</v>
      </c>
      <c r="E30" s="201"/>
      <c r="F30" s="201"/>
      <c r="G30" s="368" t="s">
        <v>1604</v>
      </c>
      <c r="H30" s="201" t="s">
        <v>1010</v>
      </c>
      <c r="I30" s="201">
        <v>3</v>
      </c>
      <c r="J30" s="201">
        <v>7</v>
      </c>
      <c r="K30" s="212">
        <v>0</v>
      </c>
      <c r="L30" s="212">
        <v>1.5</v>
      </c>
      <c r="M30" s="212">
        <f t="shared" si="5"/>
        <v>11.5</v>
      </c>
      <c r="N30" s="212">
        <f t="shared" si="6"/>
        <v>24</v>
      </c>
      <c r="O30" s="212">
        <f t="shared" si="7"/>
        <v>28</v>
      </c>
      <c r="P30" s="212">
        <f t="shared" si="8"/>
        <v>0</v>
      </c>
      <c r="Q30" s="212">
        <f t="shared" si="9"/>
        <v>12</v>
      </c>
      <c r="R30" s="212">
        <f t="shared" si="10"/>
        <v>64</v>
      </c>
      <c r="S30" s="202" t="s">
        <v>616</v>
      </c>
      <c r="T30" s="203" t="s">
        <v>745</v>
      </c>
      <c r="U30" s="202">
        <v>34</v>
      </c>
      <c r="V30" s="202">
        <v>36</v>
      </c>
      <c r="W30" s="202">
        <v>36</v>
      </c>
      <c r="X30" s="367">
        <v>43713</v>
      </c>
      <c r="Y30" s="205">
        <v>43831</v>
      </c>
      <c r="Z30" s="205">
        <v>43874</v>
      </c>
      <c r="AA30" s="273">
        <f t="shared" si="3"/>
        <v>2020</v>
      </c>
      <c r="AB30" s="273">
        <f t="shared" si="4"/>
        <v>2</v>
      </c>
      <c r="AC30" s="206" t="s">
        <v>920</v>
      </c>
      <c r="AD30" s="211" t="s">
        <v>422</v>
      </c>
      <c r="AE30" s="211" t="s">
        <v>422</v>
      </c>
      <c r="AF30" s="211" t="s">
        <v>422</v>
      </c>
      <c r="AG30" s="211" t="s">
        <v>422</v>
      </c>
      <c r="AH30" s="211" t="s">
        <v>422</v>
      </c>
      <c r="AI30" s="211" t="s">
        <v>423</v>
      </c>
      <c r="AJ30" s="211" t="s">
        <v>422</v>
      </c>
      <c r="AK30" s="211" t="s">
        <v>423</v>
      </c>
      <c r="AL30" s="211" t="s">
        <v>140</v>
      </c>
      <c r="AM30" s="209"/>
      <c r="AN30" s="209"/>
    </row>
    <row r="31" spans="1:40" x14ac:dyDescent="0.3">
      <c r="A31" s="185">
        <v>5</v>
      </c>
      <c r="B31" s="201" t="s">
        <v>746</v>
      </c>
      <c r="C31" s="247" t="s">
        <v>1615</v>
      </c>
      <c r="D31" s="199" t="s">
        <v>1881</v>
      </c>
      <c r="E31" s="201"/>
      <c r="F31" s="201"/>
      <c r="G31" s="368" t="s">
        <v>1604</v>
      </c>
      <c r="H31" s="201" t="s">
        <v>1008</v>
      </c>
      <c r="I31" s="201">
        <v>3</v>
      </c>
      <c r="J31" s="201">
        <v>13.5</v>
      </c>
      <c r="K31" s="212">
        <v>0</v>
      </c>
      <c r="L31" s="212">
        <v>1.5</v>
      </c>
      <c r="M31" s="212">
        <f t="shared" si="5"/>
        <v>18</v>
      </c>
      <c r="N31" s="212">
        <f t="shared" si="6"/>
        <v>24</v>
      </c>
      <c r="O31" s="212">
        <f t="shared" si="7"/>
        <v>54</v>
      </c>
      <c r="P31" s="212">
        <f t="shared" si="8"/>
        <v>0</v>
      </c>
      <c r="Q31" s="212">
        <f t="shared" si="9"/>
        <v>12</v>
      </c>
      <c r="R31" s="212">
        <f t="shared" si="10"/>
        <v>90</v>
      </c>
      <c r="S31" s="202" t="s">
        <v>617</v>
      </c>
      <c r="T31" s="203" t="s">
        <v>747</v>
      </c>
      <c r="U31" s="202">
        <v>34</v>
      </c>
      <c r="V31" s="202">
        <v>36</v>
      </c>
      <c r="W31" s="202">
        <v>36</v>
      </c>
      <c r="X31" s="367">
        <v>43713</v>
      </c>
      <c r="Y31" s="205">
        <v>43831</v>
      </c>
      <c r="Z31" s="205">
        <v>43874</v>
      </c>
      <c r="AA31" s="273">
        <f t="shared" si="3"/>
        <v>2020</v>
      </c>
      <c r="AB31" s="273">
        <f t="shared" si="4"/>
        <v>2</v>
      </c>
      <c r="AC31" s="206" t="s">
        <v>920</v>
      </c>
      <c r="AD31" s="211" t="s">
        <v>422</v>
      </c>
      <c r="AE31" s="211" t="s">
        <v>422</v>
      </c>
      <c r="AF31" s="211" t="s">
        <v>422</v>
      </c>
      <c r="AG31" s="211" t="s">
        <v>422</v>
      </c>
      <c r="AH31" s="211" t="s">
        <v>422</v>
      </c>
      <c r="AI31" s="211" t="s">
        <v>423</v>
      </c>
      <c r="AJ31" s="211" t="s">
        <v>422</v>
      </c>
      <c r="AK31" s="211" t="s">
        <v>423</v>
      </c>
      <c r="AL31" s="211" t="s">
        <v>888</v>
      </c>
      <c r="AM31" s="209"/>
      <c r="AN31" s="209"/>
    </row>
    <row r="32" spans="1:40" x14ac:dyDescent="0.3">
      <c r="A32" s="185">
        <v>6</v>
      </c>
      <c r="B32" s="201" t="s">
        <v>748</v>
      </c>
      <c r="C32" s="247" t="s">
        <v>1615</v>
      </c>
      <c r="D32" s="199" t="s">
        <v>1881</v>
      </c>
      <c r="E32" s="201"/>
      <c r="F32" s="201"/>
      <c r="G32" s="368" t="s">
        <v>1604</v>
      </c>
      <c r="H32" s="201" t="s">
        <v>1428</v>
      </c>
      <c r="I32" s="201">
        <v>3</v>
      </c>
      <c r="J32" s="201">
        <v>11</v>
      </c>
      <c r="K32" s="212">
        <v>0</v>
      </c>
      <c r="L32" s="212">
        <v>1.5</v>
      </c>
      <c r="M32" s="212">
        <f t="shared" si="5"/>
        <v>15.5</v>
      </c>
      <c r="N32" s="212">
        <f t="shared" si="6"/>
        <v>24</v>
      </c>
      <c r="O32" s="212">
        <f t="shared" si="7"/>
        <v>44</v>
      </c>
      <c r="P32" s="212">
        <f t="shared" si="8"/>
        <v>0</v>
      </c>
      <c r="Q32" s="212">
        <f t="shared" si="9"/>
        <v>12</v>
      </c>
      <c r="R32" s="212">
        <f t="shared" si="10"/>
        <v>80</v>
      </c>
      <c r="S32" s="202" t="s">
        <v>774</v>
      </c>
      <c r="T32" s="203" t="s">
        <v>749</v>
      </c>
      <c r="U32" s="202">
        <v>66</v>
      </c>
      <c r="V32" s="202">
        <v>70</v>
      </c>
      <c r="W32" s="202">
        <v>70</v>
      </c>
      <c r="X32" s="367">
        <v>43713</v>
      </c>
      <c r="Y32" s="205">
        <v>43831</v>
      </c>
      <c r="Z32" s="205">
        <v>43874</v>
      </c>
      <c r="AA32" s="273">
        <f t="shared" si="3"/>
        <v>2020</v>
      </c>
      <c r="AB32" s="273">
        <f t="shared" si="4"/>
        <v>2</v>
      </c>
      <c r="AC32" s="206" t="s">
        <v>920</v>
      </c>
      <c r="AD32" s="211" t="s">
        <v>422</v>
      </c>
      <c r="AE32" s="211" t="s">
        <v>422</v>
      </c>
      <c r="AF32" s="211" t="s">
        <v>422</v>
      </c>
      <c r="AG32" s="211" t="s">
        <v>422</v>
      </c>
      <c r="AH32" s="211" t="s">
        <v>422</v>
      </c>
      <c r="AI32" s="211" t="s">
        <v>423</v>
      </c>
      <c r="AJ32" s="211" t="s">
        <v>422</v>
      </c>
      <c r="AK32" s="211" t="s">
        <v>423</v>
      </c>
      <c r="AL32" s="210" t="s">
        <v>138</v>
      </c>
      <c r="AM32" s="209"/>
      <c r="AN32" s="209"/>
    </row>
    <row r="33" spans="1:40" x14ac:dyDescent="0.3">
      <c r="A33" s="185">
        <v>7</v>
      </c>
      <c r="B33" s="201" t="s">
        <v>750</v>
      </c>
      <c r="C33" s="247" t="s">
        <v>1615</v>
      </c>
      <c r="D33" s="199" t="s">
        <v>1881</v>
      </c>
      <c r="E33" s="201"/>
      <c r="F33" s="201"/>
      <c r="G33" s="368" t="s">
        <v>1604</v>
      </c>
      <c r="H33" s="212" t="s">
        <v>1428</v>
      </c>
      <c r="I33" s="201">
        <v>3</v>
      </c>
      <c r="J33" s="201">
        <v>13.5</v>
      </c>
      <c r="K33" s="212">
        <v>0</v>
      </c>
      <c r="L33" s="212">
        <v>1.5</v>
      </c>
      <c r="M33" s="212">
        <f t="shared" si="5"/>
        <v>18</v>
      </c>
      <c r="N33" s="212">
        <f t="shared" si="6"/>
        <v>24</v>
      </c>
      <c r="O33" s="212">
        <f t="shared" si="7"/>
        <v>54</v>
      </c>
      <c r="P33" s="212">
        <f t="shared" si="8"/>
        <v>0</v>
      </c>
      <c r="Q33" s="212">
        <f t="shared" si="9"/>
        <v>12</v>
      </c>
      <c r="R33" s="212">
        <f t="shared" si="10"/>
        <v>90</v>
      </c>
      <c r="S33" s="202" t="s">
        <v>775</v>
      </c>
      <c r="T33" s="203" t="s">
        <v>751</v>
      </c>
      <c r="U33" s="202">
        <v>32</v>
      </c>
      <c r="V33" s="202">
        <v>34</v>
      </c>
      <c r="W33" s="202">
        <v>34</v>
      </c>
      <c r="X33" s="367">
        <v>43713</v>
      </c>
      <c r="Y33" s="205">
        <v>43831</v>
      </c>
      <c r="Z33" s="205">
        <v>43874</v>
      </c>
      <c r="AA33" s="273">
        <f t="shared" si="3"/>
        <v>2020</v>
      </c>
      <c r="AB33" s="273">
        <f t="shared" si="4"/>
        <v>2</v>
      </c>
      <c r="AC33" s="206" t="s">
        <v>920</v>
      </c>
      <c r="AD33" s="211" t="s">
        <v>422</v>
      </c>
      <c r="AE33" s="211" t="s">
        <v>422</v>
      </c>
      <c r="AF33" s="211" t="s">
        <v>422</v>
      </c>
      <c r="AG33" s="211" t="s">
        <v>422</v>
      </c>
      <c r="AH33" s="211" t="s">
        <v>422</v>
      </c>
      <c r="AI33" s="211" t="s">
        <v>423</v>
      </c>
      <c r="AJ33" s="211" t="s">
        <v>422</v>
      </c>
      <c r="AK33" s="211" t="s">
        <v>423</v>
      </c>
      <c r="AL33" s="210" t="s">
        <v>138</v>
      </c>
      <c r="AM33" s="209"/>
      <c r="AN33" s="209"/>
    </row>
    <row r="34" spans="1:40" x14ac:dyDescent="0.3">
      <c r="A34" s="185">
        <v>8</v>
      </c>
      <c r="B34" s="201" t="s">
        <v>752</v>
      </c>
      <c r="C34" s="247" t="s">
        <v>1615</v>
      </c>
      <c r="D34" s="199" t="s">
        <v>1881</v>
      </c>
      <c r="E34" s="201"/>
      <c r="F34" s="201"/>
      <c r="G34" s="368" t="s">
        <v>1604</v>
      </c>
      <c r="H34" s="201" t="s">
        <v>1010</v>
      </c>
      <c r="I34" s="201">
        <v>3</v>
      </c>
      <c r="J34" s="201">
        <v>7</v>
      </c>
      <c r="K34" s="212">
        <v>0</v>
      </c>
      <c r="L34" s="212">
        <v>1.5</v>
      </c>
      <c r="M34" s="212">
        <f t="shared" si="5"/>
        <v>11.5</v>
      </c>
      <c r="N34" s="212">
        <f t="shared" si="6"/>
        <v>24</v>
      </c>
      <c r="O34" s="212">
        <f t="shared" si="7"/>
        <v>28</v>
      </c>
      <c r="P34" s="212">
        <f t="shared" si="8"/>
        <v>0</v>
      </c>
      <c r="Q34" s="212">
        <f t="shared" si="9"/>
        <v>12</v>
      </c>
      <c r="R34" s="212">
        <f t="shared" si="10"/>
        <v>64</v>
      </c>
      <c r="S34" s="202" t="s">
        <v>93</v>
      </c>
      <c r="T34" s="203" t="s">
        <v>753</v>
      </c>
      <c r="U34" s="202">
        <v>17</v>
      </c>
      <c r="V34" s="202">
        <v>19</v>
      </c>
      <c r="W34" s="202">
        <v>19</v>
      </c>
      <c r="X34" s="367">
        <v>43713</v>
      </c>
      <c r="Y34" s="205">
        <v>43831</v>
      </c>
      <c r="Z34" s="205">
        <v>43874</v>
      </c>
      <c r="AA34" s="273">
        <f t="shared" si="3"/>
        <v>2020</v>
      </c>
      <c r="AB34" s="273">
        <f t="shared" si="4"/>
        <v>2</v>
      </c>
      <c r="AC34" s="206" t="s">
        <v>920</v>
      </c>
      <c r="AD34" s="211" t="s">
        <v>422</v>
      </c>
      <c r="AE34" s="211" t="s">
        <v>422</v>
      </c>
      <c r="AF34" s="211" t="s">
        <v>422</v>
      </c>
      <c r="AG34" s="211" t="s">
        <v>422</v>
      </c>
      <c r="AH34" s="211" t="s">
        <v>422</v>
      </c>
      <c r="AI34" s="211" t="s">
        <v>423</v>
      </c>
      <c r="AJ34" s="211" t="s">
        <v>422</v>
      </c>
      <c r="AK34" s="211" t="s">
        <v>423</v>
      </c>
      <c r="AL34" s="211" t="s">
        <v>140</v>
      </c>
      <c r="AM34" s="209"/>
      <c r="AN34" s="209"/>
    </row>
    <row r="35" spans="1:40" x14ac:dyDescent="0.3">
      <c r="A35" s="185">
        <v>9</v>
      </c>
      <c r="B35" s="201" t="s">
        <v>754</v>
      </c>
      <c r="C35" s="247" t="s">
        <v>1615</v>
      </c>
      <c r="D35" s="199" t="s">
        <v>1881</v>
      </c>
      <c r="E35" s="201"/>
      <c r="F35" s="201" t="s">
        <v>1597</v>
      </c>
      <c r="G35" s="368" t="s">
        <v>1604</v>
      </c>
      <c r="H35" s="201"/>
      <c r="I35" s="201">
        <v>3</v>
      </c>
      <c r="J35" s="357">
        <v>13.5</v>
      </c>
      <c r="K35" s="212">
        <v>0</v>
      </c>
      <c r="L35" s="212">
        <v>1.5</v>
      </c>
      <c r="M35" s="212">
        <f t="shared" si="5"/>
        <v>18</v>
      </c>
      <c r="N35" s="212">
        <f t="shared" si="6"/>
        <v>24</v>
      </c>
      <c r="O35" s="212">
        <f t="shared" si="7"/>
        <v>54</v>
      </c>
      <c r="P35" s="212">
        <f t="shared" si="8"/>
        <v>0</v>
      </c>
      <c r="Q35" s="212">
        <f t="shared" si="9"/>
        <v>12</v>
      </c>
      <c r="R35" s="212">
        <f t="shared" si="10"/>
        <v>90</v>
      </c>
      <c r="S35" s="202" t="s">
        <v>94</v>
      </c>
      <c r="T35" s="203" t="s">
        <v>755</v>
      </c>
      <c r="U35" s="202">
        <v>17</v>
      </c>
      <c r="V35" s="202">
        <v>19</v>
      </c>
      <c r="W35" s="202">
        <v>19</v>
      </c>
      <c r="X35" s="367">
        <v>43713</v>
      </c>
      <c r="Y35" s="205">
        <v>43831</v>
      </c>
      <c r="Z35" s="205">
        <v>43874</v>
      </c>
      <c r="AA35" s="273">
        <f t="shared" si="3"/>
        <v>2020</v>
      </c>
      <c r="AB35" s="273">
        <f t="shared" si="4"/>
        <v>2</v>
      </c>
      <c r="AC35" s="206" t="s">
        <v>920</v>
      </c>
      <c r="AD35" s="211" t="s">
        <v>422</v>
      </c>
      <c r="AE35" s="211" t="s">
        <v>422</v>
      </c>
      <c r="AF35" s="211" t="s">
        <v>422</v>
      </c>
      <c r="AG35" s="211" t="s">
        <v>422</v>
      </c>
      <c r="AH35" s="211" t="s">
        <v>422</v>
      </c>
      <c r="AI35" s="211" t="s">
        <v>423</v>
      </c>
      <c r="AJ35" s="211" t="s">
        <v>422</v>
      </c>
      <c r="AK35" s="211" t="s">
        <v>423</v>
      </c>
      <c r="AL35" s="211" t="s">
        <v>108</v>
      </c>
      <c r="AM35" s="209"/>
      <c r="AN35" s="209"/>
    </row>
    <row r="36" spans="1:40" x14ac:dyDescent="0.3">
      <c r="A36" s="185">
        <v>10</v>
      </c>
      <c r="B36" s="201" t="s">
        <v>756</v>
      </c>
      <c r="C36" s="247" t="s">
        <v>1615</v>
      </c>
      <c r="D36" s="199" t="s">
        <v>1881</v>
      </c>
      <c r="E36" s="201"/>
      <c r="F36" s="201"/>
      <c r="G36" s="368" t="s">
        <v>1604</v>
      </c>
      <c r="H36" s="212" t="s">
        <v>1428</v>
      </c>
      <c r="I36" s="201">
        <v>3</v>
      </c>
      <c r="J36" s="201">
        <v>11</v>
      </c>
      <c r="K36" s="212">
        <v>0</v>
      </c>
      <c r="L36" s="212">
        <v>1.5</v>
      </c>
      <c r="M36" s="212">
        <f t="shared" si="5"/>
        <v>15.5</v>
      </c>
      <c r="N36" s="212">
        <f t="shared" si="6"/>
        <v>24</v>
      </c>
      <c r="O36" s="212">
        <f t="shared" si="7"/>
        <v>44</v>
      </c>
      <c r="P36" s="212">
        <f t="shared" si="8"/>
        <v>0</v>
      </c>
      <c r="Q36" s="212">
        <f t="shared" si="9"/>
        <v>12</v>
      </c>
      <c r="R36" s="212">
        <f t="shared" si="10"/>
        <v>80</v>
      </c>
      <c r="S36" s="202" t="s">
        <v>95</v>
      </c>
      <c r="T36" s="203" t="s">
        <v>757</v>
      </c>
      <c r="U36" s="202">
        <v>17</v>
      </c>
      <c r="V36" s="202">
        <v>19</v>
      </c>
      <c r="W36" s="202">
        <v>19</v>
      </c>
      <c r="X36" s="367">
        <v>43713</v>
      </c>
      <c r="Y36" s="205">
        <v>43831</v>
      </c>
      <c r="Z36" s="205">
        <v>43874</v>
      </c>
      <c r="AA36" s="273">
        <f t="shared" si="3"/>
        <v>2020</v>
      </c>
      <c r="AB36" s="273">
        <f t="shared" si="4"/>
        <v>2</v>
      </c>
      <c r="AC36" s="206" t="s">
        <v>920</v>
      </c>
      <c r="AD36" s="211" t="s">
        <v>422</v>
      </c>
      <c r="AE36" s="211" t="s">
        <v>422</v>
      </c>
      <c r="AF36" s="211" t="s">
        <v>422</v>
      </c>
      <c r="AG36" s="211" t="s">
        <v>422</v>
      </c>
      <c r="AH36" s="211" t="s">
        <v>422</v>
      </c>
      <c r="AI36" s="211" t="s">
        <v>423</v>
      </c>
      <c r="AJ36" s="211" t="s">
        <v>422</v>
      </c>
      <c r="AK36" s="211" t="s">
        <v>423</v>
      </c>
      <c r="AL36" s="210" t="s">
        <v>138</v>
      </c>
      <c r="AM36" s="209"/>
      <c r="AN36" s="209"/>
    </row>
    <row r="37" spans="1:40" x14ac:dyDescent="0.3">
      <c r="A37" s="185">
        <v>15</v>
      </c>
      <c r="B37" s="212" t="s">
        <v>764</v>
      </c>
      <c r="C37" s="212" t="s">
        <v>1615</v>
      </c>
      <c r="D37" s="199" t="s">
        <v>1881</v>
      </c>
      <c r="E37" s="212"/>
      <c r="F37" s="212" t="s">
        <v>1597</v>
      </c>
      <c r="G37" s="368" t="s">
        <v>1604</v>
      </c>
      <c r="H37" s="212"/>
      <c r="I37" s="212">
        <v>2</v>
      </c>
      <c r="J37" s="357">
        <v>13.5</v>
      </c>
      <c r="K37" s="212">
        <v>0</v>
      </c>
      <c r="L37" s="212">
        <v>1</v>
      </c>
      <c r="M37" s="212">
        <f t="shared" si="5"/>
        <v>16.5</v>
      </c>
      <c r="N37" s="212">
        <f t="shared" si="6"/>
        <v>16</v>
      </c>
      <c r="O37" s="212">
        <f t="shared" si="7"/>
        <v>54</v>
      </c>
      <c r="P37" s="212">
        <f t="shared" si="8"/>
        <v>0</v>
      </c>
      <c r="Q37" s="212">
        <f t="shared" si="9"/>
        <v>8</v>
      </c>
      <c r="R37" s="212">
        <f t="shared" si="10"/>
        <v>78</v>
      </c>
      <c r="S37" s="213" t="s">
        <v>1012</v>
      </c>
      <c r="T37" s="214" t="s">
        <v>763</v>
      </c>
      <c r="U37" s="213">
        <v>119</v>
      </c>
      <c r="V37" s="213">
        <v>121</v>
      </c>
      <c r="W37" s="213">
        <v>121</v>
      </c>
      <c r="X37" s="215">
        <v>43713</v>
      </c>
      <c r="Y37" s="216">
        <v>43862</v>
      </c>
      <c r="Z37" s="205">
        <v>43874</v>
      </c>
      <c r="AA37" s="273">
        <f t="shared" si="3"/>
        <v>2020</v>
      </c>
      <c r="AB37" s="273">
        <f t="shared" si="4"/>
        <v>2</v>
      </c>
      <c r="AC37" s="217" t="s">
        <v>920</v>
      </c>
      <c r="AD37" s="217" t="s">
        <v>422</v>
      </c>
      <c r="AE37" s="217" t="s">
        <v>422</v>
      </c>
      <c r="AF37" s="217" t="s">
        <v>422</v>
      </c>
      <c r="AG37" s="217" t="s">
        <v>422</v>
      </c>
      <c r="AH37" s="217" t="s">
        <v>422</v>
      </c>
      <c r="AI37" s="217" t="s">
        <v>423</v>
      </c>
      <c r="AJ37" s="217" t="s">
        <v>422</v>
      </c>
      <c r="AK37" s="217" t="s">
        <v>423</v>
      </c>
      <c r="AL37" s="218" t="s">
        <v>108</v>
      </c>
      <c r="AM37" s="218"/>
      <c r="AN37" s="218"/>
    </row>
    <row r="38" spans="1:40" ht="16.5" customHeight="1" x14ac:dyDescent="0.3">
      <c r="A38" s="185">
        <v>67</v>
      </c>
      <c r="B38" s="212" t="s">
        <v>837</v>
      </c>
      <c r="C38" s="212" t="s">
        <v>1846</v>
      </c>
      <c r="D38" s="201" t="s">
        <v>1881</v>
      </c>
      <c r="E38" s="212"/>
      <c r="F38" s="212"/>
      <c r="G38" s="368" t="s">
        <v>1604</v>
      </c>
      <c r="H38" s="212" t="s">
        <v>1010</v>
      </c>
      <c r="I38" s="212">
        <v>3</v>
      </c>
      <c r="J38" s="212">
        <f>9.5+2</f>
        <v>11.5</v>
      </c>
      <c r="K38" s="212">
        <v>0</v>
      </c>
      <c r="L38" s="212">
        <v>1.5</v>
      </c>
      <c r="M38" s="212">
        <f t="shared" si="5"/>
        <v>16</v>
      </c>
      <c r="N38" s="212">
        <f t="shared" si="6"/>
        <v>24</v>
      </c>
      <c r="O38" s="212">
        <f t="shared" si="7"/>
        <v>46</v>
      </c>
      <c r="P38" s="212">
        <f t="shared" si="8"/>
        <v>0</v>
      </c>
      <c r="Q38" s="212">
        <f t="shared" si="9"/>
        <v>12</v>
      </c>
      <c r="R38" s="212">
        <f t="shared" si="10"/>
        <v>82</v>
      </c>
      <c r="S38" s="213" t="s">
        <v>875</v>
      </c>
      <c r="T38" s="217" t="s">
        <v>874</v>
      </c>
      <c r="U38" s="213">
        <v>144</v>
      </c>
      <c r="V38" s="213">
        <v>144</v>
      </c>
      <c r="W38" s="213">
        <v>144</v>
      </c>
      <c r="X38" s="215">
        <v>43868</v>
      </c>
      <c r="Y38" s="216">
        <v>43879</v>
      </c>
      <c r="Z38" s="205">
        <v>43879</v>
      </c>
      <c r="AA38" s="273">
        <f t="shared" si="3"/>
        <v>2020</v>
      </c>
      <c r="AB38" s="273">
        <f t="shared" si="4"/>
        <v>2</v>
      </c>
      <c r="AC38" s="217" t="s">
        <v>927</v>
      </c>
      <c r="AD38" s="278" t="s">
        <v>423</v>
      </c>
      <c r="AE38" s="278" t="s">
        <v>423</v>
      </c>
      <c r="AF38" s="278" t="s">
        <v>423</v>
      </c>
      <c r="AG38" s="278" t="s">
        <v>423</v>
      </c>
      <c r="AH38" s="278" t="s">
        <v>423</v>
      </c>
      <c r="AI38" s="278" t="s">
        <v>423</v>
      </c>
      <c r="AJ38" s="278" t="s">
        <v>423</v>
      </c>
      <c r="AK38" s="278" t="s">
        <v>423</v>
      </c>
      <c r="AL38" s="218" t="s">
        <v>1010</v>
      </c>
      <c r="AM38" s="218"/>
      <c r="AN38" s="228" t="s">
        <v>1195</v>
      </c>
    </row>
    <row r="39" spans="1:40" x14ac:dyDescent="0.3">
      <c r="A39" s="185">
        <v>18</v>
      </c>
      <c r="B39" s="212" t="s">
        <v>770</v>
      </c>
      <c r="C39" s="212" t="s">
        <v>1615</v>
      </c>
      <c r="D39" s="199" t="s">
        <v>1881</v>
      </c>
      <c r="E39" s="212"/>
      <c r="F39" s="212" t="s">
        <v>1597</v>
      </c>
      <c r="G39" s="212" t="s">
        <v>1940</v>
      </c>
      <c r="H39" s="212"/>
      <c r="I39" s="212">
        <v>2</v>
      </c>
      <c r="J39" s="357">
        <v>7</v>
      </c>
      <c r="K39" s="212">
        <v>29</v>
      </c>
      <c r="L39" s="212">
        <v>1</v>
      </c>
      <c r="M39" s="212">
        <f t="shared" si="5"/>
        <v>39</v>
      </c>
      <c r="N39" s="212">
        <f t="shared" si="6"/>
        <v>16</v>
      </c>
      <c r="O39" s="212">
        <f t="shared" si="7"/>
        <v>28</v>
      </c>
      <c r="P39" s="212">
        <f t="shared" si="8"/>
        <v>193.33333333333334</v>
      </c>
      <c r="Q39" s="212">
        <f t="shared" si="9"/>
        <v>8</v>
      </c>
      <c r="R39" s="212">
        <f t="shared" si="10"/>
        <v>245.33333333333334</v>
      </c>
      <c r="S39" s="213" t="s">
        <v>694</v>
      </c>
      <c r="T39" s="214" t="s">
        <v>769</v>
      </c>
      <c r="U39" s="213">
        <v>123</v>
      </c>
      <c r="V39" s="213">
        <v>126</v>
      </c>
      <c r="W39" s="213">
        <v>126</v>
      </c>
      <c r="X39" s="215">
        <v>43713</v>
      </c>
      <c r="Y39" s="216">
        <v>43891</v>
      </c>
      <c r="Z39" s="205">
        <v>43892</v>
      </c>
      <c r="AA39" s="273">
        <f t="shared" si="3"/>
        <v>2020</v>
      </c>
      <c r="AB39" s="273">
        <f t="shared" si="4"/>
        <v>3</v>
      </c>
      <c r="AC39" s="217" t="s">
        <v>920</v>
      </c>
      <c r="AD39" s="217" t="s">
        <v>422</v>
      </c>
      <c r="AE39" s="217" t="s">
        <v>423</v>
      </c>
      <c r="AF39" s="217" t="s">
        <v>422</v>
      </c>
      <c r="AG39" s="217" t="s">
        <v>422</v>
      </c>
      <c r="AH39" s="217" t="s">
        <v>423</v>
      </c>
      <c r="AI39" s="217" t="s">
        <v>422</v>
      </c>
      <c r="AJ39" s="217" t="s">
        <v>423</v>
      </c>
      <c r="AK39" s="217" t="s">
        <v>422</v>
      </c>
      <c r="AL39" s="218" t="s">
        <v>1009</v>
      </c>
      <c r="AM39" s="218"/>
      <c r="AN39" s="220"/>
    </row>
    <row r="40" spans="1:40" x14ac:dyDescent="0.3">
      <c r="A40" s="185">
        <v>11</v>
      </c>
      <c r="B40" s="212" t="s">
        <v>758</v>
      </c>
      <c r="C40" s="247" t="s">
        <v>1615</v>
      </c>
      <c r="D40" s="199" t="s">
        <v>1881</v>
      </c>
      <c r="E40" s="212"/>
      <c r="F40" s="212"/>
      <c r="G40" s="368" t="s">
        <v>1604</v>
      </c>
      <c r="H40" s="212" t="s">
        <v>1428</v>
      </c>
      <c r="I40" s="357">
        <v>2</v>
      </c>
      <c r="J40" s="212">
        <v>6.5</v>
      </c>
      <c r="K40" s="212">
        <v>0</v>
      </c>
      <c r="L40" s="212">
        <v>1</v>
      </c>
      <c r="M40" s="212">
        <f t="shared" si="5"/>
        <v>9.5</v>
      </c>
      <c r="N40" s="212">
        <f t="shared" si="6"/>
        <v>16</v>
      </c>
      <c r="O40" s="212">
        <f t="shared" si="7"/>
        <v>26</v>
      </c>
      <c r="P40" s="212">
        <f t="shared" si="8"/>
        <v>0</v>
      </c>
      <c r="Q40" s="212">
        <f t="shared" si="9"/>
        <v>8</v>
      </c>
      <c r="R40" s="212">
        <f t="shared" si="10"/>
        <v>50</v>
      </c>
      <c r="S40" s="213" t="s">
        <v>996</v>
      </c>
      <c r="T40" s="214" t="s">
        <v>759</v>
      </c>
      <c r="U40" s="213">
        <v>100</v>
      </c>
      <c r="V40" s="213">
        <v>101</v>
      </c>
      <c r="W40" s="213">
        <v>101</v>
      </c>
      <c r="X40" s="215">
        <v>43713</v>
      </c>
      <c r="Y40" s="216">
        <v>43800</v>
      </c>
      <c r="Z40" s="205">
        <v>44006</v>
      </c>
      <c r="AA40" s="273">
        <f t="shared" si="3"/>
        <v>2020</v>
      </c>
      <c r="AB40" s="273">
        <f t="shared" si="4"/>
        <v>6</v>
      </c>
      <c r="AC40" s="217" t="s">
        <v>920</v>
      </c>
      <c r="AD40" s="217" t="s">
        <v>422</v>
      </c>
      <c r="AE40" s="217" t="s">
        <v>422</v>
      </c>
      <c r="AF40" s="217" t="s">
        <v>422</v>
      </c>
      <c r="AG40" s="217" t="s">
        <v>422</v>
      </c>
      <c r="AH40" s="217" t="s">
        <v>422</v>
      </c>
      <c r="AI40" s="217" t="s">
        <v>423</v>
      </c>
      <c r="AJ40" s="217" t="s">
        <v>422</v>
      </c>
      <c r="AK40" s="217" t="s">
        <v>423</v>
      </c>
      <c r="AL40" s="210" t="s">
        <v>138</v>
      </c>
      <c r="AM40" s="218"/>
      <c r="AN40" s="218"/>
    </row>
    <row r="41" spans="1:40" x14ac:dyDescent="0.3">
      <c r="A41" s="185">
        <v>12</v>
      </c>
      <c r="B41" s="212" t="s">
        <v>760</v>
      </c>
      <c r="C41" s="247" t="s">
        <v>1615</v>
      </c>
      <c r="D41" s="199" t="s">
        <v>1881</v>
      </c>
      <c r="E41" s="212"/>
      <c r="F41" s="212"/>
      <c r="G41" s="368" t="s">
        <v>1604</v>
      </c>
      <c r="H41" s="212" t="s">
        <v>1428</v>
      </c>
      <c r="I41" s="357">
        <v>2</v>
      </c>
      <c r="J41" s="212">
        <v>10.8</v>
      </c>
      <c r="K41" s="212">
        <v>0</v>
      </c>
      <c r="L41" s="212">
        <v>1.5</v>
      </c>
      <c r="M41" s="212">
        <f t="shared" si="5"/>
        <v>14.3</v>
      </c>
      <c r="N41" s="212">
        <f t="shared" si="6"/>
        <v>16</v>
      </c>
      <c r="O41" s="212">
        <f t="shared" si="7"/>
        <v>43.2</v>
      </c>
      <c r="P41" s="212">
        <f t="shared" si="8"/>
        <v>0</v>
      </c>
      <c r="Q41" s="212">
        <f t="shared" si="9"/>
        <v>12</v>
      </c>
      <c r="R41" s="212">
        <f t="shared" si="10"/>
        <v>71.2</v>
      </c>
      <c r="S41" s="213" t="s">
        <v>1013</v>
      </c>
      <c r="T41" s="214" t="s">
        <v>777</v>
      </c>
      <c r="U41" s="213">
        <v>123</v>
      </c>
      <c r="V41" s="213">
        <v>123</v>
      </c>
      <c r="W41" s="399">
        <v>123</v>
      </c>
      <c r="X41" s="215">
        <v>43713</v>
      </c>
      <c r="Y41" s="216">
        <v>43862</v>
      </c>
      <c r="Z41" s="205">
        <v>44006</v>
      </c>
      <c r="AA41" s="273">
        <f t="shared" si="3"/>
        <v>2020</v>
      </c>
      <c r="AB41" s="273">
        <f t="shared" si="4"/>
        <v>6</v>
      </c>
      <c r="AC41" s="217" t="s">
        <v>920</v>
      </c>
      <c r="AD41" s="217" t="s">
        <v>422</v>
      </c>
      <c r="AE41" s="217" t="s">
        <v>422</v>
      </c>
      <c r="AF41" s="217" t="s">
        <v>422</v>
      </c>
      <c r="AG41" s="217" t="s">
        <v>422</v>
      </c>
      <c r="AH41" s="217" t="s">
        <v>422</v>
      </c>
      <c r="AI41" s="217" t="s">
        <v>423</v>
      </c>
      <c r="AJ41" s="217" t="s">
        <v>422</v>
      </c>
      <c r="AK41" s="217" t="s">
        <v>423</v>
      </c>
      <c r="AL41" s="210" t="s">
        <v>138</v>
      </c>
      <c r="AM41" s="218"/>
      <c r="AN41" s="218"/>
    </row>
    <row r="42" spans="1:40" x14ac:dyDescent="0.3">
      <c r="A42" s="185">
        <v>13</v>
      </c>
      <c r="B42" s="212" t="s">
        <v>760</v>
      </c>
      <c r="C42" s="247" t="s">
        <v>1615</v>
      </c>
      <c r="D42" s="199" t="s">
        <v>1881</v>
      </c>
      <c r="E42" s="212"/>
      <c r="F42" s="212"/>
      <c r="G42" s="368" t="s">
        <v>1604</v>
      </c>
      <c r="H42" s="212" t="s">
        <v>1428</v>
      </c>
      <c r="I42" s="357">
        <v>2</v>
      </c>
      <c r="J42" s="212">
        <v>10.8</v>
      </c>
      <c r="K42" s="212">
        <v>0</v>
      </c>
      <c r="L42" s="212">
        <v>1.5</v>
      </c>
      <c r="M42" s="212">
        <f t="shared" si="5"/>
        <v>14.3</v>
      </c>
      <c r="N42" s="212">
        <f t="shared" si="6"/>
        <v>16</v>
      </c>
      <c r="O42" s="212">
        <f t="shared" si="7"/>
        <v>43.2</v>
      </c>
      <c r="P42" s="212">
        <f t="shared" si="8"/>
        <v>0</v>
      </c>
      <c r="Q42" s="212">
        <f t="shared" si="9"/>
        <v>12</v>
      </c>
      <c r="R42" s="212">
        <f t="shared" si="10"/>
        <v>71.2</v>
      </c>
      <c r="S42" s="213" t="s">
        <v>776</v>
      </c>
      <c r="T42" s="214" t="s">
        <v>777</v>
      </c>
      <c r="U42" s="213">
        <v>108</v>
      </c>
      <c r="V42" s="213">
        <v>108</v>
      </c>
      <c r="W42" s="399">
        <v>108</v>
      </c>
      <c r="X42" s="215">
        <v>43713</v>
      </c>
      <c r="Y42" s="216">
        <v>43862</v>
      </c>
      <c r="Z42" s="205">
        <v>44006</v>
      </c>
      <c r="AA42" s="273">
        <f t="shared" si="3"/>
        <v>2020</v>
      </c>
      <c r="AB42" s="273">
        <f t="shared" si="4"/>
        <v>6</v>
      </c>
      <c r="AC42" s="217" t="s">
        <v>920</v>
      </c>
      <c r="AD42" s="217" t="s">
        <v>422</v>
      </c>
      <c r="AE42" s="217" t="s">
        <v>422</v>
      </c>
      <c r="AF42" s="217" t="s">
        <v>422</v>
      </c>
      <c r="AG42" s="217" t="s">
        <v>422</v>
      </c>
      <c r="AH42" s="217" t="s">
        <v>422</v>
      </c>
      <c r="AI42" s="217" t="s">
        <v>423</v>
      </c>
      <c r="AJ42" s="217" t="s">
        <v>422</v>
      </c>
      <c r="AK42" s="217" t="s">
        <v>423</v>
      </c>
      <c r="AL42" s="210" t="s">
        <v>138</v>
      </c>
      <c r="AM42" s="218"/>
      <c r="AN42" s="209"/>
    </row>
    <row r="43" spans="1:40" x14ac:dyDescent="0.3">
      <c r="A43" s="185">
        <v>19</v>
      </c>
      <c r="B43" s="212" t="s">
        <v>781</v>
      </c>
      <c r="C43" s="212" t="s">
        <v>1615</v>
      </c>
      <c r="D43" s="199" t="s">
        <v>1881</v>
      </c>
      <c r="E43" s="212"/>
      <c r="F43" s="212"/>
      <c r="G43" s="212" t="s">
        <v>1940</v>
      </c>
      <c r="H43" s="212" t="s">
        <v>1041</v>
      </c>
      <c r="I43" s="357">
        <v>2</v>
      </c>
      <c r="J43" s="212">
        <v>6</v>
      </c>
      <c r="K43" s="212">
        <v>29</v>
      </c>
      <c r="L43" s="212">
        <v>1</v>
      </c>
      <c r="M43" s="212">
        <f t="shared" si="5"/>
        <v>38</v>
      </c>
      <c r="N43" s="212">
        <f t="shared" si="6"/>
        <v>16</v>
      </c>
      <c r="O43" s="212">
        <f t="shared" si="7"/>
        <v>24</v>
      </c>
      <c r="P43" s="212">
        <f t="shared" si="8"/>
        <v>193.33333333333334</v>
      </c>
      <c r="Q43" s="212">
        <f t="shared" si="9"/>
        <v>8</v>
      </c>
      <c r="R43" s="212">
        <f t="shared" si="10"/>
        <v>241.33333333333334</v>
      </c>
      <c r="S43" s="213" t="s">
        <v>782</v>
      </c>
      <c r="T43" s="214" t="s">
        <v>771</v>
      </c>
      <c r="U43" s="213">
        <v>74</v>
      </c>
      <c r="V43" s="213">
        <v>77</v>
      </c>
      <c r="W43" s="213">
        <v>77</v>
      </c>
      <c r="X43" s="215">
        <v>43713</v>
      </c>
      <c r="Y43" s="216">
        <v>43891</v>
      </c>
      <c r="Z43" s="205">
        <v>44006</v>
      </c>
      <c r="AA43" s="273">
        <f t="shared" si="3"/>
        <v>2020</v>
      </c>
      <c r="AB43" s="273">
        <f t="shared" si="4"/>
        <v>6</v>
      </c>
      <c r="AC43" s="221" t="s">
        <v>920</v>
      </c>
      <c r="AD43" s="217" t="s">
        <v>422</v>
      </c>
      <c r="AE43" s="217" t="s">
        <v>423</v>
      </c>
      <c r="AF43" s="217" t="s">
        <v>422</v>
      </c>
      <c r="AG43" s="217" t="s">
        <v>422</v>
      </c>
      <c r="AH43" s="217" t="s">
        <v>423</v>
      </c>
      <c r="AI43" s="217" t="s">
        <v>422</v>
      </c>
      <c r="AJ43" s="217" t="s">
        <v>423</v>
      </c>
      <c r="AK43" s="217" t="s">
        <v>422</v>
      </c>
      <c r="AL43" s="218" t="s">
        <v>698</v>
      </c>
      <c r="AM43" s="218"/>
      <c r="AN43" s="220"/>
    </row>
    <row r="44" spans="1:40" x14ac:dyDescent="0.3">
      <c r="A44" s="185">
        <v>44</v>
      </c>
      <c r="B44" s="212" t="s">
        <v>1000</v>
      </c>
      <c r="C44" s="247" t="s">
        <v>1615</v>
      </c>
      <c r="D44" s="200" t="s">
        <v>1881</v>
      </c>
      <c r="E44" s="212"/>
      <c r="F44" s="212"/>
      <c r="G44" s="368" t="s">
        <v>1604</v>
      </c>
      <c r="H44" s="212" t="s">
        <v>1946</v>
      </c>
      <c r="I44" s="357">
        <v>2</v>
      </c>
      <c r="J44" s="212">
        <v>105</v>
      </c>
      <c r="K44" s="212">
        <v>0</v>
      </c>
      <c r="L44" s="212">
        <v>1.5</v>
      </c>
      <c r="M44" s="212">
        <f t="shared" si="5"/>
        <v>108.5</v>
      </c>
      <c r="N44" s="212">
        <f t="shared" si="6"/>
        <v>16</v>
      </c>
      <c r="O44" s="212">
        <f t="shared" si="7"/>
        <v>420</v>
      </c>
      <c r="P44" s="212">
        <f t="shared" si="8"/>
        <v>0</v>
      </c>
      <c r="Q44" s="212">
        <f t="shared" si="9"/>
        <v>12</v>
      </c>
      <c r="R44" s="212">
        <f t="shared" si="10"/>
        <v>448</v>
      </c>
      <c r="S44" s="202">
        <v>397660</v>
      </c>
      <c r="T44" s="203" t="s">
        <v>1007</v>
      </c>
      <c r="U44" s="202">
        <v>84</v>
      </c>
      <c r="V44" s="202">
        <v>87</v>
      </c>
      <c r="W44" s="202">
        <v>87</v>
      </c>
      <c r="X44" s="367">
        <v>43781</v>
      </c>
      <c r="Y44" s="205">
        <v>43905</v>
      </c>
      <c r="Z44" s="205">
        <v>44006</v>
      </c>
      <c r="AA44" s="273">
        <f t="shared" si="3"/>
        <v>2020</v>
      </c>
      <c r="AB44" s="273">
        <f t="shared" si="4"/>
        <v>6</v>
      </c>
      <c r="AC44" s="211" t="s">
        <v>920</v>
      </c>
      <c r="AD44" s="217" t="s">
        <v>422</v>
      </c>
      <c r="AE44" s="217" t="s">
        <v>422</v>
      </c>
      <c r="AF44" s="217" t="s">
        <v>422</v>
      </c>
      <c r="AG44" s="217" t="s">
        <v>422</v>
      </c>
      <c r="AH44" s="217" t="s">
        <v>423</v>
      </c>
      <c r="AI44" s="217" t="s">
        <v>423</v>
      </c>
      <c r="AJ44" s="217" t="s">
        <v>422</v>
      </c>
      <c r="AK44" s="217" t="s">
        <v>423</v>
      </c>
      <c r="AL44" s="222" t="s">
        <v>140</v>
      </c>
      <c r="AM44" s="209"/>
      <c r="AN44" s="209"/>
    </row>
    <row r="45" spans="1:40" ht="16.5" customHeight="1" x14ac:dyDescent="0.3">
      <c r="A45" s="185">
        <v>45</v>
      </c>
      <c r="B45" s="212" t="s">
        <v>806</v>
      </c>
      <c r="C45" s="247" t="s">
        <v>1618</v>
      </c>
      <c r="D45" s="200" t="s">
        <v>1881</v>
      </c>
      <c r="E45" s="212"/>
      <c r="F45" s="212"/>
      <c r="G45" s="368" t="s">
        <v>1604</v>
      </c>
      <c r="H45" s="212" t="s">
        <v>1008</v>
      </c>
      <c r="I45" s="357">
        <v>2</v>
      </c>
      <c r="J45" s="212">
        <v>6</v>
      </c>
      <c r="K45" s="212">
        <v>0</v>
      </c>
      <c r="L45" s="212">
        <v>1</v>
      </c>
      <c r="M45" s="212">
        <f t="shared" si="5"/>
        <v>9</v>
      </c>
      <c r="N45" s="212">
        <f t="shared" si="6"/>
        <v>16</v>
      </c>
      <c r="O45" s="212">
        <f t="shared" si="7"/>
        <v>24</v>
      </c>
      <c r="P45" s="212">
        <f t="shared" si="8"/>
        <v>0</v>
      </c>
      <c r="Q45" s="212">
        <f t="shared" si="9"/>
        <v>8</v>
      </c>
      <c r="R45" s="212">
        <f t="shared" si="10"/>
        <v>48</v>
      </c>
      <c r="S45" s="202" t="s">
        <v>807</v>
      </c>
      <c r="T45" s="211" t="s">
        <v>816</v>
      </c>
      <c r="U45" s="202">
        <v>120</v>
      </c>
      <c r="V45" s="202">
        <v>122</v>
      </c>
      <c r="W45" s="202">
        <v>122</v>
      </c>
      <c r="X45" s="367">
        <v>43781</v>
      </c>
      <c r="Y45" s="205">
        <v>43905</v>
      </c>
      <c r="Z45" s="205">
        <v>43997</v>
      </c>
      <c r="AA45" s="273">
        <f t="shared" si="3"/>
        <v>2020</v>
      </c>
      <c r="AB45" s="273">
        <f t="shared" si="4"/>
        <v>6</v>
      </c>
      <c r="AC45" s="211" t="s">
        <v>920</v>
      </c>
      <c r="AD45" s="217" t="s">
        <v>422</v>
      </c>
      <c r="AE45" s="217" t="s">
        <v>422</v>
      </c>
      <c r="AF45" s="217" t="s">
        <v>422</v>
      </c>
      <c r="AG45" s="217" t="s">
        <v>422</v>
      </c>
      <c r="AH45" s="217" t="s">
        <v>422</v>
      </c>
      <c r="AI45" s="217" t="s">
        <v>423</v>
      </c>
      <c r="AJ45" s="217" t="s">
        <v>422</v>
      </c>
      <c r="AK45" s="217" t="s">
        <v>423</v>
      </c>
      <c r="AL45" s="222" t="s">
        <v>888</v>
      </c>
      <c r="AM45" s="209"/>
      <c r="AN45" s="209"/>
    </row>
    <row r="46" spans="1:40" ht="16.5" customHeight="1" x14ac:dyDescent="0.3">
      <c r="A46" s="185">
        <v>46</v>
      </c>
      <c r="B46" s="212" t="s">
        <v>808</v>
      </c>
      <c r="C46" s="247" t="s">
        <v>1618</v>
      </c>
      <c r="D46" s="200" t="s">
        <v>1881</v>
      </c>
      <c r="E46" s="212"/>
      <c r="F46" s="212"/>
      <c r="G46" s="368" t="s">
        <v>1604</v>
      </c>
      <c r="H46" s="212" t="s">
        <v>1008</v>
      </c>
      <c r="I46" s="357">
        <v>2</v>
      </c>
      <c r="J46" s="212">
        <v>8.5</v>
      </c>
      <c r="K46" s="212">
        <v>0</v>
      </c>
      <c r="L46" s="212">
        <v>1.5</v>
      </c>
      <c r="M46" s="212">
        <f t="shared" si="5"/>
        <v>12</v>
      </c>
      <c r="N46" s="212">
        <f t="shared" si="6"/>
        <v>16</v>
      </c>
      <c r="O46" s="212">
        <f t="shared" si="7"/>
        <v>34</v>
      </c>
      <c r="P46" s="212">
        <f t="shared" si="8"/>
        <v>0</v>
      </c>
      <c r="Q46" s="212">
        <f t="shared" si="9"/>
        <v>12</v>
      </c>
      <c r="R46" s="212">
        <f t="shared" si="10"/>
        <v>62</v>
      </c>
      <c r="S46" s="202" t="s">
        <v>812</v>
      </c>
      <c r="T46" s="211" t="s">
        <v>817</v>
      </c>
      <c r="U46" s="202">
        <v>120</v>
      </c>
      <c r="V46" s="202">
        <v>122</v>
      </c>
      <c r="W46" s="202">
        <v>122</v>
      </c>
      <c r="X46" s="367">
        <v>43781</v>
      </c>
      <c r="Y46" s="205">
        <v>43905</v>
      </c>
      <c r="Z46" s="205">
        <v>43997</v>
      </c>
      <c r="AA46" s="273">
        <f t="shared" si="3"/>
        <v>2020</v>
      </c>
      <c r="AB46" s="273">
        <f t="shared" si="4"/>
        <v>6</v>
      </c>
      <c r="AC46" s="211" t="s">
        <v>920</v>
      </c>
      <c r="AD46" s="217" t="s">
        <v>422</v>
      </c>
      <c r="AE46" s="217" t="s">
        <v>422</v>
      </c>
      <c r="AF46" s="217" t="s">
        <v>422</v>
      </c>
      <c r="AG46" s="217" t="s">
        <v>422</v>
      </c>
      <c r="AH46" s="217" t="s">
        <v>422</v>
      </c>
      <c r="AI46" s="217" t="s">
        <v>423</v>
      </c>
      <c r="AJ46" s="217" t="s">
        <v>422</v>
      </c>
      <c r="AK46" s="217" t="s">
        <v>423</v>
      </c>
      <c r="AL46" s="222" t="s">
        <v>888</v>
      </c>
      <c r="AM46" s="209"/>
      <c r="AN46" s="209"/>
    </row>
    <row r="47" spans="1:40" ht="16.5" customHeight="1" x14ac:dyDescent="0.3">
      <c r="A47" s="185">
        <v>47</v>
      </c>
      <c r="B47" s="212" t="s">
        <v>809</v>
      </c>
      <c r="C47" s="247" t="s">
        <v>1618</v>
      </c>
      <c r="D47" s="200" t="s">
        <v>1881</v>
      </c>
      <c r="E47" s="212"/>
      <c r="F47" s="212"/>
      <c r="G47" s="368" t="s">
        <v>1604</v>
      </c>
      <c r="H47" s="212" t="s">
        <v>1008</v>
      </c>
      <c r="I47" s="357">
        <v>2</v>
      </c>
      <c r="J47" s="212">
        <v>8</v>
      </c>
      <c r="K47" s="212">
        <v>0</v>
      </c>
      <c r="L47" s="212">
        <v>1.5</v>
      </c>
      <c r="M47" s="212">
        <f t="shared" si="5"/>
        <v>11.5</v>
      </c>
      <c r="N47" s="212">
        <f t="shared" si="6"/>
        <v>16</v>
      </c>
      <c r="O47" s="212">
        <f t="shared" si="7"/>
        <v>32</v>
      </c>
      <c r="P47" s="212">
        <f t="shared" si="8"/>
        <v>0</v>
      </c>
      <c r="Q47" s="212">
        <f t="shared" si="9"/>
        <v>12</v>
      </c>
      <c r="R47" s="212">
        <f t="shared" si="10"/>
        <v>60</v>
      </c>
      <c r="S47" s="202" t="s">
        <v>813</v>
      </c>
      <c r="T47" s="211" t="s">
        <v>818</v>
      </c>
      <c r="U47" s="202">
        <v>120</v>
      </c>
      <c r="V47" s="202">
        <v>122</v>
      </c>
      <c r="W47" s="202">
        <v>122</v>
      </c>
      <c r="X47" s="367">
        <v>43781</v>
      </c>
      <c r="Y47" s="205">
        <v>43905</v>
      </c>
      <c r="Z47" s="205">
        <v>43997</v>
      </c>
      <c r="AA47" s="273">
        <f t="shared" si="3"/>
        <v>2020</v>
      </c>
      <c r="AB47" s="273">
        <f t="shared" si="4"/>
        <v>6</v>
      </c>
      <c r="AC47" s="211" t="s">
        <v>920</v>
      </c>
      <c r="AD47" s="217" t="s">
        <v>422</v>
      </c>
      <c r="AE47" s="217" t="s">
        <v>422</v>
      </c>
      <c r="AF47" s="217" t="s">
        <v>422</v>
      </c>
      <c r="AG47" s="217" t="s">
        <v>422</v>
      </c>
      <c r="AH47" s="217" t="s">
        <v>423</v>
      </c>
      <c r="AI47" s="217" t="s">
        <v>423</v>
      </c>
      <c r="AJ47" s="217" t="s">
        <v>422</v>
      </c>
      <c r="AK47" s="217" t="s">
        <v>423</v>
      </c>
      <c r="AL47" s="222" t="s">
        <v>1008</v>
      </c>
      <c r="AM47" s="209"/>
      <c r="AN47" s="209"/>
    </row>
    <row r="48" spans="1:40" x14ac:dyDescent="0.3">
      <c r="A48" s="185">
        <v>48</v>
      </c>
      <c r="B48" s="212" t="s">
        <v>810</v>
      </c>
      <c r="C48" s="247" t="s">
        <v>1618</v>
      </c>
      <c r="D48" s="200" t="s">
        <v>1881</v>
      </c>
      <c r="E48" s="212"/>
      <c r="F48" s="212" t="s">
        <v>1597</v>
      </c>
      <c r="G48" s="368" t="s">
        <v>1604</v>
      </c>
      <c r="H48" s="212" t="s">
        <v>1597</v>
      </c>
      <c r="I48" s="212">
        <v>2</v>
      </c>
      <c r="J48" s="357">
        <v>12</v>
      </c>
      <c r="K48" s="212">
        <v>0</v>
      </c>
      <c r="L48" s="212">
        <v>1</v>
      </c>
      <c r="M48" s="212">
        <f t="shared" si="5"/>
        <v>15</v>
      </c>
      <c r="N48" s="212">
        <f t="shared" si="6"/>
        <v>16</v>
      </c>
      <c r="O48" s="212">
        <f t="shared" si="7"/>
        <v>48</v>
      </c>
      <c r="P48" s="212">
        <f t="shared" si="8"/>
        <v>0</v>
      </c>
      <c r="Q48" s="212">
        <f t="shared" si="9"/>
        <v>8</v>
      </c>
      <c r="R48" s="212">
        <f t="shared" si="10"/>
        <v>72</v>
      </c>
      <c r="S48" s="202" t="s">
        <v>814</v>
      </c>
      <c r="T48" s="211" t="s">
        <v>819</v>
      </c>
      <c r="U48" s="202">
        <v>120</v>
      </c>
      <c r="V48" s="202">
        <v>122</v>
      </c>
      <c r="W48" s="202">
        <v>122</v>
      </c>
      <c r="X48" s="367">
        <v>43781</v>
      </c>
      <c r="Y48" s="205">
        <v>43905</v>
      </c>
      <c r="Z48" s="205">
        <v>43997</v>
      </c>
      <c r="AA48" s="273">
        <f t="shared" si="3"/>
        <v>2020</v>
      </c>
      <c r="AB48" s="273">
        <f t="shared" si="4"/>
        <v>6</v>
      </c>
      <c r="AC48" s="211" t="s">
        <v>920</v>
      </c>
      <c r="AD48" s="217" t="s">
        <v>422</v>
      </c>
      <c r="AE48" s="217" t="s">
        <v>422</v>
      </c>
      <c r="AF48" s="217" t="s">
        <v>422</v>
      </c>
      <c r="AG48" s="217" t="s">
        <v>422</v>
      </c>
      <c r="AH48" s="217" t="s">
        <v>423</v>
      </c>
      <c r="AI48" s="217" t="s">
        <v>423</v>
      </c>
      <c r="AJ48" s="217" t="s">
        <v>423</v>
      </c>
      <c r="AK48" s="217" t="s">
        <v>423</v>
      </c>
      <c r="AL48" s="222" t="s">
        <v>1009</v>
      </c>
      <c r="AM48" s="209"/>
      <c r="AN48" s="209"/>
    </row>
    <row r="49" spans="1:40" x14ac:dyDescent="0.3">
      <c r="A49" s="185">
        <v>49</v>
      </c>
      <c r="B49" s="212" t="s">
        <v>811</v>
      </c>
      <c r="C49" s="247" t="s">
        <v>1618</v>
      </c>
      <c r="D49" s="200" t="s">
        <v>1881</v>
      </c>
      <c r="E49" s="212"/>
      <c r="F49" s="212"/>
      <c r="G49" s="368" t="s">
        <v>1604</v>
      </c>
      <c r="H49" s="212" t="s">
        <v>1947</v>
      </c>
      <c r="I49" s="357">
        <v>2</v>
      </c>
      <c r="J49" s="212">
        <v>6</v>
      </c>
      <c r="K49" s="212">
        <v>0</v>
      </c>
      <c r="L49" s="212">
        <v>1</v>
      </c>
      <c r="M49" s="212">
        <f t="shared" si="5"/>
        <v>9</v>
      </c>
      <c r="N49" s="212">
        <f t="shared" si="6"/>
        <v>16</v>
      </c>
      <c r="O49" s="212">
        <f t="shared" si="7"/>
        <v>24</v>
      </c>
      <c r="P49" s="212">
        <f t="shared" si="8"/>
        <v>0</v>
      </c>
      <c r="Q49" s="212">
        <f t="shared" si="9"/>
        <v>8</v>
      </c>
      <c r="R49" s="212">
        <f t="shared" si="10"/>
        <v>48</v>
      </c>
      <c r="S49" s="202" t="s">
        <v>815</v>
      </c>
      <c r="T49" s="211" t="s">
        <v>921</v>
      </c>
      <c r="U49" s="202">
        <v>120</v>
      </c>
      <c r="V49" s="202">
        <v>122</v>
      </c>
      <c r="W49" s="202">
        <v>122</v>
      </c>
      <c r="X49" s="367">
        <v>43781</v>
      </c>
      <c r="Y49" s="205">
        <v>43905</v>
      </c>
      <c r="Z49" s="205">
        <v>43997</v>
      </c>
      <c r="AA49" s="273">
        <f t="shared" si="3"/>
        <v>2020</v>
      </c>
      <c r="AB49" s="273">
        <f t="shared" si="4"/>
        <v>6</v>
      </c>
      <c r="AC49" s="211" t="s">
        <v>920</v>
      </c>
      <c r="AD49" s="217" t="s">
        <v>422</v>
      </c>
      <c r="AE49" s="217" t="s">
        <v>422</v>
      </c>
      <c r="AF49" s="217" t="s">
        <v>422</v>
      </c>
      <c r="AG49" s="217" t="s">
        <v>422</v>
      </c>
      <c r="AH49" s="217" t="s">
        <v>423</v>
      </c>
      <c r="AI49" s="217" t="s">
        <v>423</v>
      </c>
      <c r="AJ49" s="217" t="s">
        <v>423</v>
      </c>
      <c r="AK49" s="217" t="s">
        <v>423</v>
      </c>
      <c r="AL49" s="222" t="s">
        <v>1010</v>
      </c>
      <c r="AM49" s="209"/>
      <c r="AN49" s="209"/>
    </row>
    <row r="50" spans="1:40" x14ac:dyDescent="0.3">
      <c r="A50" s="185">
        <v>50</v>
      </c>
      <c r="B50" s="212" t="s">
        <v>820</v>
      </c>
      <c r="C50" s="247" t="s">
        <v>1615</v>
      </c>
      <c r="D50" s="200" t="s">
        <v>1881</v>
      </c>
      <c r="E50" s="212"/>
      <c r="F50" s="212" t="s">
        <v>1597</v>
      </c>
      <c r="G50" s="368" t="s">
        <v>1604</v>
      </c>
      <c r="H50" s="212" t="s">
        <v>1597</v>
      </c>
      <c r="I50" s="212">
        <v>2</v>
      </c>
      <c r="J50" s="357">
        <v>15</v>
      </c>
      <c r="K50" s="212">
        <v>0</v>
      </c>
      <c r="L50" s="212">
        <v>1.5</v>
      </c>
      <c r="M50" s="212">
        <f t="shared" si="5"/>
        <v>18.5</v>
      </c>
      <c r="N50" s="212">
        <f t="shared" si="6"/>
        <v>16</v>
      </c>
      <c r="O50" s="212">
        <f t="shared" si="7"/>
        <v>60</v>
      </c>
      <c r="P50" s="212">
        <f t="shared" si="8"/>
        <v>0</v>
      </c>
      <c r="Q50" s="212">
        <f t="shared" si="9"/>
        <v>12</v>
      </c>
      <c r="R50" s="212">
        <f t="shared" si="10"/>
        <v>88</v>
      </c>
      <c r="S50" s="202" t="s">
        <v>956</v>
      </c>
      <c r="T50" s="211" t="s">
        <v>932</v>
      </c>
      <c r="U50" s="202">
        <v>99</v>
      </c>
      <c r="V50" s="202">
        <v>100</v>
      </c>
      <c r="W50" s="202">
        <v>100</v>
      </c>
      <c r="X50" s="367">
        <v>43834</v>
      </c>
      <c r="Y50" s="205">
        <v>43894</v>
      </c>
      <c r="Z50" s="205">
        <v>43997</v>
      </c>
      <c r="AA50" s="273">
        <f t="shared" si="3"/>
        <v>2020</v>
      </c>
      <c r="AB50" s="273">
        <f t="shared" si="4"/>
        <v>6</v>
      </c>
      <c r="AC50" s="211" t="s">
        <v>920</v>
      </c>
      <c r="AD50" s="217" t="s">
        <v>422</v>
      </c>
      <c r="AE50" s="217" t="s">
        <v>422</v>
      </c>
      <c r="AF50" s="217" t="s">
        <v>422</v>
      </c>
      <c r="AG50" s="217" t="s">
        <v>422</v>
      </c>
      <c r="AH50" s="217" t="s">
        <v>423</v>
      </c>
      <c r="AI50" s="217" t="s">
        <v>423</v>
      </c>
      <c r="AJ50" s="217" t="s">
        <v>422</v>
      </c>
      <c r="AK50" s="217" t="s">
        <v>423</v>
      </c>
      <c r="AL50" s="222" t="s">
        <v>108</v>
      </c>
      <c r="AM50" s="209"/>
      <c r="AN50" s="209"/>
    </row>
    <row r="51" spans="1:40" x14ac:dyDescent="0.3">
      <c r="A51" s="185">
        <v>66</v>
      </c>
      <c r="B51" s="212" t="s">
        <v>836</v>
      </c>
      <c r="C51" s="212" t="s">
        <v>1845</v>
      </c>
      <c r="D51" s="335" t="s">
        <v>1848</v>
      </c>
      <c r="E51" s="212"/>
      <c r="F51" s="212"/>
      <c r="G51" s="212" t="s">
        <v>1940</v>
      </c>
      <c r="H51" s="212" t="s">
        <v>1041</v>
      </c>
      <c r="I51" s="357">
        <v>2</v>
      </c>
      <c r="J51" s="212">
        <v>9</v>
      </c>
      <c r="K51" s="212">
        <v>9</v>
      </c>
      <c r="L51" s="212">
        <v>1</v>
      </c>
      <c r="M51" s="212">
        <f t="shared" si="5"/>
        <v>21</v>
      </c>
      <c r="N51" s="212">
        <f t="shared" si="6"/>
        <v>16</v>
      </c>
      <c r="O51" s="212">
        <f t="shared" si="7"/>
        <v>36</v>
      </c>
      <c r="P51" s="212">
        <f t="shared" si="8"/>
        <v>60</v>
      </c>
      <c r="Q51" s="212">
        <f t="shared" si="9"/>
        <v>8</v>
      </c>
      <c r="R51" s="212">
        <f t="shared" si="10"/>
        <v>120</v>
      </c>
      <c r="S51" s="213" t="s">
        <v>873</v>
      </c>
      <c r="T51" s="217" t="s">
        <v>873</v>
      </c>
      <c r="U51" s="213">
        <v>54</v>
      </c>
      <c r="V51" s="213">
        <v>58</v>
      </c>
      <c r="W51" s="213">
        <v>58</v>
      </c>
      <c r="X51" s="215">
        <v>43868</v>
      </c>
      <c r="Y51" s="216">
        <v>43920</v>
      </c>
      <c r="Z51" s="205">
        <v>44006</v>
      </c>
      <c r="AA51" s="273">
        <f t="shared" si="3"/>
        <v>2020</v>
      </c>
      <c r="AB51" s="273">
        <f t="shared" si="4"/>
        <v>6</v>
      </c>
      <c r="AC51" s="217" t="s">
        <v>920</v>
      </c>
      <c r="AD51" s="217" t="s">
        <v>422</v>
      </c>
      <c r="AE51" s="217" t="s">
        <v>422</v>
      </c>
      <c r="AF51" s="217" t="s">
        <v>422</v>
      </c>
      <c r="AG51" s="217" t="s">
        <v>422</v>
      </c>
      <c r="AH51" s="217" t="s">
        <v>422</v>
      </c>
      <c r="AI51" s="217" t="s">
        <v>422</v>
      </c>
      <c r="AJ51" s="217" t="s">
        <v>423</v>
      </c>
      <c r="AK51" s="217" t="s">
        <v>423</v>
      </c>
      <c r="AL51" s="218" t="s">
        <v>1041</v>
      </c>
      <c r="AM51" s="218"/>
      <c r="AN51" s="218"/>
    </row>
    <row r="52" spans="1:40" ht="15" customHeight="1" x14ac:dyDescent="0.3">
      <c r="A52" s="185">
        <v>80</v>
      </c>
      <c r="B52" s="212" t="s">
        <v>900</v>
      </c>
      <c r="C52" s="212" t="s">
        <v>1615</v>
      </c>
      <c r="D52" s="335" t="s">
        <v>1881</v>
      </c>
      <c r="E52" s="212"/>
      <c r="F52" s="212"/>
      <c r="G52" s="368" t="s">
        <v>1604</v>
      </c>
      <c r="H52" s="212" t="s">
        <v>1010</v>
      </c>
      <c r="I52" s="357">
        <v>2</v>
      </c>
      <c r="J52" s="212">
        <v>10.5</v>
      </c>
      <c r="K52" s="212">
        <v>0</v>
      </c>
      <c r="L52" s="212">
        <v>1.5</v>
      </c>
      <c r="M52" s="212">
        <f t="shared" si="5"/>
        <v>14</v>
      </c>
      <c r="N52" s="212">
        <f t="shared" si="6"/>
        <v>16</v>
      </c>
      <c r="O52" s="212">
        <f t="shared" si="7"/>
        <v>42</v>
      </c>
      <c r="P52" s="212">
        <f t="shared" si="8"/>
        <v>0</v>
      </c>
      <c r="Q52" s="212">
        <f t="shared" si="9"/>
        <v>12</v>
      </c>
      <c r="R52" s="212">
        <f t="shared" si="10"/>
        <v>70</v>
      </c>
      <c r="S52" s="213" t="s">
        <v>936</v>
      </c>
      <c r="T52" s="214" t="s">
        <v>939</v>
      </c>
      <c r="U52" s="213">
        <v>140</v>
      </c>
      <c r="V52" s="213">
        <v>146</v>
      </c>
      <c r="W52" s="213">
        <v>146</v>
      </c>
      <c r="X52" s="215">
        <v>43875</v>
      </c>
      <c r="Y52" s="216">
        <v>43905</v>
      </c>
      <c r="Z52" s="205">
        <v>44006</v>
      </c>
      <c r="AA52" s="273">
        <f t="shared" si="3"/>
        <v>2020</v>
      </c>
      <c r="AB52" s="273">
        <f t="shared" si="4"/>
        <v>6</v>
      </c>
      <c r="AC52" s="217" t="s">
        <v>920</v>
      </c>
      <c r="AD52" s="217" t="s">
        <v>422</v>
      </c>
      <c r="AE52" s="217" t="s">
        <v>422</v>
      </c>
      <c r="AF52" s="217" t="s">
        <v>422</v>
      </c>
      <c r="AG52" s="217" t="s">
        <v>422</v>
      </c>
      <c r="AH52" s="217" t="s">
        <v>422</v>
      </c>
      <c r="AI52" s="217" t="s">
        <v>423</v>
      </c>
      <c r="AJ52" s="217" t="s">
        <v>423</v>
      </c>
      <c r="AK52" s="217" t="s">
        <v>423</v>
      </c>
      <c r="AL52" s="218" t="s">
        <v>140</v>
      </c>
      <c r="AM52" s="209"/>
      <c r="AN52" s="209"/>
    </row>
    <row r="53" spans="1:40" ht="15" customHeight="1" x14ac:dyDescent="0.3">
      <c r="A53" s="185">
        <v>82</v>
      </c>
      <c r="B53" s="212" t="s">
        <v>902</v>
      </c>
      <c r="C53" s="212" t="s">
        <v>1615</v>
      </c>
      <c r="D53" s="335" t="s">
        <v>1881</v>
      </c>
      <c r="E53" s="212"/>
      <c r="F53" s="212"/>
      <c r="G53" s="368" t="s">
        <v>1604</v>
      </c>
      <c r="H53" s="212" t="s">
        <v>1040</v>
      </c>
      <c r="I53" s="357">
        <v>2</v>
      </c>
      <c r="J53" s="212">
        <v>4.5</v>
      </c>
      <c r="K53" s="212">
        <v>0</v>
      </c>
      <c r="L53" s="212">
        <v>1</v>
      </c>
      <c r="M53" s="212">
        <f t="shared" si="5"/>
        <v>7.5</v>
      </c>
      <c r="N53" s="212">
        <f t="shared" si="6"/>
        <v>16</v>
      </c>
      <c r="O53" s="212">
        <f t="shared" si="7"/>
        <v>18</v>
      </c>
      <c r="P53" s="212">
        <f t="shared" si="8"/>
        <v>0</v>
      </c>
      <c r="Q53" s="212">
        <f t="shared" si="9"/>
        <v>8</v>
      </c>
      <c r="R53" s="212">
        <f t="shared" si="10"/>
        <v>42</v>
      </c>
      <c r="S53" s="213" t="s">
        <v>937</v>
      </c>
      <c r="T53" s="214" t="s">
        <v>938</v>
      </c>
      <c r="U53" s="213">
        <v>166</v>
      </c>
      <c r="V53" s="213">
        <v>170</v>
      </c>
      <c r="W53" s="213">
        <v>170</v>
      </c>
      <c r="X53" s="215">
        <v>43875</v>
      </c>
      <c r="Y53" s="216">
        <v>43905</v>
      </c>
      <c r="Z53" s="205">
        <v>44006</v>
      </c>
      <c r="AA53" s="273">
        <f t="shared" si="3"/>
        <v>2020</v>
      </c>
      <c r="AB53" s="273">
        <f t="shared" si="4"/>
        <v>6</v>
      </c>
      <c r="AC53" s="217" t="s">
        <v>920</v>
      </c>
      <c r="AD53" s="217" t="s">
        <v>422</v>
      </c>
      <c r="AE53" s="217" t="s">
        <v>422</v>
      </c>
      <c r="AF53" s="217" t="s">
        <v>422</v>
      </c>
      <c r="AG53" s="217" t="s">
        <v>422</v>
      </c>
      <c r="AH53" s="217" t="s">
        <v>422</v>
      </c>
      <c r="AI53" s="217" t="s">
        <v>423</v>
      </c>
      <c r="AJ53" s="217" t="s">
        <v>423</v>
      </c>
      <c r="AK53" s="217" t="s">
        <v>423</v>
      </c>
      <c r="AL53" s="218" t="s">
        <v>254</v>
      </c>
      <c r="AM53" s="209"/>
      <c r="AN53" s="209"/>
    </row>
    <row r="54" spans="1:40" ht="15" customHeight="1" x14ac:dyDescent="0.3">
      <c r="A54" s="185">
        <v>83</v>
      </c>
      <c r="B54" s="212" t="s">
        <v>903</v>
      </c>
      <c r="C54" s="212" t="s">
        <v>1615</v>
      </c>
      <c r="D54" s="201" t="s">
        <v>1881</v>
      </c>
      <c r="E54" s="212"/>
      <c r="F54" s="212"/>
      <c r="G54" s="368" t="s">
        <v>1604</v>
      </c>
      <c r="H54" s="212" t="s">
        <v>1010</v>
      </c>
      <c r="I54" s="357">
        <v>2</v>
      </c>
      <c r="J54" s="212">
        <v>10.5</v>
      </c>
      <c r="K54" s="212">
        <v>0</v>
      </c>
      <c r="L54" s="212">
        <v>1.5</v>
      </c>
      <c r="M54" s="212">
        <f t="shared" si="5"/>
        <v>14</v>
      </c>
      <c r="N54" s="212">
        <f t="shared" si="6"/>
        <v>16</v>
      </c>
      <c r="O54" s="212">
        <f t="shared" si="7"/>
        <v>42</v>
      </c>
      <c r="P54" s="212">
        <f t="shared" si="8"/>
        <v>0</v>
      </c>
      <c r="Q54" s="212">
        <f t="shared" si="9"/>
        <v>12</v>
      </c>
      <c r="R54" s="212">
        <f t="shared" si="10"/>
        <v>70</v>
      </c>
      <c r="S54" s="213" t="s">
        <v>949</v>
      </c>
      <c r="T54" s="214" t="s">
        <v>951</v>
      </c>
      <c r="U54" s="213">
        <v>124</v>
      </c>
      <c r="V54" s="213">
        <v>127</v>
      </c>
      <c r="W54" s="213">
        <v>127</v>
      </c>
      <c r="X54" s="215">
        <v>43875</v>
      </c>
      <c r="Y54" s="216">
        <v>43905</v>
      </c>
      <c r="Z54" s="205">
        <v>44006</v>
      </c>
      <c r="AA54" s="273">
        <f t="shared" si="3"/>
        <v>2020</v>
      </c>
      <c r="AB54" s="273">
        <f t="shared" si="4"/>
        <v>6</v>
      </c>
      <c r="AC54" s="217" t="s">
        <v>920</v>
      </c>
      <c r="AD54" s="217" t="s">
        <v>422</v>
      </c>
      <c r="AE54" s="217" t="s">
        <v>422</v>
      </c>
      <c r="AF54" s="217" t="s">
        <v>422</v>
      </c>
      <c r="AG54" s="217" t="s">
        <v>422</v>
      </c>
      <c r="AH54" s="217" t="s">
        <v>422</v>
      </c>
      <c r="AI54" s="217" t="s">
        <v>423</v>
      </c>
      <c r="AJ54" s="217" t="s">
        <v>423</v>
      </c>
      <c r="AK54" s="217" t="s">
        <v>423</v>
      </c>
      <c r="AL54" s="218" t="s">
        <v>140</v>
      </c>
      <c r="AM54" s="209"/>
      <c r="AN54" s="209"/>
    </row>
    <row r="55" spans="1:40" ht="15" customHeight="1" x14ac:dyDescent="0.3">
      <c r="A55" s="185">
        <v>84</v>
      </c>
      <c r="B55" s="212" t="s">
        <v>904</v>
      </c>
      <c r="C55" s="212" t="s">
        <v>1615</v>
      </c>
      <c r="D55" s="201" t="s">
        <v>1881</v>
      </c>
      <c r="E55" s="212"/>
      <c r="F55" s="212"/>
      <c r="G55" s="368" t="s">
        <v>1604</v>
      </c>
      <c r="H55" s="212"/>
      <c r="I55" s="357">
        <v>2</v>
      </c>
      <c r="J55" s="358">
        <v>6.5</v>
      </c>
      <c r="K55" s="212">
        <v>0</v>
      </c>
      <c r="L55" s="212">
        <v>1</v>
      </c>
      <c r="M55" s="212">
        <f t="shared" si="5"/>
        <v>9.5</v>
      </c>
      <c r="N55" s="212">
        <f t="shared" si="6"/>
        <v>16</v>
      </c>
      <c r="O55" s="212">
        <f t="shared" si="7"/>
        <v>26</v>
      </c>
      <c r="P55" s="212">
        <f t="shared" si="8"/>
        <v>0</v>
      </c>
      <c r="Q55" s="212">
        <f t="shared" si="9"/>
        <v>8</v>
      </c>
      <c r="R55" s="212">
        <f t="shared" si="10"/>
        <v>50</v>
      </c>
      <c r="S55" s="213" t="s">
        <v>952</v>
      </c>
      <c r="T55" s="214" t="s">
        <v>953</v>
      </c>
      <c r="U55" s="213">
        <v>47</v>
      </c>
      <c r="V55" s="213">
        <v>48</v>
      </c>
      <c r="W55" s="213">
        <v>48</v>
      </c>
      <c r="X55" s="215">
        <v>43875</v>
      </c>
      <c r="Y55" s="216">
        <v>43905</v>
      </c>
      <c r="Z55" s="205">
        <v>44006</v>
      </c>
      <c r="AA55" s="273">
        <f t="shared" si="3"/>
        <v>2020</v>
      </c>
      <c r="AB55" s="273">
        <f t="shared" si="4"/>
        <v>6</v>
      </c>
      <c r="AC55" s="217" t="s">
        <v>920</v>
      </c>
      <c r="AD55" s="217" t="s">
        <v>422</v>
      </c>
      <c r="AE55" s="217" t="s">
        <v>422</v>
      </c>
      <c r="AF55" s="217" t="s">
        <v>422</v>
      </c>
      <c r="AG55" s="217" t="s">
        <v>422</v>
      </c>
      <c r="AH55" s="217" t="s">
        <v>422</v>
      </c>
      <c r="AI55" s="217" t="s">
        <v>423</v>
      </c>
      <c r="AJ55" s="217" t="s">
        <v>423</v>
      </c>
      <c r="AK55" s="217" t="s">
        <v>423</v>
      </c>
      <c r="AL55" s="218" t="s">
        <v>140</v>
      </c>
      <c r="AM55" s="209"/>
      <c r="AN55" s="209"/>
    </row>
    <row r="56" spans="1:40" ht="15" customHeight="1" x14ac:dyDescent="0.3">
      <c r="A56" s="185">
        <v>85</v>
      </c>
      <c r="B56" s="212" t="s">
        <v>905</v>
      </c>
      <c r="C56" s="212" t="s">
        <v>1615</v>
      </c>
      <c r="D56" s="201" t="s">
        <v>1881</v>
      </c>
      <c r="E56" s="212"/>
      <c r="F56" s="212"/>
      <c r="G56" s="368" t="s">
        <v>1604</v>
      </c>
      <c r="H56" s="212" t="s">
        <v>1010</v>
      </c>
      <c r="I56" s="357">
        <v>2</v>
      </c>
      <c r="J56" s="212">
        <v>10.5</v>
      </c>
      <c r="K56" s="212">
        <v>0</v>
      </c>
      <c r="L56" s="212">
        <v>1.5</v>
      </c>
      <c r="M56" s="212">
        <f t="shared" si="5"/>
        <v>14</v>
      </c>
      <c r="N56" s="212">
        <f t="shared" si="6"/>
        <v>16</v>
      </c>
      <c r="O56" s="212">
        <f t="shared" si="7"/>
        <v>42</v>
      </c>
      <c r="P56" s="212">
        <f t="shared" si="8"/>
        <v>0</v>
      </c>
      <c r="Q56" s="212">
        <f t="shared" si="9"/>
        <v>12</v>
      </c>
      <c r="R56" s="212">
        <f t="shared" si="10"/>
        <v>70</v>
      </c>
      <c r="S56" s="213" t="s">
        <v>950</v>
      </c>
      <c r="T56" s="214" t="s">
        <v>951</v>
      </c>
      <c r="U56" s="213">
        <v>64</v>
      </c>
      <c r="V56" s="213">
        <v>66</v>
      </c>
      <c r="W56" s="213">
        <v>66</v>
      </c>
      <c r="X56" s="215">
        <v>43875</v>
      </c>
      <c r="Y56" s="216">
        <v>43905</v>
      </c>
      <c r="Z56" s="205">
        <v>44006</v>
      </c>
      <c r="AA56" s="273">
        <f t="shared" si="3"/>
        <v>2020</v>
      </c>
      <c r="AB56" s="273">
        <f t="shared" si="4"/>
        <v>6</v>
      </c>
      <c r="AC56" s="217" t="s">
        <v>920</v>
      </c>
      <c r="AD56" s="217" t="s">
        <v>422</v>
      </c>
      <c r="AE56" s="217" t="s">
        <v>422</v>
      </c>
      <c r="AF56" s="217" t="s">
        <v>422</v>
      </c>
      <c r="AG56" s="217" t="s">
        <v>422</v>
      </c>
      <c r="AH56" s="217" t="s">
        <v>422</v>
      </c>
      <c r="AI56" s="217" t="s">
        <v>423</v>
      </c>
      <c r="AJ56" s="217" t="s">
        <v>423</v>
      </c>
      <c r="AK56" s="217" t="s">
        <v>423</v>
      </c>
      <c r="AL56" s="218" t="s">
        <v>140</v>
      </c>
      <c r="AM56" s="209"/>
      <c r="AN56" s="209"/>
    </row>
    <row r="57" spans="1:40" ht="15" customHeight="1" x14ac:dyDescent="0.3">
      <c r="A57" s="185">
        <v>86</v>
      </c>
      <c r="B57" s="212" t="s">
        <v>906</v>
      </c>
      <c r="C57" s="212" t="s">
        <v>1615</v>
      </c>
      <c r="D57" s="201" t="s">
        <v>1881</v>
      </c>
      <c r="E57" s="212"/>
      <c r="F57" s="212"/>
      <c r="G57" s="368" t="s">
        <v>1604</v>
      </c>
      <c r="H57" s="212" t="s">
        <v>1010</v>
      </c>
      <c r="I57" s="357">
        <v>2</v>
      </c>
      <c r="J57" s="212">
        <v>7.8</v>
      </c>
      <c r="K57" s="212">
        <v>0</v>
      </c>
      <c r="L57" s="212">
        <v>1</v>
      </c>
      <c r="M57" s="212">
        <f t="shared" si="5"/>
        <v>10.8</v>
      </c>
      <c r="N57" s="212">
        <f t="shared" si="6"/>
        <v>16</v>
      </c>
      <c r="O57" s="212">
        <f t="shared" si="7"/>
        <v>31.2</v>
      </c>
      <c r="P57" s="212">
        <f t="shared" si="8"/>
        <v>0</v>
      </c>
      <c r="Q57" s="212">
        <f t="shared" si="9"/>
        <v>8</v>
      </c>
      <c r="R57" s="212">
        <f t="shared" si="10"/>
        <v>55.2</v>
      </c>
      <c r="S57" s="213" t="s">
        <v>954</v>
      </c>
      <c r="T57" s="214" t="s">
        <v>955</v>
      </c>
      <c r="U57" s="213">
        <v>70</v>
      </c>
      <c r="V57" s="213">
        <v>72</v>
      </c>
      <c r="W57" s="213">
        <v>72</v>
      </c>
      <c r="X57" s="215">
        <v>43875</v>
      </c>
      <c r="Y57" s="216">
        <v>43905</v>
      </c>
      <c r="Z57" s="205">
        <v>44006</v>
      </c>
      <c r="AA57" s="273">
        <f t="shared" si="3"/>
        <v>2020</v>
      </c>
      <c r="AB57" s="273">
        <f t="shared" si="4"/>
        <v>6</v>
      </c>
      <c r="AC57" s="217" t="s">
        <v>920</v>
      </c>
      <c r="AD57" s="217" t="s">
        <v>422</v>
      </c>
      <c r="AE57" s="217" t="s">
        <v>422</v>
      </c>
      <c r="AF57" s="217" t="s">
        <v>422</v>
      </c>
      <c r="AG57" s="217" t="s">
        <v>422</v>
      </c>
      <c r="AH57" s="217" t="s">
        <v>422</v>
      </c>
      <c r="AI57" s="217" t="s">
        <v>423</v>
      </c>
      <c r="AJ57" s="217" t="s">
        <v>423</v>
      </c>
      <c r="AK57" s="217" t="s">
        <v>423</v>
      </c>
      <c r="AL57" s="218" t="s">
        <v>140</v>
      </c>
      <c r="AM57" s="209"/>
      <c r="AN57" s="209"/>
    </row>
    <row r="58" spans="1:40" ht="15" customHeight="1" x14ac:dyDescent="0.3">
      <c r="A58" s="185">
        <v>95</v>
      </c>
      <c r="B58" s="212" t="s">
        <v>915</v>
      </c>
      <c r="C58" s="212" t="s">
        <v>1618</v>
      </c>
      <c r="D58" s="201" t="s">
        <v>1881</v>
      </c>
      <c r="E58" s="212"/>
      <c r="F58" s="212"/>
      <c r="G58" s="368" t="s">
        <v>1604</v>
      </c>
      <c r="H58" s="212" t="s">
        <v>1944</v>
      </c>
      <c r="I58" s="357">
        <v>2</v>
      </c>
      <c r="J58" s="212">
        <v>8</v>
      </c>
      <c r="K58" s="212">
        <v>0</v>
      </c>
      <c r="L58" s="212">
        <v>1</v>
      </c>
      <c r="M58" s="212">
        <f t="shared" si="5"/>
        <v>11</v>
      </c>
      <c r="N58" s="212">
        <f t="shared" si="6"/>
        <v>16</v>
      </c>
      <c r="O58" s="212">
        <f t="shared" si="7"/>
        <v>32</v>
      </c>
      <c r="P58" s="212">
        <f t="shared" si="8"/>
        <v>0</v>
      </c>
      <c r="Q58" s="212">
        <f t="shared" si="9"/>
        <v>8</v>
      </c>
      <c r="R58" s="212">
        <f t="shared" si="10"/>
        <v>56</v>
      </c>
      <c r="S58" s="213" t="s">
        <v>919</v>
      </c>
      <c r="T58" s="214" t="s">
        <v>916</v>
      </c>
      <c r="U58" s="213">
        <v>60</v>
      </c>
      <c r="V58" s="213">
        <v>62</v>
      </c>
      <c r="W58" s="213">
        <v>62</v>
      </c>
      <c r="X58" s="215">
        <v>43875</v>
      </c>
      <c r="Y58" s="216">
        <v>43905</v>
      </c>
      <c r="Z58" s="205">
        <v>43997</v>
      </c>
      <c r="AA58" s="273">
        <f t="shared" si="3"/>
        <v>2020</v>
      </c>
      <c r="AB58" s="273">
        <f t="shared" si="4"/>
        <v>6</v>
      </c>
      <c r="AC58" s="217" t="s">
        <v>920</v>
      </c>
      <c r="AD58" s="217" t="s">
        <v>422</v>
      </c>
      <c r="AE58" s="217" t="s">
        <v>422</v>
      </c>
      <c r="AF58" s="217" t="s">
        <v>422</v>
      </c>
      <c r="AG58" s="217" t="s">
        <v>422</v>
      </c>
      <c r="AH58" s="217" t="s">
        <v>422</v>
      </c>
      <c r="AI58" s="217" t="s">
        <v>423</v>
      </c>
      <c r="AJ58" s="217" t="s">
        <v>423</v>
      </c>
      <c r="AK58" s="217" t="s">
        <v>423</v>
      </c>
      <c r="AL58" s="218" t="s">
        <v>138</v>
      </c>
      <c r="AM58" s="209"/>
      <c r="AN58" s="209"/>
    </row>
    <row r="59" spans="1:40" ht="15" customHeight="1" x14ac:dyDescent="0.3">
      <c r="A59" s="185">
        <v>96</v>
      </c>
      <c r="B59" s="212" t="s">
        <v>929</v>
      </c>
      <c r="C59" s="212" t="s">
        <v>1615</v>
      </c>
      <c r="D59" s="201" t="s">
        <v>1881</v>
      </c>
      <c r="E59" s="212"/>
      <c r="F59" s="212" t="s">
        <v>1597</v>
      </c>
      <c r="G59" s="368" t="s">
        <v>1604</v>
      </c>
      <c r="H59" s="212"/>
      <c r="I59" s="212">
        <v>2</v>
      </c>
      <c r="J59" s="357">
        <v>12</v>
      </c>
      <c r="K59" s="212">
        <v>0</v>
      </c>
      <c r="L59" s="212">
        <v>1.5</v>
      </c>
      <c r="M59" s="212">
        <f t="shared" si="5"/>
        <v>15.5</v>
      </c>
      <c r="N59" s="212">
        <f t="shared" si="6"/>
        <v>16</v>
      </c>
      <c r="O59" s="212">
        <f t="shared" si="7"/>
        <v>48</v>
      </c>
      <c r="P59" s="212">
        <f t="shared" si="8"/>
        <v>0</v>
      </c>
      <c r="Q59" s="212">
        <f t="shared" si="9"/>
        <v>12</v>
      </c>
      <c r="R59" s="212">
        <f t="shared" si="10"/>
        <v>76</v>
      </c>
      <c r="S59" s="213" t="s">
        <v>934</v>
      </c>
      <c r="T59" s="214" t="s">
        <v>932</v>
      </c>
      <c r="U59" s="213">
        <v>114</v>
      </c>
      <c r="V59" s="213">
        <v>116</v>
      </c>
      <c r="W59" s="213">
        <v>116</v>
      </c>
      <c r="X59" s="215">
        <v>43875</v>
      </c>
      <c r="Y59" s="216">
        <v>43936</v>
      </c>
      <c r="Z59" s="205">
        <v>44006</v>
      </c>
      <c r="AA59" s="273">
        <f t="shared" si="3"/>
        <v>2020</v>
      </c>
      <c r="AB59" s="273">
        <f t="shared" si="4"/>
        <v>6</v>
      </c>
      <c r="AC59" s="217" t="s">
        <v>920</v>
      </c>
      <c r="AD59" s="217" t="s">
        <v>422</v>
      </c>
      <c r="AE59" s="217" t="s">
        <v>422</v>
      </c>
      <c r="AF59" s="217" t="s">
        <v>422</v>
      </c>
      <c r="AG59" s="217" t="s">
        <v>422</v>
      </c>
      <c r="AH59" s="217" t="s">
        <v>422</v>
      </c>
      <c r="AI59" s="217" t="s">
        <v>423</v>
      </c>
      <c r="AJ59" s="217" t="s">
        <v>422</v>
      </c>
      <c r="AK59" s="217" t="s">
        <v>423</v>
      </c>
      <c r="AL59" s="218" t="s">
        <v>108</v>
      </c>
      <c r="AM59" s="209"/>
      <c r="AN59" s="209"/>
    </row>
    <row r="60" spans="1:40" ht="15" customHeight="1" x14ac:dyDescent="0.3">
      <c r="A60" s="185">
        <v>43</v>
      </c>
      <c r="B60" s="212" t="s">
        <v>999</v>
      </c>
      <c r="C60" s="247" t="s">
        <v>1615</v>
      </c>
      <c r="D60" s="199" t="s">
        <v>1881</v>
      </c>
      <c r="E60" s="212"/>
      <c r="F60" s="212"/>
      <c r="G60" s="368" t="s">
        <v>1604</v>
      </c>
      <c r="H60" s="212" t="s">
        <v>1010</v>
      </c>
      <c r="I60" s="357">
        <v>2</v>
      </c>
      <c r="J60" s="212">
        <v>15</v>
      </c>
      <c r="K60" s="212">
        <v>0</v>
      </c>
      <c r="L60" s="212">
        <v>1</v>
      </c>
      <c r="M60" s="212">
        <f t="shared" si="5"/>
        <v>18</v>
      </c>
      <c r="N60" s="212">
        <f t="shared" si="6"/>
        <v>16</v>
      </c>
      <c r="O60" s="212">
        <f t="shared" si="7"/>
        <v>60</v>
      </c>
      <c r="P60" s="212">
        <f t="shared" si="8"/>
        <v>0</v>
      </c>
      <c r="Q60" s="212">
        <f t="shared" si="9"/>
        <v>8</v>
      </c>
      <c r="R60" s="212">
        <f t="shared" si="10"/>
        <v>84</v>
      </c>
      <c r="S60" s="202" t="s">
        <v>1003</v>
      </c>
      <c r="T60" s="203" t="s">
        <v>1004</v>
      </c>
      <c r="U60" s="202">
        <v>100</v>
      </c>
      <c r="V60" s="202">
        <v>102</v>
      </c>
      <c r="W60" s="202">
        <v>102</v>
      </c>
      <c r="X60" s="367">
        <v>43781</v>
      </c>
      <c r="Y60" s="205">
        <v>43905</v>
      </c>
      <c r="Z60" s="205">
        <v>44035</v>
      </c>
      <c r="AA60" s="273">
        <f t="shared" si="3"/>
        <v>2020</v>
      </c>
      <c r="AB60" s="273">
        <f t="shared" si="4"/>
        <v>7</v>
      </c>
      <c r="AC60" s="211" t="s">
        <v>920</v>
      </c>
      <c r="AD60" s="217" t="s">
        <v>422</v>
      </c>
      <c r="AE60" s="217" t="s">
        <v>422</v>
      </c>
      <c r="AF60" s="217" t="s">
        <v>422</v>
      </c>
      <c r="AG60" s="217" t="s">
        <v>422</v>
      </c>
      <c r="AH60" s="217" t="s">
        <v>423</v>
      </c>
      <c r="AI60" s="217" t="s">
        <v>423</v>
      </c>
      <c r="AJ60" s="217" t="s">
        <v>423</v>
      </c>
      <c r="AK60" s="217" t="s">
        <v>423</v>
      </c>
      <c r="AL60" s="222" t="s">
        <v>140</v>
      </c>
      <c r="AM60" s="209"/>
      <c r="AN60" s="209"/>
    </row>
    <row r="61" spans="1:40" x14ac:dyDescent="0.3">
      <c r="A61" s="185">
        <v>68</v>
      </c>
      <c r="B61" s="212" t="s">
        <v>838</v>
      </c>
      <c r="C61" s="212" t="s">
        <v>1618</v>
      </c>
      <c r="D61" s="201" t="s">
        <v>1848</v>
      </c>
      <c r="E61" s="212"/>
      <c r="F61" s="212"/>
      <c r="G61" s="212" t="s">
        <v>1939</v>
      </c>
      <c r="H61" s="212" t="s">
        <v>1040</v>
      </c>
      <c r="I61" s="357">
        <v>2</v>
      </c>
      <c r="J61" s="212">
        <v>9</v>
      </c>
      <c r="K61" s="212">
        <v>9.5</v>
      </c>
      <c r="L61" s="212">
        <v>1</v>
      </c>
      <c r="M61" s="212">
        <f t="shared" si="5"/>
        <v>21.5</v>
      </c>
      <c r="N61" s="212">
        <f t="shared" si="6"/>
        <v>16</v>
      </c>
      <c r="O61" s="212">
        <f t="shared" si="7"/>
        <v>36</v>
      </c>
      <c r="P61" s="212">
        <f t="shared" si="8"/>
        <v>63.333333333333336</v>
      </c>
      <c r="Q61" s="212">
        <f t="shared" si="9"/>
        <v>8</v>
      </c>
      <c r="R61" s="212">
        <f t="shared" si="10"/>
        <v>123.33333333333334</v>
      </c>
      <c r="S61" s="202" t="s">
        <v>878</v>
      </c>
      <c r="T61" s="211" t="s">
        <v>877</v>
      </c>
      <c r="U61" s="202">
        <v>30</v>
      </c>
      <c r="V61" s="202">
        <v>31</v>
      </c>
      <c r="W61" s="202">
        <v>31</v>
      </c>
      <c r="X61" s="367">
        <v>43868</v>
      </c>
      <c r="Y61" s="205">
        <v>43905</v>
      </c>
      <c r="Z61" s="205">
        <v>44043</v>
      </c>
      <c r="AA61" s="273">
        <f t="shared" si="3"/>
        <v>2020</v>
      </c>
      <c r="AB61" s="273">
        <f t="shared" si="4"/>
        <v>7</v>
      </c>
      <c r="AC61" s="211" t="s">
        <v>920</v>
      </c>
      <c r="AD61" s="217" t="s">
        <v>422</v>
      </c>
      <c r="AE61" s="217" t="s">
        <v>422</v>
      </c>
      <c r="AF61" s="217" t="s">
        <v>422</v>
      </c>
      <c r="AG61" s="217" t="s">
        <v>422</v>
      </c>
      <c r="AH61" s="217" t="s">
        <v>422</v>
      </c>
      <c r="AI61" s="217" t="s">
        <v>422</v>
      </c>
      <c r="AJ61" s="217" t="s">
        <v>423</v>
      </c>
      <c r="AK61" s="217" t="s">
        <v>423</v>
      </c>
      <c r="AL61" s="222" t="s">
        <v>1040</v>
      </c>
      <c r="AM61" s="209"/>
      <c r="AN61" s="209"/>
    </row>
    <row r="62" spans="1:40" x14ac:dyDescent="0.3">
      <c r="A62" s="185">
        <v>69</v>
      </c>
      <c r="B62" s="212" t="s">
        <v>839</v>
      </c>
      <c r="C62" s="212" t="s">
        <v>1618</v>
      </c>
      <c r="D62" s="201" t="s">
        <v>1848</v>
      </c>
      <c r="E62" s="212"/>
      <c r="F62" s="212"/>
      <c r="G62" s="212" t="s">
        <v>1939</v>
      </c>
      <c r="H62" s="212" t="s">
        <v>1040</v>
      </c>
      <c r="I62" s="357">
        <v>2</v>
      </c>
      <c r="J62" s="212">
        <v>9</v>
      </c>
      <c r="K62" s="212">
        <v>9</v>
      </c>
      <c r="L62" s="212">
        <v>1</v>
      </c>
      <c r="M62" s="212">
        <f t="shared" si="5"/>
        <v>21</v>
      </c>
      <c r="N62" s="212">
        <f t="shared" si="6"/>
        <v>16</v>
      </c>
      <c r="O62" s="212">
        <f t="shared" si="7"/>
        <v>36</v>
      </c>
      <c r="P62" s="212">
        <f t="shared" si="8"/>
        <v>60</v>
      </c>
      <c r="Q62" s="212">
        <f t="shared" si="9"/>
        <v>8</v>
      </c>
      <c r="R62" s="212">
        <f t="shared" si="10"/>
        <v>120</v>
      </c>
      <c r="S62" s="202" t="s">
        <v>878</v>
      </c>
      <c r="T62" s="211" t="s">
        <v>876</v>
      </c>
      <c r="U62" s="202">
        <v>30</v>
      </c>
      <c r="V62" s="202">
        <v>31</v>
      </c>
      <c r="W62" s="202">
        <v>31</v>
      </c>
      <c r="X62" s="367">
        <v>43868</v>
      </c>
      <c r="Y62" s="205">
        <v>43905</v>
      </c>
      <c r="Z62" s="205">
        <v>44043</v>
      </c>
      <c r="AA62" s="273">
        <f t="shared" si="3"/>
        <v>2020</v>
      </c>
      <c r="AB62" s="273">
        <f t="shared" si="4"/>
        <v>7</v>
      </c>
      <c r="AC62" s="211" t="s">
        <v>920</v>
      </c>
      <c r="AD62" s="217" t="s">
        <v>422</v>
      </c>
      <c r="AE62" s="217" t="s">
        <v>422</v>
      </c>
      <c r="AF62" s="217" t="s">
        <v>422</v>
      </c>
      <c r="AG62" s="217" t="s">
        <v>422</v>
      </c>
      <c r="AH62" s="217" t="s">
        <v>422</v>
      </c>
      <c r="AI62" s="217" t="s">
        <v>422</v>
      </c>
      <c r="AJ62" s="217" t="s">
        <v>423</v>
      </c>
      <c r="AK62" s="217" t="s">
        <v>423</v>
      </c>
      <c r="AL62" s="222" t="s">
        <v>1040</v>
      </c>
      <c r="AM62" s="209"/>
      <c r="AN62" s="209"/>
    </row>
    <row r="63" spans="1:40" x14ac:dyDescent="0.3">
      <c r="A63" s="185">
        <v>70</v>
      </c>
      <c r="B63" s="212" t="s">
        <v>840</v>
      </c>
      <c r="C63" s="212" t="s">
        <v>1618</v>
      </c>
      <c r="D63" s="201" t="s">
        <v>1848</v>
      </c>
      <c r="E63" s="212"/>
      <c r="F63" s="212"/>
      <c r="G63" s="212" t="s">
        <v>1939</v>
      </c>
      <c r="H63" s="212" t="s">
        <v>1040</v>
      </c>
      <c r="I63" s="357">
        <v>2</v>
      </c>
      <c r="J63" s="212">
        <v>4.7</v>
      </c>
      <c r="K63" s="212">
        <v>11</v>
      </c>
      <c r="L63" s="212">
        <v>1</v>
      </c>
      <c r="M63" s="212">
        <f t="shared" si="5"/>
        <v>18.7</v>
      </c>
      <c r="N63" s="212">
        <f t="shared" si="6"/>
        <v>16</v>
      </c>
      <c r="O63" s="212">
        <f t="shared" si="7"/>
        <v>18.8</v>
      </c>
      <c r="P63" s="212">
        <f t="shared" si="8"/>
        <v>73.333333333333343</v>
      </c>
      <c r="Q63" s="212">
        <f t="shared" si="9"/>
        <v>8</v>
      </c>
      <c r="R63" s="212">
        <f t="shared" si="10"/>
        <v>116.13333333333334</v>
      </c>
      <c r="S63" s="202" t="s">
        <v>879</v>
      </c>
      <c r="T63" s="211" t="s">
        <v>890</v>
      </c>
      <c r="U63" s="202">
        <v>20</v>
      </c>
      <c r="V63" s="202">
        <v>21</v>
      </c>
      <c r="W63" s="202">
        <v>21</v>
      </c>
      <c r="X63" s="367">
        <v>43868</v>
      </c>
      <c r="Y63" s="205">
        <v>43905</v>
      </c>
      <c r="Z63" s="205">
        <v>44043</v>
      </c>
      <c r="AA63" s="273">
        <f t="shared" si="3"/>
        <v>2020</v>
      </c>
      <c r="AB63" s="273">
        <f t="shared" si="4"/>
        <v>7</v>
      </c>
      <c r="AC63" s="211" t="s">
        <v>920</v>
      </c>
      <c r="AD63" s="217" t="s">
        <v>422</v>
      </c>
      <c r="AE63" s="217" t="s">
        <v>422</v>
      </c>
      <c r="AF63" s="217" t="s">
        <v>422</v>
      </c>
      <c r="AG63" s="217" t="s">
        <v>422</v>
      </c>
      <c r="AH63" s="217" t="s">
        <v>422</v>
      </c>
      <c r="AI63" s="217" t="s">
        <v>422</v>
      </c>
      <c r="AJ63" s="217" t="s">
        <v>423</v>
      </c>
      <c r="AK63" s="217" t="s">
        <v>423</v>
      </c>
      <c r="AL63" s="222" t="s">
        <v>1040</v>
      </c>
      <c r="AM63" s="209"/>
      <c r="AN63" s="209"/>
    </row>
    <row r="64" spans="1:40" x14ac:dyDescent="0.3">
      <c r="A64" s="185">
        <v>71</v>
      </c>
      <c r="B64" s="212" t="s">
        <v>841</v>
      </c>
      <c r="C64" s="212" t="s">
        <v>1618</v>
      </c>
      <c r="D64" s="201" t="s">
        <v>1848</v>
      </c>
      <c r="E64" s="212"/>
      <c r="F64" s="212"/>
      <c r="G64" s="212" t="s">
        <v>1953</v>
      </c>
      <c r="H64" s="212" t="s">
        <v>1040</v>
      </c>
      <c r="I64" s="357">
        <v>2</v>
      </c>
      <c r="J64" s="212">
        <v>4.7</v>
      </c>
      <c r="K64" s="357">
        <v>11</v>
      </c>
      <c r="L64" s="212">
        <v>1</v>
      </c>
      <c r="M64" s="212">
        <f t="shared" si="5"/>
        <v>18.7</v>
      </c>
      <c r="N64" s="212">
        <f t="shared" si="6"/>
        <v>16</v>
      </c>
      <c r="O64" s="212">
        <f t="shared" si="7"/>
        <v>18.8</v>
      </c>
      <c r="P64" s="212">
        <f t="shared" si="8"/>
        <v>73.333333333333343</v>
      </c>
      <c r="Q64" s="212">
        <f t="shared" si="9"/>
        <v>8</v>
      </c>
      <c r="R64" s="212">
        <f t="shared" si="10"/>
        <v>116.13333333333334</v>
      </c>
      <c r="S64" s="202" t="s">
        <v>879</v>
      </c>
      <c r="T64" s="211" t="s">
        <v>891</v>
      </c>
      <c r="U64" s="202">
        <v>20</v>
      </c>
      <c r="V64" s="202">
        <v>21</v>
      </c>
      <c r="W64" s="202">
        <v>21</v>
      </c>
      <c r="X64" s="367">
        <v>43868</v>
      </c>
      <c r="Y64" s="205">
        <v>43905</v>
      </c>
      <c r="Z64" s="205">
        <v>44043</v>
      </c>
      <c r="AA64" s="273">
        <f t="shared" si="3"/>
        <v>2020</v>
      </c>
      <c r="AB64" s="273">
        <f t="shared" si="4"/>
        <v>7</v>
      </c>
      <c r="AC64" s="211" t="s">
        <v>920</v>
      </c>
      <c r="AD64" s="217" t="s">
        <v>422</v>
      </c>
      <c r="AE64" s="217" t="s">
        <v>422</v>
      </c>
      <c r="AF64" s="217" t="s">
        <v>422</v>
      </c>
      <c r="AG64" s="217" t="s">
        <v>422</v>
      </c>
      <c r="AH64" s="217" t="s">
        <v>422</v>
      </c>
      <c r="AI64" s="217" t="s">
        <v>422</v>
      </c>
      <c r="AJ64" s="217" t="s">
        <v>423</v>
      </c>
      <c r="AK64" s="217" t="s">
        <v>423</v>
      </c>
      <c r="AL64" s="222" t="s">
        <v>1040</v>
      </c>
      <c r="AM64" s="209"/>
      <c r="AN64" s="209"/>
    </row>
    <row r="65" spans="1:40" x14ac:dyDescent="0.3">
      <c r="A65" s="185">
        <v>72</v>
      </c>
      <c r="B65" s="212" t="s">
        <v>842</v>
      </c>
      <c r="C65" s="212" t="s">
        <v>1618</v>
      </c>
      <c r="D65" s="201" t="s">
        <v>1848</v>
      </c>
      <c r="E65" s="212"/>
      <c r="F65" s="212"/>
      <c r="G65" s="212" t="s">
        <v>1939</v>
      </c>
      <c r="H65" s="212" t="s">
        <v>1040</v>
      </c>
      <c r="I65" s="357">
        <v>2</v>
      </c>
      <c r="J65" s="212">
        <v>2.5</v>
      </c>
      <c r="K65" s="212">
        <v>6</v>
      </c>
      <c r="L65" s="212">
        <v>0.5</v>
      </c>
      <c r="M65" s="212">
        <f t="shared" si="5"/>
        <v>11</v>
      </c>
      <c r="N65" s="212">
        <f t="shared" si="6"/>
        <v>16</v>
      </c>
      <c r="O65" s="212">
        <f t="shared" si="7"/>
        <v>10</v>
      </c>
      <c r="P65" s="212">
        <f t="shared" si="8"/>
        <v>40</v>
      </c>
      <c r="Q65" s="212">
        <f t="shared" si="9"/>
        <v>4</v>
      </c>
      <c r="R65" s="212">
        <f t="shared" si="10"/>
        <v>70</v>
      </c>
      <c r="S65" s="202" t="s">
        <v>880</v>
      </c>
      <c r="T65" s="211" t="s">
        <v>892</v>
      </c>
      <c r="U65" s="202">
        <v>20</v>
      </c>
      <c r="V65" s="202">
        <v>21</v>
      </c>
      <c r="W65" s="202">
        <v>21</v>
      </c>
      <c r="X65" s="367">
        <v>43868</v>
      </c>
      <c r="Y65" s="205">
        <v>43905</v>
      </c>
      <c r="Z65" s="205">
        <v>44043</v>
      </c>
      <c r="AA65" s="273">
        <f t="shared" si="3"/>
        <v>2020</v>
      </c>
      <c r="AB65" s="273">
        <f t="shared" si="4"/>
        <v>7</v>
      </c>
      <c r="AC65" s="211" t="s">
        <v>920</v>
      </c>
      <c r="AD65" s="217" t="s">
        <v>422</v>
      </c>
      <c r="AE65" s="217" t="s">
        <v>422</v>
      </c>
      <c r="AF65" s="217" t="s">
        <v>422</v>
      </c>
      <c r="AG65" s="217" t="s">
        <v>422</v>
      </c>
      <c r="AH65" s="217" t="s">
        <v>422</v>
      </c>
      <c r="AI65" s="217" t="s">
        <v>422</v>
      </c>
      <c r="AJ65" s="217" t="s">
        <v>423</v>
      </c>
      <c r="AK65" s="217" t="s">
        <v>423</v>
      </c>
      <c r="AL65" s="222" t="s">
        <v>1040</v>
      </c>
      <c r="AM65" s="209"/>
      <c r="AN65" s="209"/>
    </row>
    <row r="66" spans="1:40" x14ac:dyDescent="0.3">
      <c r="A66" s="185">
        <v>73</v>
      </c>
      <c r="B66" s="212" t="s">
        <v>843</v>
      </c>
      <c r="C66" s="212" t="s">
        <v>1618</v>
      </c>
      <c r="D66" s="201" t="s">
        <v>1848</v>
      </c>
      <c r="E66" s="212"/>
      <c r="F66" s="212"/>
      <c r="G66" s="212" t="s">
        <v>1953</v>
      </c>
      <c r="H66" s="212" t="s">
        <v>1040</v>
      </c>
      <c r="I66" s="357">
        <v>2</v>
      </c>
      <c r="J66" s="212">
        <v>2.5</v>
      </c>
      <c r="K66" s="357">
        <v>6</v>
      </c>
      <c r="L66" s="212">
        <v>0.5</v>
      </c>
      <c r="M66" s="212">
        <f t="shared" si="5"/>
        <v>11</v>
      </c>
      <c r="N66" s="212">
        <f t="shared" si="6"/>
        <v>16</v>
      </c>
      <c r="O66" s="212">
        <f t="shared" si="7"/>
        <v>10</v>
      </c>
      <c r="P66" s="212">
        <f t="shared" si="8"/>
        <v>40</v>
      </c>
      <c r="Q66" s="212">
        <f t="shared" si="9"/>
        <v>4</v>
      </c>
      <c r="R66" s="212">
        <f t="shared" si="10"/>
        <v>70</v>
      </c>
      <c r="S66" s="202" t="s">
        <v>880</v>
      </c>
      <c r="T66" s="211" t="s">
        <v>893</v>
      </c>
      <c r="U66" s="202">
        <v>20</v>
      </c>
      <c r="V66" s="202">
        <v>21</v>
      </c>
      <c r="W66" s="202">
        <v>21</v>
      </c>
      <c r="X66" s="367">
        <v>43868</v>
      </c>
      <c r="Y66" s="205">
        <v>43905</v>
      </c>
      <c r="Z66" s="205">
        <v>44043</v>
      </c>
      <c r="AA66" s="273">
        <f t="shared" si="3"/>
        <v>2020</v>
      </c>
      <c r="AB66" s="273">
        <f t="shared" si="4"/>
        <v>7</v>
      </c>
      <c r="AC66" s="211" t="s">
        <v>920</v>
      </c>
      <c r="AD66" s="217" t="s">
        <v>422</v>
      </c>
      <c r="AE66" s="217" t="s">
        <v>422</v>
      </c>
      <c r="AF66" s="217" t="s">
        <v>422</v>
      </c>
      <c r="AG66" s="217" t="s">
        <v>422</v>
      </c>
      <c r="AH66" s="217" t="s">
        <v>422</v>
      </c>
      <c r="AI66" s="217" t="s">
        <v>422</v>
      </c>
      <c r="AJ66" s="217" t="s">
        <v>423</v>
      </c>
      <c r="AK66" s="217" t="s">
        <v>423</v>
      </c>
      <c r="AL66" s="222" t="s">
        <v>1040</v>
      </c>
      <c r="AM66" s="209"/>
      <c r="AN66" s="209"/>
    </row>
    <row r="67" spans="1:40" x14ac:dyDescent="0.3">
      <c r="A67" s="185">
        <v>74</v>
      </c>
      <c r="B67" s="212" t="s">
        <v>881</v>
      </c>
      <c r="C67" s="212" t="s">
        <v>1618</v>
      </c>
      <c r="D67" s="201" t="s">
        <v>1848</v>
      </c>
      <c r="E67" s="212"/>
      <c r="F67" s="212"/>
      <c r="G67" s="212" t="s">
        <v>1953</v>
      </c>
      <c r="H67" s="212" t="s">
        <v>1040</v>
      </c>
      <c r="I67" s="357">
        <v>2</v>
      </c>
      <c r="J67" s="212">
        <v>2.5</v>
      </c>
      <c r="K67" s="357">
        <v>6</v>
      </c>
      <c r="L67" s="212">
        <v>0.5</v>
      </c>
      <c r="M67" s="212">
        <f t="shared" si="5"/>
        <v>11</v>
      </c>
      <c r="N67" s="212">
        <f t="shared" si="6"/>
        <v>16</v>
      </c>
      <c r="O67" s="212">
        <f t="shared" si="7"/>
        <v>10</v>
      </c>
      <c r="P67" s="212">
        <f t="shared" si="8"/>
        <v>40</v>
      </c>
      <c r="Q67" s="212">
        <f t="shared" si="9"/>
        <v>4</v>
      </c>
      <c r="R67" s="212">
        <f t="shared" si="10"/>
        <v>70</v>
      </c>
      <c r="S67" s="202" t="s">
        <v>885</v>
      </c>
      <c r="T67" s="211" t="s">
        <v>894</v>
      </c>
      <c r="U67" s="202">
        <v>20</v>
      </c>
      <c r="V67" s="202">
        <v>21</v>
      </c>
      <c r="W67" s="202">
        <v>21</v>
      </c>
      <c r="X67" s="367">
        <v>43868</v>
      </c>
      <c r="Y67" s="205">
        <v>43905</v>
      </c>
      <c r="Z67" s="205">
        <v>44043</v>
      </c>
      <c r="AA67" s="273">
        <f t="shared" si="3"/>
        <v>2020</v>
      </c>
      <c r="AB67" s="273">
        <f t="shared" si="4"/>
        <v>7</v>
      </c>
      <c r="AC67" s="211" t="s">
        <v>920</v>
      </c>
      <c r="AD67" s="217" t="s">
        <v>422</v>
      </c>
      <c r="AE67" s="217" t="s">
        <v>422</v>
      </c>
      <c r="AF67" s="217" t="s">
        <v>422</v>
      </c>
      <c r="AG67" s="217" t="s">
        <v>422</v>
      </c>
      <c r="AH67" s="217" t="s">
        <v>422</v>
      </c>
      <c r="AI67" s="217" t="s">
        <v>422</v>
      </c>
      <c r="AJ67" s="217" t="s">
        <v>423</v>
      </c>
      <c r="AK67" s="217" t="s">
        <v>423</v>
      </c>
      <c r="AL67" s="222" t="s">
        <v>1040</v>
      </c>
      <c r="AM67" s="209"/>
      <c r="AN67" s="209"/>
    </row>
    <row r="68" spans="1:40" x14ac:dyDescent="0.3">
      <c r="A68" s="185">
        <v>75</v>
      </c>
      <c r="B68" s="212" t="s">
        <v>882</v>
      </c>
      <c r="C68" s="212" t="s">
        <v>1618</v>
      </c>
      <c r="D68" s="201" t="s">
        <v>1848</v>
      </c>
      <c r="E68" s="212"/>
      <c r="F68" s="212"/>
      <c r="G68" s="212" t="s">
        <v>1953</v>
      </c>
      <c r="H68" s="212" t="s">
        <v>1040</v>
      </c>
      <c r="I68" s="357">
        <v>2</v>
      </c>
      <c r="J68" s="212">
        <v>2.5</v>
      </c>
      <c r="K68" s="357">
        <v>6</v>
      </c>
      <c r="L68" s="212">
        <v>0.5</v>
      </c>
      <c r="M68" s="212">
        <f t="shared" si="5"/>
        <v>11</v>
      </c>
      <c r="N68" s="212">
        <f t="shared" si="6"/>
        <v>16</v>
      </c>
      <c r="O68" s="212">
        <f t="shared" si="7"/>
        <v>10</v>
      </c>
      <c r="P68" s="212">
        <f t="shared" si="8"/>
        <v>40</v>
      </c>
      <c r="Q68" s="212">
        <f t="shared" si="9"/>
        <v>4</v>
      </c>
      <c r="R68" s="212">
        <f t="shared" si="10"/>
        <v>70</v>
      </c>
      <c r="S68" s="202" t="s">
        <v>885</v>
      </c>
      <c r="T68" s="211" t="s">
        <v>895</v>
      </c>
      <c r="U68" s="202">
        <v>20</v>
      </c>
      <c r="V68" s="202">
        <v>21</v>
      </c>
      <c r="W68" s="202">
        <v>21</v>
      </c>
      <c r="X68" s="367">
        <v>43868</v>
      </c>
      <c r="Y68" s="205">
        <v>43905</v>
      </c>
      <c r="Z68" s="205">
        <v>44043</v>
      </c>
      <c r="AA68" s="273">
        <f t="shared" si="3"/>
        <v>2020</v>
      </c>
      <c r="AB68" s="273">
        <f t="shared" si="4"/>
        <v>7</v>
      </c>
      <c r="AC68" s="211" t="s">
        <v>920</v>
      </c>
      <c r="AD68" s="217" t="s">
        <v>422</v>
      </c>
      <c r="AE68" s="217" t="s">
        <v>422</v>
      </c>
      <c r="AF68" s="217" t="s">
        <v>422</v>
      </c>
      <c r="AG68" s="217" t="s">
        <v>422</v>
      </c>
      <c r="AH68" s="217" t="s">
        <v>422</v>
      </c>
      <c r="AI68" s="217" t="s">
        <v>422</v>
      </c>
      <c r="AJ68" s="217" t="s">
        <v>423</v>
      </c>
      <c r="AK68" s="217" t="s">
        <v>423</v>
      </c>
      <c r="AL68" s="222" t="s">
        <v>1040</v>
      </c>
      <c r="AM68" s="209"/>
      <c r="AN68" s="209"/>
    </row>
    <row r="69" spans="1:40" x14ac:dyDescent="0.3">
      <c r="A69" s="185">
        <v>76</v>
      </c>
      <c r="B69" s="212" t="s">
        <v>883</v>
      </c>
      <c r="C69" s="212" t="s">
        <v>1618</v>
      </c>
      <c r="D69" s="201" t="s">
        <v>1848</v>
      </c>
      <c r="E69" s="212"/>
      <c r="F69" s="212"/>
      <c r="G69" s="212" t="s">
        <v>1939</v>
      </c>
      <c r="H69" s="212" t="s">
        <v>1040</v>
      </c>
      <c r="I69" s="357">
        <v>2</v>
      </c>
      <c r="J69" s="212">
        <v>9</v>
      </c>
      <c r="K69" s="212">
        <v>9</v>
      </c>
      <c r="L69" s="212">
        <v>1</v>
      </c>
      <c r="M69" s="212">
        <f t="shared" si="5"/>
        <v>21</v>
      </c>
      <c r="N69" s="212">
        <f t="shared" si="6"/>
        <v>16</v>
      </c>
      <c r="O69" s="212">
        <f t="shared" si="7"/>
        <v>36</v>
      </c>
      <c r="P69" s="212">
        <f t="shared" si="8"/>
        <v>60</v>
      </c>
      <c r="Q69" s="212">
        <f t="shared" si="9"/>
        <v>8</v>
      </c>
      <c r="R69" s="212">
        <f t="shared" si="10"/>
        <v>120</v>
      </c>
      <c r="S69" s="202" t="s">
        <v>865</v>
      </c>
      <c r="T69" s="211" t="s">
        <v>896</v>
      </c>
      <c r="U69" s="202">
        <v>30</v>
      </c>
      <c r="V69" s="202">
        <v>30</v>
      </c>
      <c r="W69" s="202">
        <v>30</v>
      </c>
      <c r="X69" s="367">
        <v>43868</v>
      </c>
      <c r="Y69" s="205">
        <v>43905</v>
      </c>
      <c r="Z69" s="205">
        <v>44043</v>
      </c>
      <c r="AA69" s="273">
        <f t="shared" si="3"/>
        <v>2020</v>
      </c>
      <c r="AB69" s="273">
        <f t="shared" si="4"/>
        <v>7</v>
      </c>
      <c r="AC69" s="211" t="s">
        <v>920</v>
      </c>
      <c r="AD69" s="217" t="s">
        <v>422</v>
      </c>
      <c r="AE69" s="217" t="s">
        <v>422</v>
      </c>
      <c r="AF69" s="217" t="s">
        <v>422</v>
      </c>
      <c r="AG69" s="217" t="s">
        <v>422</v>
      </c>
      <c r="AH69" s="217" t="s">
        <v>422</v>
      </c>
      <c r="AI69" s="217" t="s">
        <v>422</v>
      </c>
      <c r="AJ69" s="217" t="s">
        <v>423</v>
      </c>
      <c r="AK69" s="217" t="s">
        <v>423</v>
      </c>
      <c r="AL69" s="222" t="s">
        <v>1040</v>
      </c>
      <c r="AM69" s="209"/>
      <c r="AN69" s="209"/>
    </row>
    <row r="70" spans="1:40" x14ac:dyDescent="0.3">
      <c r="A70" s="185">
        <v>77</v>
      </c>
      <c r="B70" s="212" t="s">
        <v>884</v>
      </c>
      <c r="C70" s="212" t="s">
        <v>1618</v>
      </c>
      <c r="D70" s="201" t="s">
        <v>1848</v>
      </c>
      <c r="E70" s="212"/>
      <c r="F70" s="212"/>
      <c r="G70" s="212" t="s">
        <v>1939</v>
      </c>
      <c r="H70" s="212" t="s">
        <v>1040</v>
      </c>
      <c r="I70" s="357">
        <v>2</v>
      </c>
      <c r="J70" s="212">
        <v>9</v>
      </c>
      <c r="K70" s="212">
        <v>9</v>
      </c>
      <c r="L70" s="212">
        <v>1</v>
      </c>
      <c r="M70" s="212">
        <f t="shared" ref="M70:M132" si="11">SUM((I70:L70))</f>
        <v>21</v>
      </c>
      <c r="N70" s="212">
        <f t="shared" ref="N70:N132" si="12">+I70/0.125</f>
        <v>16</v>
      </c>
      <c r="O70" s="212">
        <f t="shared" ref="O70:O132" si="13">+J70/0.25</f>
        <v>36</v>
      </c>
      <c r="P70" s="212">
        <f t="shared" ref="P70:P132" si="14">+K70/0.15</f>
        <v>60</v>
      </c>
      <c r="Q70" s="212">
        <f t="shared" ref="Q70:Q132" si="15">+L70/0.125</f>
        <v>8</v>
      </c>
      <c r="R70" s="212">
        <f t="shared" ref="R70:R132" si="16">SUM(N70:Q70)</f>
        <v>120</v>
      </c>
      <c r="S70" s="202" t="s">
        <v>865</v>
      </c>
      <c r="T70" s="211" t="s">
        <v>897</v>
      </c>
      <c r="U70" s="202">
        <v>30</v>
      </c>
      <c r="V70" s="202">
        <v>30</v>
      </c>
      <c r="W70" s="202">
        <v>30</v>
      </c>
      <c r="X70" s="367">
        <v>43868</v>
      </c>
      <c r="Y70" s="205">
        <v>43905</v>
      </c>
      <c r="Z70" s="205">
        <v>44043</v>
      </c>
      <c r="AA70" s="273">
        <f t="shared" ref="AA70:AA132" si="17">IF(YEAR(Z70)&gt;2000,YEAR(Z70),YEAR(Y70))</f>
        <v>2020</v>
      </c>
      <c r="AB70" s="273">
        <f t="shared" ref="AB70:AB132" si="18">MONTH(Z70)</f>
        <v>7</v>
      </c>
      <c r="AC70" s="211" t="s">
        <v>920</v>
      </c>
      <c r="AD70" s="217" t="s">
        <v>422</v>
      </c>
      <c r="AE70" s="217" t="s">
        <v>422</v>
      </c>
      <c r="AF70" s="217" t="s">
        <v>422</v>
      </c>
      <c r="AG70" s="217" t="s">
        <v>422</v>
      </c>
      <c r="AH70" s="217" t="s">
        <v>422</v>
      </c>
      <c r="AI70" s="217" t="s">
        <v>422</v>
      </c>
      <c r="AJ70" s="217" t="s">
        <v>423</v>
      </c>
      <c r="AK70" s="217" t="s">
        <v>423</v>
      </c>
      <c r="AL70" s="222" t="s">
        <v>1040</v>
      </c>
      <c r="AM70" s="209"/>
      <c r="AN70" s="209"/>
    </row>
    <row r="71" spans="1:40" x14ac:dyDescent="0.3">
      <c r="A71" s="185">
        <v>78</v>
      </c>
      <c r="B71" s="212" t="s">
        <v>886</v>
      </c>
      <c r="C71" s="212" t="s">
        <v>1618</v>
      </c>
      <c r="D71" s="201" t="s">
        <v>1848</v>
      </c>
      <c r="E71" s="212"/>
      <c r="F71" s="212"/>
      <c r="G71" s="212" t="s">
        <v>1939</v>
      </c>
      <c r="H71" s="212" t="s">
        <v>1040</v>
      </c>
      <c r="I71" s="357">
        <v>2</v>
      </c>
      <c r="J71" s="212">
        <v>8</v>
      </c>
      <c r="K71" s="212">
        <v>9</v>
      </c>
      <c r="L71" s="212">
        <v>1</v>
      </c>
      <c r="M71" s="212">
        <f t="shared" si="11"/>
        <v>20</v>
      </c>
      <c r="N71" s="212">
        <f t="shared" si="12"/>
        <v>16</v>
      </c>
      <c r="O71" s="212">
        <f t="shared" si="13"/>
        <v>32</v>
      </c>
      <c r="P71" s="212">
        <f t="shared" si="14"/>
        <v>60</v>
      </c>
      <c r="Q71" s="212">
        <f t="shared" si="15"/>
        <v>8</v>
      </c>
      <c r="R71" s="212">
        <f t="shared" si="16"/>
        <v>116</v>
      </c>
      <c r="S71" s="202" t="s">
        <v>889</v>
      </c>
      <c r="T71" s="211" t="s">
        <v>898</v>
      </c>
      <c r="U71" s="202">
        <v>30</v>
      </c>
      <c r="V71" s="202">
        <v>31</v>
      </c>
      <c r="W71" s="202">
        <v>31</v>
      </c>
      <c r="X71" s="367">
        <v>43868</v>
      </c>
      <c r="Y71" s="205">
        <v>43905</v>
      </c>
      <c r="Z71" s="205">
        <v>44043</v>
      </c>
      <c r="AA71" s="273">
        <f t="shared" si="17"/>
        <v>2020</v>
      </c>
      <c r="AB71" s="273">
        <f t="shared" si="18"/>
        <v>7</v>
      </c>
      <c r="AC71" s="211" t="s">
        <v>920</v>
      </c>
      <c r="AD71" s="217" t="s">
        <v>422</v>
      </c>
      <c r="AE71" s="217" t="s">
        <v>422</v>
      </c>
      <c r="AF71" s="217" t="s">
        <v>422</v>
      </c>
      <c r="AG71" s="217" t="s">
        <v>422</v>
      </c>
      <c r="AH71" s="217" t="s">
        <v>422</v>
      </c>
      <c r="AI71" s="217" t="s">
        <v>422</v>
      </c>
      <c r="AJ71" s="217" t="s">
        <v>423</v>
      </c>
      <c r="AK71" s="217" t="s">
        <v>423</v>
      </c>
      <c r="AL71" s="222" t="s">
        <v>1040</v>
      </c>
      <c r="AM71" s="209"/>
      <c r="AN71" s="209"/>
    </row>
    <row r="72" spans="1:40" x14ac:dyDescent="0.3">
      <c r="A72" s="185">
        <v>79</v>
      </c>
      <c r="B72" s="212" t="s">
        <v>887</v>
      </c>
      <c r="C72" s="212" t="s">
        <v>1618</v>
      </c>
      <c r="D72" s="201" t="s">
        <v>1848</v>
      </c>
      <c r="E72" s="212"/>
      <c r="F72" s="212"/>
      <c r="G72" s="212" t="s">
        <v>1939</v>
      </c>
      <c r="H72" s="212" t="s">
        <v>1040</v>
      </c>
      <c r="I72" s="357">
        <v>2</v>
      </c>
      <c r="J72" s="212">
        <v>8</v>
      </c>
      <c r="K72" s="212">
        <v>9</v>
      </c>
      <c r="L72" s="212">
        <v>1</v>
      </c>
      <c r="M72" s="212">
        <f t="shared" si="11"/>
        <v>20</v>
      </c>
      <c r="N72" s="212">
        <f t="shared" si="12"/>
        <v>16</v>
      </c>
      <c r="O72" s="212">
        <f t="shared" si="13"/>
        <v>32</v>
      </c>
      <c r="P72" s="212">
        <f t="shared" si="14"/>
        <v>60</v>
      </c>
      <c r="Q72" s="212">
        <f t="shared" si="15"/>
        <v>8</v>
      </c>
      <c r="R72" s="212">
        <f t="shared" si="16"/>
        <v>116</v>
      </c>
      <c r="S72" s="202" t="s">
        <v>889</v>
      </c>
      <c r="T72" s="211" t="s">
        <v>899</v>
      </c>
      <c r="U72" s="202">
        <v>30</v>
      </c>
      <c r="V72" s="202">
        <v>31</v>
      </c>
      <c r="W72" s="202">
        <v>31</v>
      </c>
      <c r="X72" s="367">
        <v>43868</v>
      </c>
      <c r="Y72" s="205">
        <v>43905</v>
      </c>
      <c r="Z72" s="205">
        <v>44043</v>
      </c>
      <c r="AA72" s="273">
        <f t="shared" si="17"/>
        <v>2020</v>
      </c>
      <c r="AB72" s="273">
        <f t="shared" si="18"/>
        <v>7</v>
      </c>
      <c r="AC72" s="211" t="s">
        <v>920</v>
      </c>
      <c r="AD72" s="217" t="s">
        <v>422</v>
      </c>
      <c r="AE72" s="217" t="s">
        <v>422</v>
      </c>
      <c r="AF72" s="217" t="s">
        <v>422</v>
      </c>
      <c r="AG72" s="217" t="s">
        <v>422</v>
      </c>
      <c r="AH72" s="217" t="s">
        <v>422</v>
      </c>
      <c r="AI72" s="217" t="s">
        <v>422</v>
      </c>
      <c r="AJ72" s="217" t="s">
        <v>423</v>
      </c>
      <c r="AK72" s="217" t="s">
        <v>423</v>
      </c>
      <c r="AL72" s="222" t="s">
        <v>1040</v>
      </c>
      <c r="AM72" s="209"/>
      <c r="AN72" s="209"/>
    </row>
    <row r="73" spans="1:40" ht="15" customHeight="1" x14ac:dyDescent="0.3">
      <c r="A73" s="185">
        <v>81</v>
      </c>
      <c r="B73" s="212" t="s">
        <v>901</v>
      </c>
      <c r="C73" s="212" t="s">
        <v>1615</v>
      </c>
      <c r="D73" s="201" t="s">
        <v>1881</v>
      </c>
      <c r="E73" s="212"/>
      <c r="F73" s="212"/>
      <c r="G73" s="368" t="s">
        <v>1604</v>
      </c>
      <c r="H73" s="212" t="s">
        <v>1428</v>
      </c>
      <c r="I73" s="357">
        <v>2</v>
      </c>
      <c r="J73" s="212">
        <v>11</v>
      </c>
      <c r="K73" s="212">
        <v>0</v>
      </c>
      <c r="L73" s="212">
        <v>1</v>
      </c>
      <c r="M73" s="212">
        <f t="shared" si="11"/>
        <v>14</v>
      </c>
      <c r="N73" s="212">
        <f t="shared" si="12"/>
        <v>16</v>
      </c>
      <c r="O73" s="212">
        <f t="shared" si="13"/>
        <v>44</v>
      </c>
      <c r="P73" s="212">
        <f t="shared" si="14"/>
        <v>0</v>
      </c>
      <c r="Q73" s="212">
        <f t="shared" si="15"/>
        <v>8</v>
      </c>
      <c r="R73" s="212">
        <f t="shared" si="16"/>
        <v>68</v>
      </c>
      <c r="S73" s="213" t="s">
        <v>935</v>
      </c>
      <c r="T73" s="214" t="s">
        <v>940</v>
      </c>
      <c r="U73" s="213">
        <v>72</v>
      </c>
      <c r="V73" s="213">
        <v>74</v>
      </c>
      <c r="W73" s="213">
        <v>74</v>
      </c>
      <c r="X73" s="215">
        <v>43875</v>
      </c>
      <c r="Y73" s="216">
        <v>43905</v>
      </c>
      <c r="Z73" s="205">
        <v>44035</v>
      </c>
      <c r="AA73" s="273">
        <f t="shared" si="17"/>
        <v>2020</v>
      </c>
      <c r="AB73" s="273">
        <f t="shared" si="18"/>
        <v>7</v>
      </c>
      <c r="AC73" s="217" t="s">
        <v>920</v>
      </c>
      <c r="AD73" s="217" t="s">
        <v>422</v>
      </c>
      <c r="AE73" s="217" t="s">
        <v>422</v>
      </c>
      <c r="AF73" s="217" t="s">
        <v>422</v>
      </c>
      <c r="AG73" s="217" t="s">
        <v>422</v>
      </c>
      <c r="AH73" s="217" t="s">
        <v>422</v>
      </c>
      <c r="AI73" s="217" t="s">
        <v>423</v>
      </c>
      <c r="AJ73" s="217" t="s">
        <v>423</v>
      </c>
      <c r="AK73" s="217" t="s">
        <v>423</v>
      </c>
      <c r="AL73" s="218" t="s">
        <v>138</v>
      </c>
      <c r="AM73" s="209"/>
      <c r="AN73" s="209"/>
    </row>
    <row r="74" spans="1:40" ht="15" customHeight="1" x14ac:dyDescent="0.3">
      <c r="A74" s="185">
        <v>91</v>
      </c>
      <c r="B74" s="212" t="s">
        <v>911</v>
      </c>
      <c r="C74" s="212" t="s">
        <v>1615</v>
      </c>
      <c r="D74" s="199" t="s">
        <v>1881</v>
      </c>
      <c r="E74" s="212"/>
      <c r="F74" s="212"/>
      <c r="G74" s="368" t="s">
        <v>1604</v>
      </c>
      <c r="H74" s="212" t="s">
        <v>1008</v>
      </c>
      <c r="I74" s="357">
        <v>2</v>
      </c>
      <c r="J74" s="212">
        <v>6</v>
      </c>
      <c r="K74" s="212">
        <v>0</v>
      </c>
      <c r="L74" s="212">
        <v>1</v>
      </c>
      <c r="M74" s="212">
        <f t="shared" si="11"/>
        <v>9</v>
      </c>
      <c r="N74" s="212">
        <f t="shared" si="12"/>
        <v>16</v>
      </c>
      <c r="O74" s="212">
        <f t="shared" si="13"/>
        <v>24</v>
      </c>
      <c r="P74" s="212">
        <f t="shared" si="14"/>
        <v>0</v>
      </c>
      <c r="Q74" s="212">
        <f t="shared" si="15"/>
        <v>8</v>
      </c>
      <c r="R74" s="212">
        <f t="shared" si="16"/>
        <v>48</v>
      </c>
      <c r="S74" s="213" t="s">
        <v>948</v>
      </c>
      <c r="T74" s="214" t="s">
        <v>922</v>
      </c>
      <c r="U74" s="213">
        <v>61</v>
      </c>
      <c r="V74" s="213">
        <v>64</v>
      </c>
      <c r="W74" s="213">
        <v>64</v>
      </c>
      <c r="X74" s="215">
        <v>43875</v>
      </c>
      <c r="Y74" s="216">
        <v>43936</v>
      </c>
      <c r="Z74" s="205">
        <v>44035</v>
      </c>
      <c r="AA74" s="273">
        <f t="shared" si="17"/>
        <v>2020</v>
      </c>
      <c r="AB74" s="273">
        <f t="shared" si="18"/>
        <v>7</v>
      </c>
      <c r="AC74" s="217" t="s">
        <v>920</v>
      </c>
      <c r="AD74" s="217" t="s">
        <v>422</v>
      </c>
      <c r="AE74" s="217" t="s">
        <v>422</v>
      </c>
      <c r="AF74" s="217" t="s">
        <v>422</v>
      </c>
      <c r="AG74" s="217" t="s">
        <v>422</v>
      </c>
      <c r="AH74" s="217" t="s">
        <v>422</v>
      </c>
      <c r="AI74" s="217" t="s">
        <v>423</v>
      </c>
      <c r="AJ74" s="217" t="s">
        <v>423</v>
      </c>
      <c r="AK74" s="217" t="s">
        <v>423</v>
      </c>
      <c r="AL74" s="218" t="s">
        <v>888</v>
      </c>
      <c r="AM74" s="209"/>
      <c r="AN74" s="209"/>
    </row>
    <row r="75" spans="1:40" ht="15" customHeight="1" x14ac:dyDescent="0.3">
      <c r="A75" s="185">
        <v>93</v>
      </c>
      <c r="B75" s="212" t="s">
        <v>913</v>
      </c>
      <c r="C75" s="212" t="s">
        <v>1618</v>
      </c>
      <c r="D75" s="201" t="s">
        <v>1881</v>
      </c>
      <c r="E75" s="212"/>
      <c r="F75" s="212" t="s">
        <v>1597</v>
      </c>
      <c r="G75" s="212" t="s">
        <v>1941</v>
      </c>
      <c r="H75" s="212"/>
      <c r="I75" s="212">
        <v>2</v>
      </c>
      <c r="J75" s="357">
        <v>7</v>
      </c>
      <c r="K75" s="212">
        <v>28</v>
      </c>
      <c r="L75" s="212">
        <v>1</v>
      </c>
      <c r="M75" s="212">
        <f t="shared" si="11"/>
        <v>38</v>
      </c>
      <c r="N75" s="212">
        <f t="shared" si="12"/>
        <v>16</v>
      </c>
      <c r="O75" s="212">
        <f t="shared" si="13"/>
        <v>28</v>
      </c>
      <c r="P75" s="212">
        <f t="shared" si="14"/>
        <v>186.66666666666669</v>
      </c>
      <c r="Q75" s="212">
        <f t="shared" si="15"/>
        <v>8</v>
      </c>
      <c r="R75" s="212">
        <f t="shared" si="16"/>
        <v>238.66666666666669</v>
      </c>
      <c r="S75" s="213" t="s">
        <v>917</v>
      </c>
      <c r="T75" s="214" t="s">
        <v>924</v>
      </c>
      <c r="U75" s="213">
        <v>50</v>
      </c>
      <c r="V75" s="213">
        <v>52</v>
      </c>
      <c r="W75" s="213">
        <v>52</v>
      </c>
      <c r="X75" s="215">
        <v>43875</v>
      </c>
      <c r="Y75" s="216">
        <v>43905</v>
      </c>
      <c r="Z75" s="205">
        <v>44043</v>
      </c>
      <c r="AA75" s="273">
        <f t="shared" si="17"/>
        <v>2020</v>
      </c>
      <c r="AB75" s="273">
        <f t="shared" si="18"/>
        <v>7</v>
      </c>
      <c r="AC75" s="217" t="s">
        <v>920</v>
      </c>
      <c r="AD75" s="217" t="s">
        <v>422</v>
      </c>
      <c r="AE75" s="217" t="s">
        <v>422</v>
      </c>
      <c r="AF75" s="217" t="s">
        <v>422</v>
      </c>
      <c r="AG75" s="217" t="s">
        <v>422</v>
      </c>
      <c r="AH75" s="217" t="s">
        <v>422</v>
      </c>
      <c r="AI75" s="217" t="s">
        <v>422</v>
      </c>
      <c r="AJ75" s="217" t="s">
        <v>423</v>
      </c>
      <c r="AK75" s="217" t="s">
        <v>423</v>
      </c>
      <c r="AL75" s="218" t="s">
        <v>108</v>
      </c>
      <c r="AM75" s="209"/>
      <c r="AN75" s="209"/>
    </row>
    <row r="76" spans="1:40" ht="15" customHeight="1" x14ac:dyDescent="0.3">
      <c r="A76" s="185">
        <v>94</v>
      </c>
      <c r="B76" s="212" t="s">
        <v>914</v>
      </c>
      <c r="C76" s="212" t="s">
        <v>1618</v>
      </c>
      <c r="D76" s="201" t="s">
        <v>1881</v>
      </c>
      <c r="E76" s="212"/>
      <c r="F76" s="212" t="s">
        <v>1597</v>
      </c>
      <c r="G76" s="212" t="s">
        <v>1941</v>
      </c>
      <c r="H76" s="212"/>
      <c r="I76" s="212">
        <v>2</v>
      </c>
      <c r="J76" s="357">
        <v>7</v>
      </c>
      <c r="K76" s="212">
        <v>28</v>
      </c>
      <c r="L76" s="212">
        <v>1</v>
      </c>
      <c r="M76" s="212">
        <f t="shared" si="11"/>
        <v>38</v>
      </c>
      <c r="N76" s="212">
        <f t="shared" si="12"/>
        <v>16</v>
      </c>
      <c r="O76" s="212">
        <f t="shared" si="13"/>
        <v>28</v>
      </c>
      <c r="P76" s="212">
        <f t="shared" si="14"/>
        <v>186.66666666666669</v>
      </c>
      <c r="Q76" s="212">
        <f t="shared" si="15"/>
        <v>8</v>
      </c>
      <c r="R76" s="212">
        <f t="shared" si="16"/>
        <v>238.66666666666669</v>
      </c>
      <c r="S76" s="213" t="s">
        <v>918</v>
      </c>
      <c r="T76" s="214" t="s">
        <v>925</v>
      </c>
      <c r="U76" s="213">
        <v>50</v>
      </c>
      <c r="V76" s="213">
        <v>52</v>
      </c>
      <c r="W76" s="213">
        <v>52</v>
      </c>
      <c r="X76" s="215">
        <v>43875</v>
      </c>
      <c r="Y76" s="216">
        <v>43905</v>
      </c>
      <c r="Z76" s="205">
        <v>44043</v>
      </c>
      <c r="AA76" s="273">
        <f t="shared" si="17"/>
        <v>2020</v>
      </c>
      <c r="AB76" s="273">
        <f t="shared" si="18"/>
        <v>7</v>
      </c>
      <c r="AC76" s="217" t="s">
        <v>920</v>
      </c>
      <c r="AD76" s="217" t="s">
        <v>422</v>
      </c>
      <c r="AE76" s="217" t="s">
        <v>422</v>
      </c>
      <c r="AF76" s="217" t="s">
        <v>422</v>
      </c>
      <c r="AG76" s="217" t="s">
        <v>422</v>
      </c>
      <c r="AH76" s="217" t="s">
        <v>422</v>
      </c>
      <c r="AI76" s="217" t="s">
        <v>422</v>
      </c>
      <c r="AJ76" s="217" t="s">
        <v>423</v>
      </c>
      <c r="AK76" s="217" t="s">
        <v>423</v>
      </c>
      <c r="AL76" s="218" t="s">
        <v>108</v>
      </c>
      <c r="AM76" s="209"/>
      <c r="AN76" s="209"/>
    </row>
    <row r="77" spans="1:40" ht="15" customHeight="1" x14ac:dyDescent="0.3">
      <c r="A77" s="185">
        <v>97</v>
      </c>
      <c r="B77" s="212" t="s">
        <v>930</v>
      </c>
      <c r="C77" s="212" t="s">
        <v>1615</v>
      </c>
      <c r="D77" s="201" t="s">
        <v>1881</v>
      </c>
      <c r="E77" s="212"/>
      <c r="F77" s="212"/>
      <c r="G77" s="368" t="s">
        <v>1604</v>
      </c>
      <c r="H77" s="212" t="s">
        <v>1008</v>
      </c>
      <c r="I77" s="357">
        <v>2</v>
      </c>
      <c r="J77" s="212">
        <v>12</v>
      </c>
      <c r="K77" s="212">
        <v>0</v>
      </c>
      <c r="L77" s="212">
        <v>1.5</v>
      </c>
      <c r="M77" s="212">
        <f t="shared" si="11"/>
        <v>15.5</v>
      </c>
      <c r="N77" s="212">
        <f t="shared" si="12"/>
        <v>16</v>
      </c>
      <c r="O77" s="212">
        <f t="shared" si="13"/>
        <v>48</v>
      </c>
      <c r="P77" s="212">
        <f t="shared" si="14"/>
        <v>0</v>
      </c>
      <c r="Q77" s="212">
        <f t="shared" si="15"/>
        <v>12</v>
      </c>
      <c r="R77" s="212">
        <f t="shared" si="16"/>
        <v>76</v>
      </c>
      <c r="S77" s="213" t="s">
        <v>933</v>
      </c>
      <c r="T77" s="214" t="s">
        <v>1018</v>
      </c>
      <c r="U77" s="213">
        <v>106</v>
      </c>
      <c r="V77" s="213">
        <v>109</v>
      </c>
      <c r="W77" s="213">
        <v>109</v>
      </c>
      <c r="X77" s="215">
        <v>43875</v>
      </c>
      <c r="Y77" s="216">
        <v>43936</v>
      </c>
      <c r="Z77" s="205">
        <v>44035</v>
      </c>
      <c r="AA77" s="273">
        <f t="shared" si="17"/>
        <v>2020</v>
      </c>
      <c r="AB77" s="273">
        <f t="shared" si="18"/>
        <v>7</v>
      </c>
      <c r="AC77" s="217" t="s">
        <v>920</v>
      </c>
      <c r="AD77" s="217" t="s">
        <v>422</v>
      </c>
      <c r="AE77" s="217" t="s">
        <v>422</v>
      </c>
      <c r="AF77" s="217" t="s">
        <v>422</v>
      </c>
      <c r="AG77" s="217" t="s">
        <v>422</v>
      </c>
      <c r="AH77" s="217" t="s">
        <v>422</v>
      </c>
      <c r="AI77" s="217" t="s">
        <v>423</v>
      </c>
      <c r="AJ77" s="217" t="s">
        <v>422</v>
      </c>
      <c r="AK77" s="217" t="s">
        <v>423</v>
      </c>
      <c r="AL77" s="218" t="s">
        <v>888</v>
      </c>
      <c r="AM77" s="209"/>
      <c r="AN77" s="209"/>
    </row>
    <row r="78" spans="1:40" ht="15" customHeight="1" x14ac:dyDescent="0.3">
      <c r="A78" s="185">
        <v>98</v>
      </c>
      <c r="B78" s="212" t="s">
        <v>931</v>
      </c>
      <c r="C78" s="212" t="s">
        <v>1615</v>
      </c>
      <c r="D78" s="201" t="s">
        <v>1881</v>
      </c>
      <c r="E78" s="212"/>
      <c r="F78" s="212"/>
      <c r="G78" s="368" t="s">
        <v>1604</v>
      </c>
      <c r="H78" s="212" t="s">
        <v>1008</v>
      </c>
      <c r="I78" s="357">
        <v>2</v>
      </c>
      <c r="J78" s="212">
        <v>10.5</v>
      </c>
      <c r="K78" s="212">
        <v>0</v>
      </c>
      <c r="L78" s="212">
        <v>1.5</v>
      </c>
      <c r="M78" s="212">
        <f t="shared" si="11"/>
        <v>14</v>
      </c>
      <c r="N78" s="212">
        <f t="shared" si="12"/>
        <v>16</v>
      </c>
      <c r="O78" s="212">
        <f t="shared" si="13"/>
        <v>42</v>
      </c>
      <c r="P78" s="212">
        <f t="shared" si="14"/>
        <v>0</v>
      </c>
      <c r="Q78" s="212">
        <f t="shared" si="15"/>
        <v>12</v>
      </c>
      <c r="R78" s="212">
        <f t="shared" si="16"/>
        <v>70</v>
      </c>
      <c r="S78" s="213" t="s">
        <v>1016</v>
      </c>
      <c r="T78" s="214" t="s">
        <v>1017</v>
      </c>
      <c r="U78" s="213">
        <v>100</v>
      </c>
      <c r="V78" s="213">
        <v>104</v>
      </c>
      <c r="W78" s="213">
        <v>104</v>
      </c>
      <c r="X78" s="215">
        <v>43875</v>
      </c>
      <c r="Y78" s="216">
        <v>43936</v>
      </c>
      <c r="Z78" s="205">
        <v>44035</v>
      </c>
      <c r="AA78" s="273">
        <f t="shared" si="17"/>
        <v>2020</v>
      </c>
      <c r="AB78" s="273">
        <f t="shared" si="18"/>
        <v>7</v>
      </c>
      <c r="AC78" s="217" t="s">
        <v>920</v>
      </c>
      <c r="AD78" s="217" t="s">
        <v>422</v>
      </c>
      <c r="AE78" s="217" t="s">
        <v>422</v>
      </c>
      <c r="AF78" s="217" t="s">
        <v>422</v>
      </c>
      <c r="AG78" s="217" t="s">
        <v>422</v>
      </c>
      <c r="AH78" s="217" t="s">
        <v>422</v>
      </c>
      <c r="AI78" s="217" t="s">
        <v>423</v>
      </c>
      <c r="AJ78" s="217" t="s">
        <v>422</v>
      </c>
      <c r="AK78" s="217" t="s">
        <v>423</v>
      </c>
      <c r="AL78" s="218" t="s">
        <v>888</v>
      </c>
      <c r="AM78" s="209"/>
      <c r="AN78" s="209"/>
    </row>
    <row r="79" spans="1:40" ht="15" customHeight="1" x14ac:dyDescent="0.3">
      <c r="A79" s="185">
        <v>99</v>
      </c>
      <c r="B79" s="212" t="s">
        <v>957</v>
      </c>
      <c r="C79" s="212" t="s">
        <v>1616</v>
      </c>
      <c r="D79" s="201" t="s">
        <v>1848</v>
      </c>
      <c r="E79" s="212"/>
      <c r="F79" s="212"/>
      <c r="G79" s="212" t="s">
        <v>1941</v>
      </c>
      <c r="H79" s="212" t="s">
        <v>1041</v>
      </c>
      <c r="I79" s="212">
        <v>2</v>
      </c>
      <c r="J79" s="212">
        <v>14</v>
      </c>
      <c r="K79" s="357">
        <v>9</v>
      </c>
      <c r="L79" s="212">
        <v>1</v>
      </c>
      <c r="M79" s="212">
        <f t="shared" si="11"/>
        <v>26</v>
      </c>
      <c r="N79" s="212">
        <f t="shared" si="12"/>
        <v>16</v>
      </c>
      <c r="O79" s="212">
        <f t="shared" si="13"/>
        <v>56</v>
      </c>
      <c r="P79" s="212">
        <f t="shared" si="14"/>
        <v>60</v>
      </c>
      <c r="Q79" s="212">
        <f t="shared" si="15"/>
        <v>8</v>
      </c>
      <c r="R79" s="212">
        <f t="shared" si="16"/>
        <v>140</v>
      </c>
      <c r="S79" s="219" t="s">
        <v>1011</v>
      </c>
      <c r="T79" s="214" t="s">
        <v>993</v>
      </c>
      <c r="U79" s="213">
        <v>7</v>
      </c>
      <c r="V79" s="213">
        <v>9</v>
      </c>
      <c r="W79" s="213">
        <v>9</v>
      </c>
      <c r="X79" s="215">
        <v>43889</v>
      </c>
      <c r="Y79" s="216">
        <v>43917</v>
      </c>
      <c r="Z79" s="205">
        <v>44014</v>
      </c>
      <c r="AA79" s="273">
        <f t="shared" si="17"/>
        <v>2020</v>
      </c>
      <c r="AB79" s="273">
        <f t="shared" si="18"/>
        <v>7</v>
      </c>
      <c r="AC79" s="217" t="s">
        <v>1250</v>
      </c>
      <c r="AD79" s="217" t="s">
        <v>422</v>
      </c>
      <c r="AE79" s="217" t="s">
        <v>422</v>
      </c>
      <c r="AF79" s="217" t="s">
        <v>422</v>
      </c>
      <c r="AG79" s="217" t="s">
        <v>422</v>
      </c>
      <c r="AH79" s="217" t="s">
        <v>422</v>
      </c>
      <c r="AI79" s="217" t="s">
        <v>422</v>
      </c>
      <c r="AJ79" s="217" t="s">
        <v>423</v>
      </c>
      <c r="AK79" s="217" t="s">
        <v>423</v>
      </c>
      <c r="AL79" s="218" t="s">
        <v>698</v>
      </c>
      <c r="AM79" s="209"/>
      <c r="AN79" s="209"/>
    </row>
    <row r="80" spans="1:40" ht="15" customHeight="1" x14ac:dyDescent="0.3">
      <c r="A80" s="185">
        <v>100</v>
      </c>
      <c r="B80" s="212" t="s">
        <v>958</v>
      </c>
      <c r="C80" s="212" t="s">
        <v>1616</v>
      </c>
      <c r="D80" s="201" t="s">
        <v>1848</v>
      </c>
      <c r="E80" s="212"/>
      <c r="F80" s="212" t="s">
        <v>1597</v>
      </c>
      <c r="G80" s="212" t="s">
        <v>1953</v>
      </c>
      <c r="H80" s="212"/>
      <c r="I80" s="212">
        <v>2</v>
      </c>
      <c r="J80" s="212">
        <v>10</v>
      </c>
      <c r="K80" s="357">
        <v>9</v>
      </c>
      <c r="L80" s="212">
        <v>1</v>
      </c>
      <c r="M80" s="212">
        <f t="shared" si="11"/>
        <v>22</v>
      </c>
      <c r="N80" s="212">
        <f t="shared" si="12"/>
        <v>16</v>
      </c>
      <c r="O80" s="212">
        <f t="shared" si="13"/>
        <v>40</v>
      </c>
      <c r="P80" s="212">
        <f t="shared" si="14"/>
        <v>60</v>
      </c>
      <c r="Q80" s="212">
        <f t="shared" si="15"/>
        <v>8</v>
      </c>
      <c r="R80" s="212">
        <f t="shared" si="16"/>
        <v>124</v>
      </c>
      <c r="S80" s="229" t="s">
        <v>963</v>
      </c>
      <c r="T80" s="214" t="s">
        <v>986</v>
      </c>
      <c r="U80" s="213">
        <v>8</v>
      </c>
      <c r="V80" s="213">
        <v>9</v>
      </c>
      <c r="W80" s="213">
        <v>9</v>
      </c>
      <c r="X80" s="215">
        <v>43889</v>
      </c>
      <c r="Y80" s="216">
        <v>43917</v>
      </c>
      <c r="Z80" s="205">
        <v>44014</v>
      </c>
      <c r="AA80" s="273">
        <f t="shared" si="17"/>
        <v>2020</v>
      </c>
      <c r="AB80" s="273">
        <f t="shared" si="18"/>
        <v>7</v>
      </c>
      <c r="AC80" s="217" t="s">
        <v>1250</v>
      </c>
      <c r="AD80" s="217" t="s">
        <v>422</v>
      </c>
      <c r="AE80" s="217" t="s">
        <v>422</v>
      </c>
      <c r="AF80" s="217" t="s">
        <v>422</v>
      </c>
      <c r="AG80" s="217" t="s">
        <v>422</v>
      </c>
      <c r="AH80" s="217" t="s">
        <v>422</v>
      </c>
      <c r="AI80" s="217" t="s">
        <v>422</v>
      </c>
      <c r="AJ80" s="217" t="s">
        <v>423</v>
      </c>
      <c r="AK80" s="217" t="s">
        <v>423</v>
      </c>
      <c r="AL80" s="218" t="s">
        <v>108</v>
      </c>
      <c r="AM80" s="209"/>
      <c r="AN80" s="209"/>
    </row>
    <row r="81" spans="1:43" ht="15" customHeight="1" x14ac:dyDescent="0.3">
      <c r="A81" s="185">
        <v>101</v>
      </c>
      <c r="B81" s="212" t="s">
        <v>959</v>
      </c>
      <c r="C81" s="212" t="s">
        <v>1616</v>
      </c>
      <c r="D81" s="201" t="s">
        <v>1848</v>
      </c>
      <c r="E81" s="212"/>
      <c r="F81" s="212"/>
      <c r="G81" s="212" t="s">
        <v>1953</v>
      </c>
      <c r="H81" s="212" t="s">
        <v>1041</v>
      </c>
      <c r="I81" s="212">
        <v>2</v>
      </c>
      <c r="J81" s="212">
        <v>12</v>
      </c>
      <c r="K81" s="357">
        <v>9</v>
      </c>
      <c r="L81" s="212">
        <v>1</v>
      </c>
      <c r="M81" s="212">
        <f t="shared" si="11"/>
        <v>24</v>
      </c>
      <c r="N81" s="212">
        <f t="shared" si="12"/>
        <v>16</v>
      </c>
      <c r="O81" s="212">
        <f t="shared" si="13"/>
        <v>48</v>
      </c>
      <c r="P81" s="212">
        <f t="shared" si="14"/>
        <v>60</v>
      </c>
      <c r="Q81" s="212">
        <f t="shared" si="15"/>
        <v>8</v>
      </c>
      <c r="R81" s="212">
        <f t="shared" si="16"/>
        <v>132</v>
      </c>
      <c r="S81" s="229" t="s">
        <v>964</v>
      </c>
      <c r="T81" s="214" t="s">
        <v>987</v>
      </c>
      <c r="U81" s="213">
        <v>6</v>
      </c>
      <c r="V81" s="213">
        <v>7</v>
      </c>
      <c r="W81" s="213">
        <v>7</v>
      </c>
      <c r="X81" s="215">
        <v>43889</v>
      </c>
      <c r="Y81" s="216">
        <v>43917</v>
      </c>
      <c r="Z81" s="205">
        <v>44014</v>
      </c>
      <c r="AA81" s="273">
        <f t="shared" si="17"/>
        <v>2020</v>
      </c>
      <c r="AB81" s="273">
        <f t="shared" si="18"/>
        <v>7</v>
      </c>
      <c r="AC81" s="217" t="s">
        <v>1250</v>
      </c>
      <c r="AD81" s="217" t="s">
        <v>422</v>
      </c>
      <c r="AE81" s="217" t="s">
        <v>422</v>
      </c>
      <c r="AF81" s="217" t="s">
        <v>422</v>
      </c>
      <c r="AG81" s="217" t="s">
        <v>422</v>
      </c>
      <c r="AH81" s="217" t="s">
        <v>422</v>
      </c>
      <c r="AI81" s="217" t="s">
        <v>422</v>
      </c>
      <c r="AJ81" s="217" t="s">
        <v>423</v>
      </c>
      <c r="AK81" s="217" t="s">
        <v>423</v>
      </c>
      <c r="AL81" s="218" t="s">
        <v>698</v>
      </c>
      <c r="AM81" s="209"/>
      <c r="AN81" s="209"/>
    </row>
    <row r="82" spans="1:43" ht="15" x14ac:dyDescent="0.3">
      <c r="A82" s="185">
        <v>102</v>
      </c>
      <c r="B82" s="212" t="s">
        <v>960</v>
      </c>
      <c r="C82" s="212" t="s">
        <v>1616</v>
      </c>
      <c r="D82" s="201" t="s">
        <v>1848</v>
      </c>
      <c r="E82" s="212"/>
      <c r="F82" s="212"/>
      <c r="G82" s="212" t="s">
        <v>1953</v>
      </c>
      <c r="H82" s="212" t="s">
        <v>1010</v>
      </c>
      <c r="I82" s="212">
        <v>2</v>
      </c>
      <c r="J82" s="212">
        <v>19</v>
      </c>
      <c r="K82" s="357">
        <v>9</v>
      </c>
      <c r="L82" s="212">
        <v>1</v>
      </c>
      <c r="M82" s="212">
        <f t="shared" si="11"/>
        <v>31</v>
      </c>
      <c r="N82" s="212">
        <f t="shared" si="12"/>
        <v>16</v>
      </c>
      <c r="O82" s="212">
        <f t="shared" si="13"/>
        <v>76</v>
      </c>
      <c r="P82" s="212">
        <f t="shared" si="14"/>
        <v>60</v>
      </c>
      <c r="Q82" s="212">
        <f t="shared" si="15"/>
        <v>8</v>
      </c>
      <c r="R82" s="212">
        <f t="shared" si="16"/>
        <v>160</v>
      </c>
      <c r="S82" s="229" t="s">
        <v>965</v>
      </c>
      <c r="T82" s="214" t="s">
        <v>988</v>
      </c>
      <c r="U82" s="213">
        <v>6</v>
      </c>
      <c r="V82" s="213">
        <v>7</v>
      </c>
      <c r="W82" s="213">
        <v>7</v>
      </c>
      <c r="X82" s="215">
        <v>43889</v>
      </c>
      <c r="Y82" s="216">
        <v>43917</v>
      </c>
      <c r="Z82" s="205">
        <v>44014</v>
      </c>
      <c r="AA82" s="273">
        <f t="shared" si="17"/>
        <v>2020</v>
      </c>
      <c r="AB82" s="273">
        <f t="shared" si="18"/>
        <v>7</v>
      </c>
      <c r="AC82" s="217" t="s">
        <v>1250</v>
      </c>
      <c r="AD82" s="217" t="s">
        <v>422</v>
      </c>
      <c r="AE82" s="217" t="s">
        <v>422</v>
      </c>
      <c r="AF82" s="217" t="s">
        <v>422</v>
      </c>
      <c r="AG82" s="217" t="s">
        <v>422</v>
      </c>
      <c r="AH82" s="217" t="s">
        <v>422</v>
      </c>
      <c r="AI82" s="217" t="s">
        <v>422</v>
      </c>
      <c r="AJ82" s="217" t="s">
        <v>423</v>
      </c>
      <c r="AK82" s="217" t="s">
        <v>423</v>
      </c>
      <c r="AL82" s="218" t="s">
        <v>140</v>
      </c>
      <c r="AM82" s="209"/>
      <c r="AN82" s="209"/>
    </row>
    <row r="83" spans="1:43" ht="15" customHeight="1" x14ac:dyDescent="0.3">
      <c r="A83" s="185">
        <v>103</v>
      </c>
      <c r="B83" s="212" t="s">
        <v>961</v>
      </c>
      <c r="C83" s="212" t="s">
        <v>1616</v>
      </c>
      <c r="D83" s="201" t="s">
        <v>1848</v>
      </c>
      <c r="E83" s="212"/>
      <c r="F83" s="212" t="s">
        <v>1597</v>
      </c>
      <c r="G83" s="212" t="s">
        <v>1953</v>
      </c>
      <c r="H83" s="212"/>
      <c r="I83" s="212">
        <v>2</v>
      </c>
      <c r="J83" s="212">
        <v>5</v>
      </c>
      <c r="K83" s="357">
        <v>6</v>
      </c>
      <c r="L83" s="212">
        <v>1</v>
      </c>
      <c r="M83" s="212">
        <f t="shared" si="11"/>
        <v>14</v>
      </c>
      <c r="N83" s="212">
        <f t="shared" si="12"/>
        <v>16</v>
      </c>
      <c r="O83" s="212">
        <f t="shared" si="13"/>
        <v>20</v>
      </c>
      <c r="P83" s="212">
        <f t="shared" si="14"/>
        <v>40</v>
      </c>
      <c r="Q83" s="212">
        <f t="shared" si="15"/>
        <v>8</v>
      </c>
      <c r="R83" s="212">
        <f t="shared" si="16"/>
        <v>84</v>
      </c>
      <c r="S83" s="229" t="s">
        <v>966</v>
      </c>
      <c r="T83" s="214" t="s">
        <v>989</v>
      </c>
      <c r="U83" s="213">
        <v>6</v>
      </c>
      <c r="V83" s="213">
        <v>7</v>
      </c>
      <c r="W83" s="213">
        <v>7</v>
      </c>
      <c r="X83" s="215">
        <v>43889</v>
      </c>
      <c r="Y83" s="216">
        <v>43917</v>
      </c>
      <c r="Z83" s="205">
        <v>44014</v>
      </c>
      <c r="AA83" s="273">
        <f t="shared" si="17"/>
        <v>2020</v>
      </c>
      <c r="AB83" s="273">
        <f t="shared" si="18"/>
        <v>7</v>
      </c>
      <c r="AC83" s="217" t="s">
        <v>1250</v>
      </c>
      <c r="AD83" s="217" t="s">
        <v>422</v>
      </c>
      <c r="AE83" s="217" t="s">
        <v>422</v>
      </c>
      <c r="AF83" s="217" t="s">
        <v>422</v>
      </c>
      <c r="AG83" s="217" t="s">
        <v>422</v>
      </c>
      <c r="AH83" s="217" t="s">
        <v>422</v>
      </c>
      <c r="AI83" s="217" t="s">
        <v>422</v>
      </c>
      <c r="AJ83" s="217" t="s">
        <v>423</v>
      </c>
      <c r="AK83" s="217" t="s">
        <v>423</v>
      </c>
      <c r="AL83" s="218" t="s">
        <v>1009</v>
      </c>
      <c r="AM83" s="209"/>
      <c r="AN83" s="209"/>
    </row>
    <row r="84" spans="1:43" ht="15" customHeight="1" x14ac:dyDescent="0.3">
      <c r="A84" s="185">
        <v>104</v>
      </c>
      <c r="B84" s="212" t="s">
        <v>962</v>
      </c>
      <c r="C84" s="212" t="s">
        <v>1616</v>
      </c>
      <c r="D84" s="201" t="s">
        <v>1848</v>
      </c>
      <c r="E84" s="212"/>
      <c r="F84" s="212" t="s">
        <v>1597</v>
      </c>
      <c r="G84" s="212" t="s">
        <v>1941</v>
      </c>
      <c r="H84" s="212"/>
      <c r="I84" s="212">
        <v>2</v>
      </c>
      <c r="J84" s="212">
        <v>3</v>
      </c>
      <c r="K84" s="212">
        <v>4</v>
      </c>
      <c r="L84" s="212">
        <v>0.5</v>
      </c>
      <c r="M84" s="212">
        <f t="shared" si="11"/>
        <v>9.5</v>
      </c>
      <c r="N84" s="212">
        <f t="shared" si="12"/>
        <v>16</v>
      </c>
      <c r="O84" s="212">
        <f t="shared" si="13"/>
        <v>12</v>
      </c>
      <c r="P84" s="212">
        <f t="shared" si="14"/>
        <v>26.666666666666668</v>
      </c>
      <c r="Q84" s="212">
        <f t="shared" si="15"/>
        <v>4</v>
      </c>
      <c r="R84" s="212">
        <f t="shared" si="16"/>
        <v>58.666666666666671</v>
      </c>
      <c r="S84" s="229" t="s">
        <v>967</v>
      </c>
      <c r="T84" s="225" t="s">
        <v>990</v>
      </c>
      <c r="U84" s="213">
        <v>6</v>
      </c>
      <c r="V84" s="226">
        <v>7</v>
      </c>
      <c r="W84" s="226">
        <v>7</v>
      </c>
      <c r="X84" s="215">
        <v>43889</v>
      </c>
      <c r="Y84" s="216">
        <v>43917</v>
      </c>
      <c r="Z84" s="205">
        <v>44014</v>
      </c>
      <c r="AA84" s="273">
        <f t="shared" si="17"/>
        <v>2020</v>
      </c>
      <c r="AB84" s="273">
        <f t="shared" si="18"/>
        <v>7</v>
      </c>
      <c r="AC84" s="217" t="s">
        <v>1250</v>
      </c>
      <c r="AD84" s="217" t="s">
        <v>422</v>
      </c>
      <c r="AE84" s="217" t="s">
        <v>422</v>
      </c>
      <c r="AF84" s="217" t="s">
        <v>422</v>
      </c>
      <c r="AG84" s="217" t="s">
        <v>422</v>
      </c>
      <c r="AH84" s="217" t="s">
        <v>422</v>
      </c>
      <c r="AI84" s="217" t="s">
        <v>422</v>
      </c>
      <c r="AJ84" s="217" t="s">
        <v>423</v>
      </c>
      <c r="AK84" s="217" t="s">
        <v>423</v>
      </c>
      <c r="AL84" s="218" t="s">
        <v>1009</v>
      </c>
      <c r="AM84" s="209"/>
      <c r="AN84" s="209"/>
    </row>
    <row r="85" spans="1:43" ht="15" customHeight="1" x14ac:dyDescent="0.3">
      <c r="A85" s="185">
        <v>105</v>
      </c>
      <c r="B85" s="212" t="s">
        <v>977</v>
      </c>
      <c r="C85" s="212" t="s">
        <v>1616</v>
      </c>
      <c r="D85" s="201" t="s">
        <v>1848</v>
      </c>
      <c r="E85" s="212"/>
      <c r="F85" s="212" t="s">
        <v>1597</v>
      </c>
      <c r="G85" s="212" t="s">
        <v>1953</v>
      </c>
      <c r="H85" s="212"/>
      <c r="I85" s="212">
        <v>2</v>
      </c>
      <c r="J85" s="212">
        <v>3</v>
      </c>
      <c r="K85" s="357">
        <v>4</v>
      </c>
      <c r="L85" s="212">
        <v>0.5</v>
      </c>
      <c r="M85" s="212">
        <f t="shared" si="11"/>
        <v>9.5</v>
      </c>
      <c r="N85" s="212">
        <f t="shared" si="12"/>
        <v>16</v>
      </c>
      <c r="O85" s="212">
        <f t="shared" si="13"/>
        <v>12</v>
      </c>
      <c r="P85" s="212">
        <f t="shared" si="14"/>
        <v>26.666666666666668</v>
      </c>
      <c r="Q85" s="212">
        <f t="shared" si="15"/>
        <v>4</v>
      </c>
      <c r="R85" s="212">
        <f t="shared" si="16"/>
        <v>58.666666666666671</v>
      </c>
      <c r="S85" s="229" t="s">
        <v>968</v>
      </c>
      <c r="T85" s="225" t="s">
        <v>991</v>
      </c>
      <c r="U85" s="213">
        <v>7</v>
      </c>
      <c r="V85" s="226">
        <v>8</v>
      </c>
      <c r="W85" s="226">
        <v>8</v>
      </c>
      <c r="X85" s="215">
        <v>43889</v>
      </c>
      <c r="Y85" s="216">
        <v>43917</v>
      </c>
      <c r="Z85" s="205">
        <v>44014</v>
      </c>
      <c r="AA85" s="273">
        <f t="shared" si="17"/>
        <v>2020</v>
      </c>
      <c r="AB85" s="273">
        <f t="shared" si="18"/>
        <v>7</v>
      </c>
      <c r="AC85" s="217" t="s">
        <v>1250</v>
      </c>
      <c r="AD85" s="217" t="s">
        <v>422</v>
      </c>
      <c r="AE85" s="217" t="s">
        <v>422</v>
      </c>
      <c r="AF85" s="217" t="s">
        <v>422</v>
      </c>
      <c r="AG85" s="217" t="s">
        <v>422</v>
      </c>
      <c r="AH85" s="217" t="s">
        <v>422</v>
      </c>
      <c r="AI85" s="217" t="s">
        <v>422</v>
      </c>
      <c r="AJ85" s="217" t="s">
        <v>423</v>
      </c>
      <c r="AK85" s="217" t="s">
        <v>423</v>
      </c>
      <c r="AL85" s="218" t="s">
        <v>1009</v>
      </c>
      <c r="AM85" s="209"/>
      <c r="AN85" s="209"/>
    </row>
    <row r="86" spans="1:43" ht="15" customHeight="1" x14ac:dyDescent="0.3">
      <c r="A86" s="185">
        <v>106</v>
      </c>
      <c r="B86" s="212" t="s">
        <v>978</v>
      </c>
      <c r="C86" s="212" t="s">
        <v>1616</v>
      </c>
      <c r="D86" s="201" t="s">
        <v>1848</v>
      </c>
      <c r="E86" s="212"/>
      <c r="F86" s="212"/>
      <c r="G86" s="212" t="s">
        <v>1941</v>
      </c>
      <c r="H86" s="212" t="s">
        <v>1041</v>
      </c>
      <c r="I86" s="212">
        <v>2</v>
      </c>
      <c r="J86" s="212">
        <v>13</v>
      </c>
      <c r="K86" s="212">
        <v>9</v>
      </c>
      <c r="L86" s="212">
        <v>1</v>
      </c>
      <c r="M86" s="212">
        <f t="shared" si="11"/>
        <v>25</v>
      </c>
      <c r="N86" s="212">
        <f t="shared" si="12"/>
        <v>16</v>
      </c>
      <c r="O86" s="212">
        <f t="shared" si="13"/>
        <v>52</v>
      </c>
      <c r="P86" s="212">
        <f t="shared" si="14"/>
        <v>60</v>
      </c>
      <c r="Q86" s="212">
        <f t="shared" si="15"/>
        <v>8</v>
      </c>
      <c r="R86" s="212">
        <f t="shared" si="16"/>
        <v>136</v>
      </c>
      <c r="S86" s="229" t="s">
        <v>969</v>
      </c>
      <c r="T86" s="225" t="s">
        <v>992</v>
      </c>
      <c r="U86" s="213">
        <v>7</v>
      </c>
      <c r="V86" s="226">
        <v>9</v>
      </c>
      <c r="W86" s="226">
        <v>9</v>
      </c>
      <c r="X86" s="215">
        <v>43889</v>
      </c>
      <c r="Y86" s="216">
        <v>43917</v>
      </c>
      <c r="Z86" s="205">
        <v>44014</v>
      </c>
      <c r="AA86" s="273">
        <f t="shared" si="17"/>
        <v>2020</v>
      </c>
      <c r="AB86" s="273">
        <f t="shared" si="18"/>
        <v>7</v>
      </c>
      <c r="AC86" s="217" t="s">
        <v>1250</v>
      </c>
      <c r="AD86" s="217" t="s">
        <v>422</v>
      </c>
      <c r="AE86" s="217" t="s">
        <v>422</v>
      </c>
      <c r="AF86" s="217" t="s">
        <v>422</v>
      </c>
      <c r="AG86" s="217" t="s">
        <v>422</v>
      </c>
      <c r="AH86" s="217" t="s">
        <v>422</v>
      </c>
      <c r="AI86" s="217" t="s">
        <v>422</v>
      </c>
      <c r="AJ86" s="217" t="s">
        <v>423</v>
      </c>
      <c r="AK86" s="217" t="s">
        <v>423</v>
      </c>
      <c r="AL86" s="218" t="s">
        <v>698</v>
      </c>
      <c r="AM86" s="209"/>
      <c r="AN86" s="209"/>
    </row>
    <row r="87" spans="1:43" ht="15" customHeight="1" x14ac:dyDescent="0.3">
      <c r="A87" s="185">
        <v>107</v>
      </c>
      <c r="B87" s="212" t="s">
        <v>979</v>
      </c>
      <c r="C87" s="212" t="s">
        <v>1616</v>
      </c>
      <c r="D87" s="201" t="s">
        <v>1848</v>
      </c>
      <c r="E87" s="212"/>
      <c r="F87" s="212" t="s">
        <v>1597</v>
      </c>
      <c r="G87" s="212" t="s">
        <v>1953</v>
      </c>
      <c r="H87" s="212"/>
      <c r="I87" s="212">
        <v>2</v>
      </c>
      <c r="J87" s="212">
        <v>10</v>
      </c>
      <c r="K87" s="357">
        <v>9</v>
      </c>
      <c r="L87" s="212">
        <v>1</v>
      </c>
      <c r="M87" s="212">
        <f t="shared" si="11"/>
        <v>22</v>
      </c>
      <c r="N87" s="212">
        <f t="shared" si="12"/>
        <v>16</v>
      </c>
      <c r="O87" s="212">
        <f t="shared" si="13"/>
        <v>40</v>
      </c>
      <c r="P87" s="212">
        <f t="shared" si="14"/>
        <v>60</v>
      </c>
      <c r="Q87" s="212">
        <f t="shared" si="15"/>
        <v>8</v>
      </c>
      <c r="R87" s="212">
        <f t="shared" si="16"/>
        <v>124</v>
      </c>
      <c r="S87" s="229" t="s">
        <v>970</v>
      </c>
      <c r="T87" s="225" t="s">
        <v>986</v>
      </c>
      <c r="U87" s="213">
        <v>7</v>
      </c>
      <c r="V87" s="226">
        <v>8</v>
      </c>
      <c r="W87" s="226">
        <v>8</v>
      </c>
      <c r="X87" s="215">
        <v>43889</v>
      </c>
      <c r="Y87" s="216">
        <v>43917</v>
      </c>
      <c r="Z87" s="205">
        <v>44014</v>
      </c>
      <c r="AA87" s="273">
        <f t="shared" si="17"/>
        <v>2020</v>
      </c>
      <c r="AB87" s="273">
        <f t="shared" si="18"/>
        <v>7</v>
      </c>
      <c r="AC87" s="217" t="s">
        <v>1250</v>
      </c>
      <c r="AD87" s="217" t="s">
        <v>422</v>
      </c>
      <c r="AE87" s="217" t="s">
        <v>422</v>
      </c>
      <c r="AF87" s="217" t="s">
        <v>422</v>
      </c>
      <c r="AG87" s="217" t="s">
        <v>422</v>
      </c>
      <c r="AH87" s="217" t="s">
        <v>422</v>
      </c>
      <c r="AI87" s="217" t="s">
        <v>422</v>
      </c>
      <c r="AJ87" s="217" t="s">
        <v>423</v>
      </c>
      <c r="AK87" s="217" t="s">
        <v>423</v>
      </c>
      <c r="AL87" s="218" t="s">
        <v>1009</v>
      </c>
      <c r="AM87" s="209"/>
      <c r="AN87" s="209"/>
    </row>
    <row r="88" spans="1:43" ht="15" customHeight="1" x14ac:dyDescent="0.3">
      <c r="A88" s="185">
        <v>108</v>
      </c>
      <c r="B88" s="212" t="s">
        <v>980</v>
      </c>
      <c r="C88" s="212" t="s">
        <v>1616</v>
      </c>
      <c r="D88" s="201" t="s">
        <v>1848</v>
      </c>
      <c r="E88" s="212"/>
      <c r="F88" s="212" t="s">
        <v>1597</v>
      </c>
      <c r="G88" s="212" t="s">
        <v>1953</v>
      </c>
      <c r="H88" s="212"/>
      <c r="I88" s="212">
        <v>2</v>
      </c>
      <c r="J88" s="212">
        <v>10</v>
      </c>
      <c r="K88" s="357">
        <v>9</v>
      </c>
      <c r="L88" s="212">
        <v>1</v>
      </c>
      <c r="M88" s="212">
        <f t="shared" si="11"/>
        <v>22</v>
      </c>
      <c r="N88" s="212">
        <f t="shared" si="12"/>
        <v>16</v>
      </c>
      <c r="O88" s="212">
        <f t="shared" si="13"/>
        <v>40</v>
      </c>
      <c r="P88" s="212">
        <f t="shared" si="14"/>
        <v>60</v>
      </c>
      <c r="Q88" s="212">
        <f t="shared" si="15"/>
        <v>8</v>
      </c>
      <c r="R88" s="212">
        <f t="shared" si="16"/>
        <v>124</v>
      </c>
      <c r="S88" s="229" t="s">
        <v>971</v>
      </c>
      <c r="T88" s="225" t="s">
        <v>994</v>
      </c>
      <c r="U88" s="213">
        <v>6</v>
      </c>
      <c r="V88" s="226">
        <v>7</v>
      </c>
      <c r="W88" s="226">
        <v>7</v>
      </c>
      <c r="X88" s="215">
        <v>43889</v>
      </c>
      <c r="Y88" s="216">
        <v>43917</v>
      </c>
      <c r="Z88" s="205">
        <v>44014</v>
      </c>
      <c r="AA88" s="273">
        <f t="shared" si="17"/>
        <v>2020</v>
      </c>
      <c r="AB88" s="273">
        <f t="shared" si="18"/>
        <v>7</v>
      </c>
      <c r="AC88" s="217" t="s">
        <v>1250</v>
      </c>
      <c r="AD88" s="217" t="s">
        <v>422</v>
      </c>
      <c r="AE88" s="217" t="s">
        <v>422</v>
      </c>
      <c r="AF88" s="217" t="s">
        <v>422</v>
      </c>
      <c r="AG88" s="217" t="s">
        <v>422</v>
      </c>
      <c r="AH88" s="217" t="s">
        <v>422</v>
      </c>
      <c r="AI88" s="217" t="s">
        <v>422</v>
      </c>
      <c r="AJ88" s="217" t="s">
        <v>423</v>
      </c>
      <c r="AK88" s="217" t="s">
        <v>423</v>
      </c>
      <c r="AL88" s="218" t="s">
        <v>1009</v>
      </c>
      <c r="AM88" s="209"/>
      <c r="AN88" s="209"/>
    </row>
    <row r="89" spans="1:43" ht="15" customHeight="1" x14ac:dyDescent="0.3">
      <c r="A89" s="185">
        <v>109</v>
      </c>
      <c r="B89" s="212" t="s">
        <v>981</v>
      </c>
      <c r="C89" s="212" t="s">
        <v>1616</v>
      </c>
      <c r="D89" s="335" t="s">
        <v>1848</v>
      </c>
      <c r="E89" s="212"/>
      <c r="F89" s="212" t="s">
        <v>1597</v>
      </c>
      <c r="G89" s="212" t="s">
        <v>1953</v>
      </c>
      <c r="H89" s="212"/>
      <c r="I89" s="212">
        <v>2</v>
      </c>
      <c r="J89" s="212">
        <v>10</v>
      </c>
      <c r="K89" s="357">
        <v>9</v>
      </c>
      <c r="L89" s="212">
        <v>1</v>
      </c>
      <c r="M89" s="212">
        <f t="shared" si="11"/>
        <v>22</v>
      </c>
      <c r="N89" s="212">
        <f t="shared" si="12"/>
        <v>16</v>
      </c>
      <c r="O89" s="212">
        <f t="shared" si="13"/>
        <v>40</v>
      </c>
      <c r="P89" s="212">
        <f t="shared" si="14"/>
        <v>60</v>
      </c>
      <c r="Q89" s="212">
        <f t="shared" si="15"/>
        <v>8</v>
      </c>
      <c r="R89" s="212">
        <f t="shared" si="16"/>
        <v>124</v>
      </c>
      <c r="S89" s="229" t="s">
        <v>972</v>
      </c>
      <c r="T89" s="225" t="s">
        <v>987</v>
      </c>
      <c r="U89" s="213">
        <v>7</v>
      </c>
      <c r="V89" s="226">
        <v>7</v>
      </c>
      <c r="W89" s="226">
        <v>7</v>
      </c>
      <c r="X89" s="215">
        <v>43889</v>
      </c>
      <c r="Y89" s="216">
        <v>43917</v>
      </c>
      <c r="Z89" s="205">
        <v>44014</v>
      </c>
      <c r="AA89" s="273">
        <f t="shared" si="17"/>
        <v>2020</v>
      </c>
      <c r="AB89" s="273">
        <f t="shared" si="18"/>
        <v>7</v>
      </c>
      <c r="AC89" s="217" t="s">
        <v>1250</v>
      </c>
      <c r="AD89" s="217" t="s">
        <v>422</v>
      </c>
      <c r="AE89" s="217" t="s">
        <v>422</v>
      </c>
      <c r="AF89" s="217" t="s">
        <v>422</v>
      </c>
      <c r="AG89" s="217" t="s">
        <v>422</v>
      </c>
      <c r="AH89" s="217" t="s">
        <v>422</v>
      </c>
      <c r="AI89" s="217" t="s">
        <v>422</v>
      </c>
      <c r="AJ89" s="217" t="s">
        <v>423</v>
      </c>
      <c r="AK89" s="217" t="s">
        <v>423</v>
      </c>
      <c r="AL89" s="218" t="s">
        <v>1009</v>
      </c>
      <c r="AM89" s="209"/>
      <c r="AN89" s="209"/>
    </row>
    <row r="90" spans="1:43" ht="15" customHeight="1" x14ac:dyDescent="0.3">
      <c r="A90" s="185">
        <v>110</v>
      </c>
      <c r="B90" s="212" t="s">
        <v>982</v>
      </c>
      <c r="C90" s="212" t="s">
        <v>1616</v>
      </c>
      <c r="D90" s="335" t="s">
        <v>1848</v>
      </c>
      <c r="E90" s="212"/>
      <c r="F90" s="212" t="s">
        <v>1597</v>
      </c>
      <c r="G90" s="212" t="s">
        <v>1953</v>
      </c>
      <c r="H90" s="212"/>
      <c r="I90" s="212">
        <v>2</v>
      </c>
      <c r="J90" s="212">
        <v>5</v>
      </c>
      <c r="K90" s="357">
        <v>6</v>
      </c>
      <c r="L90" s="212">
        <v>1</v>
      </c>
      <c r="M90" s="212">
        <f t="shared" si="11"/>
        <v>14</v>
      </c>
      <c r="N90" s="212">
        <f t="shared" si="12"/>
        <v>16</v>
      </c>
      <c r="O90" s="212">
        <f t="shared" si="13"/>
        <v>20</v>
      </c>
      <c r="P90" s="212">
        <f t="shared" si="14"/>
        <v>40</v>
      </c>
      <c r="Q90" s="212">
        <f t="shared" si="15"/>
        <v>8</v>
      </c>
      <c r="R90" s="212">
        <f t="shared" si="16"/>
        <v>84</v>
      </c>
      <c r="S90" s="229" t="s">
        <v>973</v>
      </c>
      <c r="T90" s="225" t="s">
        <v>849</v>
      </c>
      <c r="U90" s="213">
        <v>6</v>
      </c>
      <c r="V90" s="226">
        <v>7</v>
      </c>
      <c r="W90" s="226">
        <v>7</v>
      </c>
      <c r="X90" s="215">
        <v>43889</v>
      </c>
      <c r="Y90" s="216">
        <v>43917</v>
      </c>
      <c r="Z90" s="205">
        <v>44014</v>
      </c>
      <c r="AA90" s="273">
        <f t="shared" si="17"/>
        <v>2020</v>
      </c>
      <c r="AB90" s="273">
        <f t="shared" si="18"/>
        <v>7</v>
      </c>
      <c r="AC90" s="217" t="s">
        <v>1250</v>
      </c>
      <c r="AD90" s="217" t="s">
        <v>422</v>
      </c>
      <c r="AE90" s="217" t="s">
        <v>422</v>
      </c>
      <c r="AF90" s="217" t="s">
        <v>422</v>
      </c>
      <c r="AG90" s="217" t="s">
        <v>422</v>
      </c>
      <c r="AH90" s="217" t="s">
        <v>422</v>
      </c>
      <c r="AI90" s="217" t="s">
        <v>422</v>
      </c>
      <c r="AJ90" s="217" t="s">
        <v>423</v>
      </c>
      <c r="AK90" s="217" t="s">
        <v>423</v>
      </c>
      <c r="AL90" s="218" t="s">
        <v>1009</v>
      </c>
      <c r="AM90" s="209"/>
      <c r="AN90" s="209"/>
    </row>
    <row r="91" spans="1:43" ht="15" customHeight="1" x14ac:dyDescent="0.3">
      <c r="A91" s="185">
        <v>111</v>
      </c>
      <c r="B91" s="212" t="s">
        <v>983</v>
      </c>
      <c r="C91" s="212" t="s">
        <v>1616</v>
      </c>
      <c r="D91" s="335" t="s">
        <v>1848</v>
      </c>
      <c r="E91" s="212"/>
      <c r="F91" s="212" t="s">
        <v>1597</v>
      </c>
      <c r="G91" s="212" t="s">
        <v>1953</v>
      </c>
      <c r="H91" s="212"/>
      <c r="I91" s="212">
        <v>2</v>
      </c>
      <c r="J91" s="212">
        <v>3</v>
      </c>
      <c r="K91" s="357">
        <v>4</v>
      </c>
      <c r="L91" s="212">
        <v>0.5</v>
      </c>
      <c r="M91" s="212">
        <f t="shared" si="11"/>
        <v>9.5</v>
      </c>
      <c r="N91" s="212">
        <f t="shared" si="12"/>
        <v>16</v>
      </c>
      <c r="O91" s="212">
        <f t="shared" si="13"/>
        <v>12</v>
      </c>
      <c r="P91" s="212">
        <f t="shared" si="14"/>
        <v>26.666666666666668</v>
      </c>
      <c r="Q91" s="212">
        <f t="shared" si="15"/>
        <v>4</v>
      </c>
      <c r="R91" s="212">
        <f t="shared" si="16"/>
        <v>58.666666666666671</v>
      </c>
      <c r="S91" s="229" t="s">
        <v>974</v>
      </c>
      <c r="T91" s="225" t="s">
        <v>844</v>
      </c>
      <c r="U91" s="213">
        <v>6</v>
      </c>
      <c r="V91" s="226">
        <v>7</v>
      </c>
      <c r="W91" s="226">
        <v>7</v>
      </c>
      <c r="X91" s="215">
        <v>43889</v>
      </c>
      <c r="Y91" s="216">
        <v>43917</v>
      </c>
      <c r="Z91" s="205">
        <v>44014</v>
      </c>
      <c r="AA91" s="273">
        <f t="shared" si="17"/>
        <v>2020</v>
      </c>
      <c r="AB91" s="273">
        <f t="shared" si="18"/>
        <v>7</v>
      </c>
      <c r="AC91" s="217" t="s">
        <v>1250</v>
      </c>
      <c r="AD91" s="217" t="s">
        <v>422</v>
      </c>
      <c r="AE91" s="217" t="s">
        <v>422</v>
      </c>
      <c r="AF91" s="217" t="s">
        <v>422</v>
      </c>
      <c r="AG91" s="217" t="s">
        <v>422</v>
      </c>
      <c r="AH91" s="217" t="s">
        <v>422</v>
      </c>
      <c r="AI91" s="217" t="s">
        <v>422</v>
      </c>
      <c r="AJ91" s="217" t="s">
        <v>423</v>
      </c>
      <c r="AK91" s="217" t="s">
        <v>423</v>
      </c>
      <c r="AL91" s="218" t="s">
        <v>1009</v>
      </c>
      <c r="AM91" s="209"/>
      <c r="AN91" s="209"/>
    </row>
    <row r="92" spans="1:43" ht="15" customHeight="1" x14ac:dyDescent="0.3">
      <c r="A92" s="185">
        <v>112</v>
      </c>
      <c r="B92" s="212" t="s">
        <v>984</v>
      </c>
      <c r="C92" s="212" t="s">
        <v>1616</v>
      </c>
      <c r="D92" s="335" t="s">
        <v>1848</v>
      </c>
      <c r="E92" s="212"/>
      <c r="F92" s="212" t="s">
        <v>1597</v>
      </c>
      <c r="G92" s="212" t="s">
        <v>1953</v>
      </c>
      <c r="H92" s="212"/>
      <c r="I92" s="212">
        <v>2</v>
      </c>
      <c r="J92" s="212">
        <v>3</v>
      </c>
      <c r="K92" s="357">
        <v>4</v>
      </c>
      <c r="L92" s="212">
        <v>0.5</v>
      </c>
      <c r="M92" s="212">
        <f t="shared" si="11"/>
        <v>9.5</v>
      </c>
      <c r="N92" s="212">
        <f t="shared" si="12"/>
        <v>16</v>
      </c>
      <c r="O92" s="212">
        <f t="shared" si="13"/>
        <v>12</v>
      </c>
      <c r="P92" s="212">
        <f t="shared" si="14"/>
        <v>26.666666666666668</v>
      </c>
      <c r="Q92" s="212">
        <f t="shared" si="15"/>
        <v>4</v>
      </c>
      <c r="R92" s="212">
        <f t="shared" si="16"/>
        <v>58.666666666666671</v>
      </c>
      <c r="S92" s="229" t="s">
        <v>975</v>
      </c>
      <c r="T92" s="225" t="s">
        <v>846</v>
      </c>
      <c r="U92" s="213">
        <v>7</v>
      </c>
      <c r="V92" s="226">
        <v>8</v>
      </c>
      <c r="W92" s="226">
        <v>8</v>
      </c>
      <c r="X92" s="215">
        <v>43889</v>
      </c>
      <c r="Y92" s="216">
        <v>43917</v>
      </c>
      <c r="Z92" s="205">
        <v>44014</v>
      </c>
      <c r="AA92" s="273">
        <f t="shared" si="17"/>
        <v>2020</v>
      </c>
      <c r="AB92" s="273">
        <f t="shared" si="18"/>
        <v>7</v>
      </c>
      <c r="AC92" s="217" t="s">
        <v>1250</v>
      </c>
      <c r="AD92" s="217" t="s">
        <v>422</v>
      </c>
      <c r="AE92" s="217" t="s">
        <v>422</v>
      </c>
      <c r="AF92" s="217" t="s">
        <v>422</v>
      </c>
      <c r="AG92" s="217" t="s">
        <v>422</v>
      </c>
      <c r="AH92" s="217" t="s">
        <v>422</v>
      </c>
      <c r="AI92" s="217" t="s">
        <v>422</v>
      </c>
      <c r="AJ92" s="217" t="s">
        <v>423</v>
      </c>
      <c r="AK92" s="217" t="s">
        <v>423</v>
      </c>
      <c r="AL92" s="218" t="s">
        <v>1009</v>
      </c>
      <c r="AM92" s="209"/>
      <c r="AN92" s="209"/>
    </row>
    <row r="93" spans="1:43" ht="15" customHeight="1" x14ac:dyDescent="0.3">
      <c r="A93" s="185">
        <v>113</v>
      </c>
      <c r="B93" s="212" t="s">
        <v>985</v>
      </c>
      <c r="C93" s="212" t="s">
        <v>1616</v>
      </c>
      <c r="D93" s="335" t="s">
        <v>1848</v>
      </c>
      <c r="E93" s="212"/>
      <c r="F93" s="212" t="s">
        <v>1597</v>
      </c>
      <c r="G93" s="212" t="s">
        <v>1941</v>
      </c>
      <c r="H93" s="212"/>
      <c r="I93" s="212">
        <v>2</v>
      </c>
      <c r="J93" s="212">
        <v>5</v>
      </c>
      <c r="K93" s="212">
        <v>5</v>
      </c>
      <c r="L93" s="212">
        <v>0.8</v>
      </c>
      <c r="M93" s="212">
        <f t="shared" si="11"/>
        <v>12.8</v>
      </c>
      <c r="N93" s="212">
        <f t="shared" si="12"/>
        <v>16</v>
      </c>
      <c r="O93" s="212">
        <f t="shared" si="13"/>
        <v>20</v>
      </c>
      <c r="P93" s="212">
        <f t="shared" si="14"/>
        <v>33.333333333333336</v>
      </c>
      <c r="Q93" s="212">
        <f t="shared" si="15"/>
        <v>6.4</v>
      </c>
      <c r="R93" s="212">
        <f t="shared" si="16"/>
        <v>75.733333333333348</v>
      </c>
      <c r="S93" s="229" t="s">
        <v>976</v>
      </c>
      <c r="T93" s="214" t="s">
        <v>995</v>
      </c>
      <c r="U93" s="213">
        <v>6</v>
      </c>
      <c r="V93" s="213">
        <v>7</v>
      </c>
      <c r="W93" s="213">
        <v>7</v>
      </c>
      <c r="X93" s="215">
        <v>43889</v>
      </c>
      <c r="Y93" s="216">
        <v>43917</v>
      </c>
      <c r="Z93" s="205">
        <v>44014</v>
      </c>
      <c r="AA93" s="273">
        <f t="shared" si="17"/>
        <v>2020</v>
      </c>
      <c r="AB93" s="273">
        <f t="shared" si="18"/>
        <v>7</v>
      </c>
      <c r="AC93" s="217" t="s">
        <v>1250</v>
      </c>
      <c r="AD93" s="217" t="s">
        <v>422</v>
      </c>
      <c r="AE93" s="217" t="s">
        <v>422</v>
      </c>
      <c r="AF93" s="217" t="s">
        <v>422</v>
      </c>
      <c r="AG93" s="217" t="s">
        <v>422</v>
      </c>
      <c r="AH93" s="217" t="s">
        <v>422</v>
      </c>
      <c r="AI93" s="217" t="s">
        <v>422</v>
      </c>
      <c r="AJ93" s="217" t="s">
        <v>423</v>
      </c>
      <c r="AK93" s="217" t="s">
        <v>423</v>
      </c>
      <c r="AL93" s="218" t="s">
        <v>1009</v>
      </c>
      <c r="AM93" s="209"/>
      <c r="AN93" s="209"/>
    </row>
    <row r="94" spans="1:43" ht="15" customHeight="1" x14ac:dyDescent="0.3">
      <c r="A94" s="185">
        <v>115</v>
      </c>
      <c r="B94" s="212" t="s">
        <v>1022</v>
      </c>
      <c r="C94" s="212" t="s">
        <v>1621</v>
      </c>
      <c r="D94" s="201" t="s">
        <v>1881</v>
      </c>
      <c r="E94" s="212"/>
      <c r="F94" s="212"/>
      <c r="G94" s="368" t="s">
        <v>1604</v>
      </c>
      <c r="H94" s="212" t="s">
        <v>1944</v>
      </c>
      <c r="I94" s="212">
        <v>2</v>
      </c>
      <c r="J94" s="349">
        <f>4.5+2</f>
        <v>6.5</v>
      </c>
      <c r="K94" s="212">
        <v>0</v>
      </c>
      <c r="L94" s="212">
        <v>1</v>
      </c>
      <c r="M94" s="212">
        <f t="shared" si="11"/>
        <v>9.5</v>
      </c>
      <c r="N94" s="212">
        <f t="shared" si="12"/>
        <v>16</v>
      </c>
      <c r="O94" s="212">
        <f t="shared" si="13"/>
        <v>26</v>
      </c>
      <c r="P94" s="212">
        <f t="shared" si="14"/>
        <v>0</v>
      </c>
      <c r="Q94" s="212">
        <f t="shared" si="15"/>
        <v>8</v>
      </c>
      <c r="R94" s="212">
        <f t="shared" si="16"/>
        <v>50</v>
      </c>
      <c r="S94" s="229" t="s">
        <v>1035</v>
      </c>
      <c r="T94" s="214" t="s">
        <v>1036</v>
      </c>
      <c r="U94" s="213">
        <v>128</v>
      </c>
      <c r="V94" s="213">
        <v>128</v>
      </c>
      <c r="W94" s="213">
        <v>128</v>
      </c>
      <c r="X94" s="215">
        <v>43983</v>
      </c>
      <c r="Y94" s="216">
        <v>44027</v>
      </c>
      <c r="Z94" s="205">
        <v>44042</v>
      </c>
      <c r="AA94" s="273">
        <f t="shared" si="17"/>
        <v>2020</v>
      </c>
      <c r="AB94" s="273">
        <f t="shared" si="18"/>
        <v>7</v>
      </c>
      <c r="AC94" s="217" t="s">
        <v>920</v>
      </c>
      <c r="AD94" s="217" t="s">
        <v>422</v>
      </c>
      <c r="AE94" s="217" t="s">
        <v>422</v>
      </c>
      <c r="AF94" s="217" t="s">
        <v>422</v>
      </c>
      <c r="AG94" s="217" t="s">
        <v>422</v>
      </c>
      <c r="AH94" s="217" t="s">
        <v>422</v>
      </c>
      <c r="AI94" s="217" t="s">
        <v>423</v>
      </c>
      <c r="AJ94" s="217" t="s">
        <v>423</v>
      </c>
      <c r="AK94" s="217" t="s">
        <v>423</v>
      </c>
      <c r="AL94" s="218" t="s">
        <v>138</v>
      </c>
      <c r="AM94" s="218"/>
      <c r="AN94" s="218"/>
    </row>
    <row r="95" spans="1:43" ht="15" customHeight="1" x14ac:dyDescent="0.3">
      <c r="A95" s="185">
        <v>116</v>
      </c>
      <c r="B95" s="212" t="s">
        <v>1023</v>
      </c>
      <c r="C95" s="212" t="s">
        <v>1621</v>
      </c>
      <c r="D95" s="201" t="s">
        <v>1881</v>
      </c>
      <c r="E95" s="212"/>
      <c r="F95" s="212" t="s">
        <v>1597</v>
      </c>
      <c r="G95" s="368" t="s">
        <v>1604</v>
      </c>
      <c r="H95" s="212"/>
      <c r="I95" s="212">
        <v>2</v>
      </c>
      <c r="J95" s="349">
        <f t="shared" ref="J95:J97" si="19">4.5+2</f>
        <v>6.5</v>
      </c>
      <c r="K95" s="212">
        <v>0</v>
      </c>
      <c r="L95" s="212">
        <v>1</v>
      </c>
      <c r="M95" s="212">
        <f t="shared" si="11"/>
        <v>9.5</v>
      </c>
      <c r="N95" s="212">
        <f t="shared" si="12"/>
        <v>16</v>
      </c>
      <c r="O95" s="212">
        <f t="shared" si="13"/>
        <v>26</v>
      </c>
      <c r="P95" s="212">
        <f t="shared" si="14"/>
        <v>0</v>
      </c>
      <c r="Q95" s="212">
        <f t="shared" si="15"/>
        <v>8</v>
      </c>
      <c r="R95" s="212">
        <f t="shared" si="16"/>
        <v>50</v>
      </c>
      <c r="S95" s="229" t="s">
        <v>1035</v>
      </c>
      <c r="T95" s="214" t="s">
        <v>1037</v>
      </c>
      <c r="U95" s="213">
        <v>128</v>
      </c>
      <c r="V95" s="213">
        <v>132</v>
      </c>
      <c r="W95" s="213">
        <v>132</v>
      </c>
      <c r="X95" s="215">
        <v>43983</v>
      </c>
      <c r="Y95" s="216">
        <v>44027</v>
      </c>
      <c r="Z95" s="205">
        <v>44042</v>
      </c>
      <c r="AA95" s="273">
        <f t="shared" si="17"/>
        <v>2020</v>
      </c>
      <c r="AB95" s="273">
        <f t="shared" si="18"/>
        <v>7</v>
      </c>
      <c r="AC95" s="217" t="s">
        <v>920</v>
      </c>
      <c r="AD95" s="217" t="s">
        <v>422</v>
      </c>
      <c r="AE95" s="217" t="s">
        <v>422</v>
      </c>
      <c r="AF95" s="217" t="s">
        <v>422</v>
      </c>
      <c r="AG95" s="217" t="s">
        <v>422</v>
      </c>
      <c r="AH95" s="217" t="s">
        <v>422</v>
      </c>
      <c r="AI95" s="217" t="s">
        <v>423</v>
      </c>
      <c r="AJ95" s="217" t="s">
        <v>423</v>
      </c>
      <c r="AK95" s="217" t="s">
        <v>423</v>
      </c>
      <c r="AL95" s="218" t="s">
        <v>108</v>
      </c>
      <c r="AM95" s="218"/>
      <c r="AN95" s="218"/>
      <c r="AO95" s="188"/>
      <c r="AP95" s="188"/>
      <c r="AQ95" s="188"/>
    </row>
    <row r="96" spans="1:43" ht="15" customHeight="1" x14ac:dyDescent="0.3">
      <c r="A96" s="185">
        <v>117</v>
      </c>
      <c r="B96" s="212" t="s">
        <v>1024</v>
      </c>
      <c r="C96" s="212" t="s">
        <v>1621</v>
      </c>
      <c r="D96" s="201" t="s">
        <v>1881</v>
      </c>
      <c r="E96" s="212"/>
      <c r="F96" s="212" t="s">
        <v>1597</v>
      </c>
      <c r="G96" s="368" t="s">
        <v>1604</v>
      </c>
      <c r="H96" s="212"/>
      <c r="I96" s="212">
        <v>2</v>
      </c>
      <c r="J96" s="349">
        <f t="shared" si="19"/>
        <v>6.5</v>
      </c>
      <c r="K96" s="212">
        <v>0</v>
      </c>
      <c r="L96" s="212">
        <v>1.5</v>
      </c>
      <c r="M96" s="212">
        <f t="shared" si="11"/>
        <v>10</v>
      </c>
      <c r="N96" s="212">
        <f t="shared" si="12"/>
        <v>16</v>
      </c>
      <c r="O96" s="212">
        <f t="shared" si="13"/>
        <v>26</v>
      </c>
      <c r="P96" s="212">
        <f t="shared" si="14"/>
        <v>0</v>
      </c>
      <c r="Q96" s="212">
        <f t="shared" si="15"/>
        <v>12</v>
      </c>
      <c r="R96" s="212">
        <f t="shared" si="16"/>
        <v>54</v>
      </c>
      <c r="S96" s="229" t="s">
        <v>1035</v>
      </c>
      <c r="T96" s="214" t="s">
        <v>1038</v>
      </c>
      <c r="U96" s="213">
        <v>9</v>
      </c>
      <c r="V96" s="213">
        <v>9</v>
      </c>
      <c r="W96" s="213">
        <v>9</v>
      </c>
      <c r="X96" s="215">
        <v>43983</v>
      </c>
      <c r="Y96" s="216">
        <v>44027</v>
      </c>
      <c r="Z96" s="205">
        <v>44042</v>
      </c>
      <c r="AA96" s="273">
        <f t="shared" si="17"/>
        <v>2020</v>
      </c>
      <c r="AB96" s="273">
        <f t="shared" si="18"/>
        <v>7</v>
      </c>
      <c r="AC96" s="217" t="s">
        <v>920</v>
      </c>
      <c r="AD96" s="217" t="s">
        <v>422</v>
      </c>
      <c r="AE96" s="217" t="s">
        <v>422</v>
      </c>
      <c r="AF96" s="217" t="s">
        <v>422</v>
      </c>
      <c r="AG96" s="217" t="s">
        <v>422</v>
      </c>
      <c r="AH96" s="217" t="s">
        <v>422</v>
      </c>
      <c r="AI96" s="217" t="s">
        <v>423</v>
      </c>
      <c r="AJ96" s="217" t="s">
        <v>423</v>
      </c>
      <c r="AK96" s="217" t="s">
        <v>423</v>
      </c>
      <c r="AL96" s="218" t="s">
        <v>108</v>
      </c>
      <c r="AM96" s="218"/>
      <c r="AN96" s="218"/>
      <c r="AO96" s="188"/>
      <c r="AP96" s="188"/>
      <c r="AQ96" s="188"/>
    </row>
    <row r="97" spans="1:43" ht="15" customHeight="1" x14ac:dyDescent="0.3">
      <c r="A97" s="185">
        <v>118</v>
      </c>
      <c r="B97" s="212" t="s">
        <v>1025</v>
      </c>
      <c r="C97" s="212" t="s">
        <v>1621</v>
      </c>
      <c r="D97" s="201" t="s">
        <v>1881</v>
      </c>
      <c r="E97" s="212"/>
      <c r="F97" s="212" t="s">
        <v>1597</v>
      </c>
      <c r="G97" s="368" t="s">
        <v>1604</v>
      </c>
      <c r="H97" s="212"/>
      <c r="I97" s="212">
        <v>2</v>
      </c>
      <c r="J97" s="349">
        <f t="shared" si="19"/>
        <v>6.5</v>
      </c>
      <c r="K97" s="212">
        <v>0</v>
      </c>
      <c r="L97" s="212">
        <v>1.5</v>
      </c>
      <c r="M97" s="212">
        <f t="shared" si="11"/>
        <v>10</v>
      </c>
      <c r="N97" s="212">
        <f t="shared" si="12"/>
        <v>16</v>
      </c>
      <c r="O97" s="212">
        <f t="shared" si="13"/>
        <v>26</v>
      </c>
      <c r="P97" s="212">
        <f t="shared" si="14"/>
        <v>0</v>
      </c>
      <c r="Q97" s="212">
        <f t="shared" si="15"/>
        <v>12</v>
      </c>
      <c r="R97" s="212">
        <f t="shared" si="16"/>
        <v>54</v>
      </c>
      <c r="S97" s="229" t="s">
        <v>1035</v>
      </c>
      <c r="T97" s="214" t="s">
        <v>1039</v>
      </c>
      <c r="U97" s="213">
        <v>6</v>
      </c>
      <c r="V97" s="213">
        <v>6</v>
      </c>
      <c r="W97" s="213">
        <v>6</v>
      </c>
      <c r="X97" s="215">
        <v>43983</v>
      </c>
      <c r="Y97" s="216">
        <v>44027</v>
      </c>
      <c r="Z97" s="205">
        <v>44042</v>
      </c>
      <c r="AA97" s="273">
        <f t="shared" si="17"/>
        <v>2020</v>
      </c>
      <c r="AB97" s="273">
        <f t="shared" si="18"/>
        <v>7</v>
      </c>
      <c r="AC97" s="217" t="s">
        <v>920</v>
      </c>
      <c r="AD97" s="217" t="s">
        <v>422</v>
      </c>
      <c r="AE97" s="217" t="s">
        <v>422</v>
      </c>
      <c r="AF97" s="217" t="s">
        <v>422</v>
      </c>
      <c r="AG97" s="217" t="s">
        <v>422</v>
      </c>
      <c r="AH97" s="217" t="s">
        <v>422</v>
      </c>
      <c r="AI97" s="217" t="s">
        <v>423</v>
      </c>
      <c r="AJ97" s="217" t="s">
        <v>423</v>
      </c>
      <c r="AK97" s="217" t="s">
        <v>423</v>
      </c>
      <c r="AL97" s="218" t="s">
        <v>108</v>
      </c>
      <c r="AM97" s="218"/>
      <c r="AN97" s="218"/>
      <c r="AO97" s="188"/>
      <c r="AP97" s="188"/>
      <c r="AQ97" s="188"/>
    </row>
    <row r="98" spans="1:43" ht="15" customHeight="1" x14ac:dyDescent="0.3">
      <c r="A98" s="185">
        <v>124</v>
      </c>
      <c r="B98" s="247" t="s">
        <v>1262</v>
      </c>
      <c r="C98" s="247" t="s">
        <v>1618</v>
      </c>
      <c r="D98" s="201" t="s">
        <v>1881</v>
      </c>
      <c r="E98" s="247"/>
      <c r="F98" s="247"/>
      <c r="G98" s="368" t="s">
        <v>1604</v>
      </c>
      <c r="H98" s="248" t="s">
        <v>1008</v>
      </c>
      <c r="I98" s="248">
        <v>2</v>
      </c>
      <c r="J98" s="248">
        <v>7.5</v>
      </c>
      <c r="K98" s="248">
        <v>0</v>
      </c>
      <c r="L98" s="212">
        <v>1.5</v>
      </c>
      <c r="M98" s="212">
        <f t="shared" si="11"/>
        <v>11</v>
      </c>
      <c r="N98" s="212">
        <f t="shared" si="12"/>
        <v>16</v>
      </c>
      <c r="O98" s="212">
        <f t="shared" si="13"/>
        <v>30</v>
      </c>
      <c r="P98" s="212">
        <f t="shared" si="14"/>
        <v>0</v>
      </c>
      <c r="Q98" s="212">
        <f t="shared" si="15"/>
        <v>12</v>
      </c>
      <c r="R98" s="212">
        <f t="shared" si="16"/>
        <v>58</v>
      </c>
      <c r="S98" s="369" t="s">
        <v>1043</v>
      </c>
      <c r="T98" s="275" t="s">
        <v>1044</v>
      </c>
      <c r="U98" s="280">
        <v>132</v>
      </c>
      <c r="V98" s="280">
        <v>132</v>
      </c>
      <c r="W98" s="280">
        <v>132</v>
      </c>
      <c r="X98" s="276">
        <v>44029</v>
      </c>
      <c r="Y98" s="277">
        <v>44039</v>
      </c>
      <c r="Z98" s="26">
        <v>44043</v>
      </c>
      <c r="AA98" s="273">
        <f t="shared" si="17"/>
        <v>2020</v>
      </c>
      <c r="AB98" s="273">
        <f t="shared" si="18"/>
        <v>7</v>
      </c>
      <c r="AC98" s="278" t="s">
        <v>920</v>
      </c>
      <c r="AD98" s="278" t="s">
        <v>422</v>
      </c>
      <c r="AE98" s="278" t="s">
        <v>422</v>
      </c>
      <c r="AF98" s="278" t="s">
        <v>422</v>
      </c>
      <c r="AG98" s="278" t="s">
        <v>422</v>
      </c>
      <c r="AH98" s="278" t="s">
        <v>422</v>
      </c>
      <c r="AI98" s="278" t="s">
        <v>423</v>
      </c>
      <c r="AJ98" s="278" t="s">
        <v>423</v>
      </c>
      <c r="AK98" s="278" t="s">
        <v>423</v>
      </c>
      <c r="AL98" s="279" t="s">
        <v>888</v>
      </c>
      <c r="AM98" s="244"/>
      <c r="AN98" s="244"/>
    </row>
    <row r="99" spans="1:43" ht="15" customHeight="1" x14ac:dyDescent="0.3">
      <c r="A99" s="185">
        <v>51</v>
      </c>
      <c r="B99" s="212" t="s">
        <v>821</v>
      </c>
      <c r="C99" s="247" t="s">
        <v>1616</v>
      </c>
      <c r="D99" s="201" t="s">
        <v>1848</v>
      </c>
      <c r="E99" s="212"/>
      <c r="F99" s="212"/>
      <c r="G99" s="212" t="s">
        <v>1954</v>
      </c>
      <c r="H99" s="212" t="s">
        <v>1040</v>
      </c>
      <c r="I99" s="357">
        <v>1</v>
      </c>
      <c r="J99" s="212">
        <v>2.5</v>
      </c>
      <c r="K99" s="212">
        <f>3.5+3.8</f>
        <v>7.3</v>
      </c>
      <c r="L99" s="212">
        <v>0.5</v>
      </c>
      <c r="M99" s="212">
        <f t="shared" si="11"/>
        <v>11.3</v>
      </c>
      <c r="N99" s="212">
        <f t="shared" si="12"/>
        <v>8</v>
      </c>
      <c r="O99" s="212">
        <f t="shared" si="13"/>
        <v>10</v>
      </c>
      <c r="P99" s="212">
        <f t="shared" si="14"/>
        <v>48.666666666666664</v>
      </c>
      <c r="Q99" s="212">
        <f t="shared" si="15"/>
        <v>4</v>
      </c>
      <c r="R99" s="212">
        <f t="shared" si="16"/>
        <v>70.666666666666657</v>
      </c>
      <c r="S99" s="202" t="s">
        <v>845</v>
      </c>
      <c r="T99" s="211" t="s">
        <v>844</v>
      </c>
      <c r="U99" s="202">
        <v>24</v>
      </c>
      <c r="V99" s="202">
        <v>25</v>
      </c>
      <c r="W99" s="202">
        <v>25</v>
      </c>
      <c r="X99" s="367">
        <v>43866</v>
      </c>
      <c r="Y99" s="205">
        <v>43956</v>
      </c>
      <c r="Z99" s="205">
        <v>44072</v>
      </c>
      <c r="AA99" s="273">
        <f t="shared" si="17"/>
        <v>2020</v>
      </c>
      <c r="AB99" s="273">
        <f t="shared" si="18"/>
        <v>8</v>
      </c>
      <c r="AC99" s="211" t="s">
        <v>920</v>
      </c>
      <c r="AD99" s="217" t="s">
        <v>422</v>
      </c>
      <c r="AE99" s="217" t="s">
        <v>422</v>
      </c>
      <c r="AF99" s="217" t="s">
        <v>422</v>
      </c>
      <c r="AG99" s="217" t="s">
        <v>422</v>
      </c>
      <c r="AH99" s="217" t="s">
        <v>422</v>
      </c>
      <c r="AI99" s="217" t="s">
        <v>422</v>
      </c>
      <c r="AJ99" s="217" t="s">
        <v>423</v>
      </c>
      <c r="AK99" s="217" t="s">
        <v>423</v>
      </c>
      <c r="AL99" s="222" t="s">
        <v>254</v>
      </c>
      <c r="AM99" s="209"/>
      <c r="AN99" s="209"/>
    </row>
    <row r="100" spans="1:43" ht="15" customHeight="1" x14ac:dyDescent="0.3">
      <c r="A100" s="185">
        <v>52</v>
      </c>
      <c r="B100" s="212" t="s">
        <v>822</v>
      </c>
      <c r="C100" s="247" t="s">
        <v>1616</v>
      </c>
      <c r="D100" s="201" t="s">
        <v>1848</v>
      </c>
      <c r="E100" s="212"/>
      <c r="F100" s="212"/>
      <c r="G100" s="212" t="s">
        <v>1941</v>
      </c>
      <c r="H100" s="212" t="s">
        <v>1040</v>
      </c>
      <c r="I100" s="357">
        <v>1</v>
      </c>
      <c r="J100" s="212">
        <v>2.5</v>
      </c>
      <c r="K100" s="212">
        <f>2.5+2.8</f>
        <v>5.3</v>
      </c>
      <c r="L100" s="212">
        <v>0.5</v>
      </c>
      <c r="M100" s="212">
        <f t="shared" si="11"/>
        <v>9.3000000000000007</v>
      </c>
      <c r="N100" s="212">
        <f t="shared" si="12"/>
        <v>8</v>
      </c>
      <c r="O100" s="212">
        <f t="shared" si="13"/>
        <v>10</v>
      </c>
      <c r="P100" s="212">
        <f t="shared" si="14"/>
        <v>35.333333333333336</v>
      </c>
      <c r="Q100" s="212">
        <f t="shared" si="15"/>
        <v>4</v>
      </c>
      <c r="R100" s="212">
        <f t="shared" si="16"/>
        <v>57.333333333333336</v>
      </c>
      <c r="S100" s="202" t="s">
        <v>847</v>
      </c>
      <c r="T100" s="211" t="s">
        <v>846</v>
      </c>
      <c r="U100" s="202">
        <v>84</v>
      </c>
      <c r="V100" s="202">
        <v>86</v>
      </c>
      <c r="W100" s="202">
        <v>86</v>
      </c>
      <c r="X100" s="367">
        <v>43866</v>
      </c>
      <c r="Y100" s="205">
        <v>43956</v>
      </c>
      <c r="Z100" s="205">
        <v>44072</v>
      </c>
      <c r="AA100" s="273">
        <f t="shared" si="17"/>
        <v>2020</v>
      </c>
      <c r="AB100" s="273">
        <f t="shared" si="18"/>
        <v>8</v>
      </c>
      <c r="AC100" s="211" t="s">
        <v>920</v>
      </c>
      <c r="AD100" s="217" t="s">
        <v>422</v>
      </c>
      <c r="AE100" s="217" t="s">
        <v>422</v>
      </c>
      <c r="AF100" s="217" t="s">
        <v>422</v>
      </c>
      <c r="AG100" s="217" t="s">
        <v>422</v>
      </c>
      <c r="AH100" s="217" t="s">
        <v>422</v>
      </c>
      <c r="AI100" s="217" t="s">
        <v>422</v>
      </c>
      <c r="AJ100" s="217" t="s">
        <v>423</v>
      </c>
      <c r="AK100" s="217" t="s">
        <v>423</v>
      </c>
      <c r="AL100" s="222" t="s">
        <v>254</v>
      </c>
      <c r="AM100" s="209"/>
      <c r="AN100" s="209"/>
    </row>
    <row r="101" spans="1:43" ht="15" customHeight="1" x14ac:dyDescent="0.3">
      <c r="A101" s="185">
        <v>53</v>
      </c>
      <c r="B101" s="212" t="s">
        <v>823</v>
      </c>
      <c r="C101" s="247" t="s">
        <v>1616</v>
      </c>
      <c r="D101" s="201" t="s">
        <v>1848</v>
      </c>
      <c r="E101" s="212"/>
      <c r="F101" s="212"/>
      <c r="G101" s="212" t="s">
        <v>1941</v>
      </c>
      <c r="H101" s="212" t="s">
        <v>1040</v>
      </c>
      <c r="I101" s="357">
        <v>2</v>
      </c>
      <c r="J101" s="212">
        <v>4.7</v>
      </c>
      <c r="K101" s="212">
        <f>4.5+5.5</f>
        <v>10</v>
      </c>
      <c r="L101" s="212">
        <v>1</v>
      </c>
      <c r="M101" s="212">
        <f t="shared" si="11"/>
        <v>17.7</v>
      </c>
      <c r="N101" s="212">
        <f t="shared" si="12"/>
        <v>16</v>
      </c>
      <c r="O101" s="212">
        <f t="shared" si="13"/>
        <v>18.8</v>
      </c>
      <c r="P101" s="212">
        <f t="shared" si="14"/>
        <v>66.666666666666671</v>
      </c>
      <c r="Q101" s="212">
        <f t="shared" si="15"/>
        <v>8</v>
      </c>
      <c r="R101" s="212">
        <f t="shared" si="16"/>
        <v>109.46666666666667</v>
      </c>
      <c r="S101" s="202" t="s">
        <v>848</v>
      </c>
      <c r="T101" s="211" t="s">
        <v>849</v>
      </c>
      <c r="U101" s="202">
        <v>58</v>
      </c>
      <c r="V101" s="202">
        <v>59</v>
      </c>
      <c r="W101" s="202">
        <v>59</v>
      </c>
      <c r="X101" s="367">
        <v>43866</v>
      </c>
      <c r="Y101" s="205">
        <v>43956</v>
      </c>
      <c r="Z101" s="205">
        <v>44072</v>
      </c>
      <c r="AA101" s="273">
        <f t="shared" si="17"/>
        <v>2020</v>
      </c>
      <c r="AB101" s="273">
        <f t="shared" si="18"/>
        <v>8</v>
      </c>
      <c r="AC101" s="211" t="s">
        <v>920</v>
      </c>
      <c r="AD101" s="217" t="s">
        <v>422</v>
      </c>
      <c r="AE101" s="217" t="s">
        <v>422</v>
      </c>
      <c r="AF101" s="217" t="s">
        <v>422</v>
      </c>
      <c r="AG101" s="217" t="s">
        <v>422</v>
      </c>
      <c r="AH101" s="217" t="s">
        <v>422</v>
      </c>
      <c r="AI101" s="217" t="s">
        <v>422</v>
      </c>
      <c r="AJ101" s="217" t="s">
        <v>423</v>
      </c>
      <c r="AK101" s="217" t="s">
        <v>423</v>
      </c>
      <c r="AL101" s="222" t="s">
        <v>254</v>
      </c>
      <c r="AM101" s="209"/>
      <c r="AN101" s="209"/>
    </row>
    <row r="102" spans="1:43" ht="15" customHeight="1" x14ac:dyDescent="0.3">
      <c r="A102" s="185">
        <v>54</v>
      </c>
      <c r="B102" s="212" t="s">
        <v>824</v>
      </c>
      <c r="C102" s="247" t="s">
        <v>1616</v>
      </c>
      <c r="D102" s="201" t="s">
        <v>1848</v>
      </c>
      <c r="E102" s="212"/>
      <c r="F102" s="212" t="s">
        <v>1597</v>
      </c>
      <c r="G102" s="212" t="s">
        <v>1941</v>
      </c>
      <c r="H102" s="212"/>
      <c r="I102" s="212">
        <v>2</v>
      </c>
      <c r="J102" s="212">
        <v>9</v>
      </c>
      <c r="K102" s="212">
        <f>11+5.5</f>
        <v>16.5</v>
      </c>
      <c r="L102" s="212">
        <v>1</v>
      </c>
      <c r="M102" s="212">
        <f t="shared" si="11"/>
        <v>28.5</v>
      </c>
      <c r="N102" s="212">
        <f t="shared" si="12"/>
        <v>16</v>
      </c>
      <c r="O102" s="212">
        <f t="shared" si="13"/>
        <v>36</v>
      </c>
      <c r="P102" s="212">
        <f t="shared" si="14"/>
        <v>110</v>
      </c>
      <c r="Q102" s="212">
        <f t="shared" si="15"/>
        <v>8</v>
      </c>
      <c r="R102" s="212">
        <f t="shared" si="16"/>
        <v>170</v>
      </c>
      <c r="S102" s="202" t="s">
        <v>851</v>
      </c>
      <c r="T102" s="211" t="s">
        <v>850</v>
      </c>
      <c r="U102" s="202">
        <v>88</v>
      </c>
      <c r="V102" s="202">
        <v>93</v>
      </c>
      <c r="W102" s="202">
        <v>93</v>
      </c>
      <c r="X102" s="367">
        <v>43866</v>
      </c>
      <c r="Y102" s="205">
        <v>43956</v>
      </c>
      <c r="Z102" s="205">
        <v>44072</v>
      </c>
      <c r="AA102" s="273">
        <f t="shared" si="17"/>
        <v>2020</v>
      </c>
      <c r="AB102" s="273">
        <f t="shared" si="18"/>
        <v>8</v>
      </c>
      <c r="AC102" s="211" t="s">
        <v>920</v>
      </c>
      <c r="AD102" s="217" t="s">
        <v>422</v>
      </c>
      <c r="AE102" s="217" t="s">
        <v>422</v>
      </c>
      <c r="AF102" s="217" t="s">
        <v>422</v>
      </c>
      <c r="AG102" s="217" t="s">
        <v>422</v>
      </c>
      <c r="AH102" s="217" t="s">
        <v>422</v>
      </c>
      <c r="AI102" s="217" t="s">
        <v>422</v>
      </c>
      <c r="AJ102" s="217" t="s">
        <v>423</v>
      </c>
      <c r="AK102" s="217" t="s">
        <v>423</v>
      </c>
      <c r="AL102" s="222" t="s">
        <v>108</v>
      </c>
      <c r="AM102" s="209"/>
      <c r="AN102" s="209"/>
    </row>
    <row r="103" spans="1:43" ht="15" customHeight="1" x14ac:dyDescent="0.3">
      <c r="A103" s="185">
        <v>55</v>
      </c>
      <c r="B103" s="212" t="s">
        <v>825</v>
      </c>
      <c r="C103" s="247" t="s">
        <v>1616</v>
      </c>
      <c r="D103" s="201" t="s">
        <v>1848</v>
      </c>
      <c r="E103" s="212"/>
      <c r="F103" s="212"/>
      <c r="G103" s="212" t="s">
        <v>1941</v>
      </c>
      <c r="H103" s="212" t="s">
        <v>1040</v>
      </c>
      <c r="I103" s="357">
        <v>2</v>
      </c>
      <c r="J103" s="212">
        <v>9</v>
      </c>
      <c r="K103" s="212">
        <f>5.5+5.5</f>
        <v>11</v>
      </c>
      <c r="L103" s="212">
        <v>1</v>
      </c>
      <c r="M103" s="212">
        <f t="shared" si="11"/>
        <v>23</v>
      </c>
      <c r="N103" s="212">
        <f t="shared" si="12"/>
        <v>16</v>
      </c>
      <c r="O103" s="212">
        <f t="shared" si="13"/>
        <v>36</v>
      </c>
      <c r="P103" s="212">
        <f t="shared" si="14"/>
        <v>73.333333333333343</v>
      </c>
      <c r="Q103" s="212">
        <f t="shared" si="15"/>
        <v>8</v>
      </c>
      <c r="R103" s="212">
        <f t="shared" si="16"/>
        <v>133.33333333333334</v>
      </c>
      <c r="S103" s="202" t="s">
        <v>845</v>
      </c>
      <c r="T103" s="211" t="s">
        <v>852</v>
      </c>
      <c r="U103" s="202">
        <v>142</v>
      </c>
      <c r="V103" s="202">
        <v>147</v>
      </c>
      <c r="W103" s="202">
        <v>147</v>
      </c>
      <c r="X103" s="367">
        <v>43866</v>
      </c>
      <c r="Y103" s="205">
        <v>43956</v>
      </c>
      <c r="Z103" s="205">
        <v>44072</v>
      </c>
      <c r="AA103" s="273">
        <f t="shared" si="17"/>
        <v>2020</v>
      </c>
      <c r="AB103" s="273">
        <f t="shared" si="18"/>
        <v>8</v>
      </c>
      <c r="AC103" s="211" t="s">
        <v>920</v>
      </c>
      <c r="AD103" s="217" t="s">
        <v>422</v>
      </c>
      <c r="AE103" s="217" t="s">
        <v>422</v>
      </c>
      <c r="AF103" s="217" t="s">
        <v>422</v>
      </c>
      <c r="AG103" s="217" t="s">
        <v>422</v>
      </c>
      <c r="AH103" s="217" t="s">
        <v>422</v>
      </c>
      <c r="AI103" s="217" t="s">
        <v>422</v>
      </c>
      <c r="AJ103" s="217" t="s">
        <v>423</v>
      </c>
      <c r="AK103" s="217" t="s">
        <v>423</v>
      </c>
      <c r="AL103" s="222" t="s">
        <v>254</v>
      </c>
      <c r="AM103" s="209"/>
      <c r="AN103" s="209"/>
    </row>
    <row r="104" spans="1:43" ht="15" customHeight="1" x14ac:dyDescent="0.3">
      <c r="A104" s="185">
        <v>56</v>
      </c>
      <c r="B104" s="212" t="s">
        <v>826</v>
      </c>
      <c r="C104" s="247" t="s">
        <v>1616</v>
      </c>
      <c r="D104" s="201" t="s">
        <v>1848</v>
      </c>
      <c r="E104" s="212"/>
      <c r="F104" s="212" t="s">
        <v>1597</v>
      </c>
      <c r="G104" s="212" t="s">
        <v>1941</v>
      </c>
      <c r="H104" s="212"/>
      <c r="I104" s="212">
        <v>2</v>
      </c>
      <c r="J104" s="212">
        <v>10</v>
      </c>
      <c r="K104" s="212">
        <f>11+5.5</f>
        <v>16.5</v>
      </c>
      <c r="L104" s="212">
        <v>1</v>
      </c>
      <c r="M104" s="212">
        <f t="shared" si="11"/>
        <v>29.5</v>
      </c>
      <c r="N104" s="212">
        <f t="shared" si="12"/>
        <v>16</v>
      </c>
      <c r="O104" s="212">
        <f t="shared" si="13"/>
        <v>40</v>
      </c>
      <c r="P104" s="212">
        <f t="shared" si="14"/>
        <v>110</v>
      </c>
      <c r="Q104" s="212">
        <f t="shared" si="15"/>
        <v>8</v>
      </c>
      <c r="R104" s="212">
        <f t="shared" si="16"/>
        <v>174</v>
      </c>
      <c r="S104" s="202" t="s">
        <v>854</v>
      </c>
      <c r="T104" s="211" t="s">
        <v>853</v>
      </c>
      <c r="U104" s="202">
        <v>38</v>
      </c>
      <c r="V104" s="202">
        <f>42+3</f>
        <v>45</v>
      </c>
      <c r="W104" s="202">
        <f>42+3</f>
        <v>45</v>
      </c>
      <c r="X104" s="367">
        <v>43866</v>
      </c>
      <c r="Y104" s="205">
        <v>43956</v>
      </c>
      <c r="Z104" s="205">
        <v>44072</v>
      </c>
      <c r="AA104" s="273">
        <f t="shared" si="17"/>
        <v>2020</v>
      </c>
      <c r="AB104" s="273">
        <f t="shared" si="18"/>
        <v>8</v>
      </c>
      <c r="AC104" s="211" t="s">
        <v>920</v>
      </c>
      <c r="AD104" s="217" t="s">
        <v>422</v>
      </c>
      <c r="AE104" s="217" t="s">
        <v>422</v>
      </c>
      <c r="AF104" s="217" t="s">
        <v>422</v>
      </c>
      <c r="AG104" s="217" t="s">
        <v>422</v>
      </c>
      <c r="AH104" s="217" t="s">
        <v>422</v>
      </c>
      <c r="AI104" s="217" t="s">
        <v>422</v>
      </c>
      <c r="AJ104" s="217" t="s">
        <v>423</v>
      </c>
      <c r="AK104" s="217" t="s">
        <v>423</v>
      </c>
      <c r="AL104" s="222" t="s">
        <v>108</v>
      </c>
      <c r="AM104" s="209"/>
      <c r="AN104" s="209"/>
    </row>
    <row r="105" spans="1:43" ht="15" customHeight="1" x14ac:dyDescent="0.3">
      <c r="A105" s="185">
        <v>57</v>
      </c>
      <c r="B105" s="212" t="s">
        <v>827</v>
      </c>
      <c r="C105" s="247" t="s">
        <v>1616</v>
      </c>
      <c r="D105" s="201" t="s">
        <v>1848</v>
      </c>
      <c r="E105" s="212"/>
      <c r="F105" s="212"/>
      <c r="G105" s="212" t="s">
        <v>1941</v>
      </c>
      <c r="H105" s="212" t="s">
        <v>1041</v>
      </c>
      <c r="I105" s="357">
        <v>2</v>
      </c>
      <c r="J105" s="212">
        <v>8</v>
      </c>
      <c r="K105" s="212">
        <f>11+5.5</f>
        <v>16.5</v>
      </c>
      <c r="L105" s="212">
        <v>1</v>
      </c>
      <c r="M105" s="212">
        <f t="shared" si="11"/>
        <v>27.5</v>
      </c>
      <c r="N105" s="212">
        <f t="shared" si="12"/>
        <v>16</v>
      </c>
      <c r="O105" s="212">
        <f t="shared" si="13"/>
        <v>32</v>
      </c>
      <c r="P105" s="212">
        <f t="shared" si="14"/>
        <v>110</v>
      </c>
      <c r="Q105" s="212">
        <f t="shared" si="15"/>
        <v>8</v>
      </c>
      <c r="R105" s="212">
        <f t="shared" si="16"/>
        <v>166</v>
      </c>
      <c r="S105" s="202" t="s">
        <v>856</v>
      </c>
      <c r="T105" s="211" t="s">
        <v>855</v>
      </c>
      <c r="U105" s="202">
        <v>52</v>
      </c>
      <c r="V105" s="202">
        <v>55</v>
      </c>
      <c r="W105" s="202">
        <v>55</v>
      </c>
      <c r="X105" s="367">
        <v>43866</v>
      </c>
      <c r="Y105" s="205">
        <v>43956</v>
      </c>
      <c r="Z105" s="205">
        <v>44072</v>
      </c>
      <c r="AA105" s="273">
        <f t="shared" si="17"/>
        <v>2020</v>
      </c>
      <c r="AB105" s="273">
        <f t="shared" si="18"/>
        <v>8</v>
      </c>
      <c r="AC105" s="211" t="s">
        <v>920</v>
      </c>
      <c r="AD105" s="217" t="s">
        <v>422</v>
      </c>
      <c r="AE105" s="217" t="s">
        <v>422</v>
      </c>
      <c r="AF105" s="217" t="s">
        <v>422</v>
      </c>
      <c r="AG105" s="217" t="s">
        <v>422</v>
      </c>
      <c r="AH105" s="217" t="s">
        <v>422</v>
      </c>
      <c r="AI105" s="217" t="s">
        <v>422</v>
      </c>
      <c r="AJ105" s="217" t="s">
        <v>423</v>
      </c>
      <c r="AK105" s="217" t="s">
        <v>423</v>
      </c>
      <c r="AL105" s="222" t="s">
        <v>698</v>
      </c>
      <c r="AM105" s="209"/>
      <c r="AN105" s="209"/>
    </row>
    <row r="106" spans="1:43" ht="15" customHeight="1" x14ac:dyDescent="0.3">
      <c r="A106" s="185">
        <v>58</v>
      </c>
      <c r="B106" s="212" t="s">
        <v>828</v>
      </c>
      <c r="C106" s="247" t="s">
        <v>1616</v>
      </c>
      <c r="D106" s="201" t="s">
        <v>1848</v>
      </c>
      <c r="E106" s="212"/>
      <c r="F106" s="212"/>
      <c r="G106" s="212" t="s">
        <v>1941</v>
      </c>
      <c r="H106" s="212" t="s">
        <v>1040</v>
      </c>
      <c r="I106" s="357">
        <v>1</v>
      </c>
      <c r="J106" s="212">
        <v>2.5</v>
      </c>
      <c r="K106" s="212">
        <f>3.5+3.8</f>
        <v>7.3</v>
      </c>
      <c r="L106" s="212">
        <v>0.5</v>
      </c>
      <c r="M106" s="212">
        <f t="shared" si="11"/>
        <v>11.3</v>
      </c>
      <c r="N106" s="212">
        <f t="shared" si="12"/>
        <v>8</v>
      </c>
      <c r="O106" s="212">
        <f t="shared" si="13"/>
        <v>10</v>
      </c>
      <c r="P106" s="212">
        <f t="shared" si="14"/>
        <v>48.666666666666664</v>
      </c>
      <c r="Q106" s="212">
        <f t="shared" si="15"/>
        <v>4</v>
      </c>
      <c r="R106" s="212">
        <f t="shared" si="16"/>
        <v>70.666666666666657</v>
      </c>
      <c r="S106" s="202" t="s">
        <v>860</v>
      </c>
      <c r="T106" s="211" t="s">
        <v>857</v>
      </c>
      <c r="U106" s="202">
        <v>24</v>
      </c>
      <c r="V106" s="202">
        <v>25</v>
      </c>
      <c r="W106" s="202">
        <v>25</v>
      </c>
      <c r="X106" s="367">
        <v>43866</v>
      </c>
      <c r="Y106" s="205">
        <v>43956</v>
      </c>
      <c r="Z106" s="205">
        <v>44072</v>
      </c>
      <c r="AA106" s="273">
        <f t="shared" si="17"/>
        <v>2020</v>
      </c>
      <c r="AB106" s="273">
        <f t="shared" si="18"/>
        <v>8</v>
      </c>
      <c r="AC106" s="211" t="s">
        <v>920</v>
      </c>
      <c r="AD106" s="217" t="s">
        <v>422</v>
      </c>
      <c r="AE106" s="217" t="s">
        <v>422</v>
      </c>
      <c r="AF106" s="217" t="s">
        <v>422</v>
      </c>
      <c r="AG106" s="217" t="s">
        <v>422</v>
      </c>
      <c r="AH106" s="217" t="s">
        <v>422</v>
      </c>
      <c r="AI106" s="217" t="s">
        <v>422</v>
      </c>
      <c r="AJ106" s="217" t="s">
        <v>423</v>
      </c>
      <c r="AK106" s="217" t="s">
        <v>423</v>
      </c>
      <c r="AL106" s="222" t="s">
        <v>254</v>
      </c>
      <c r="AM106" s="209"/>
      <c r="AN106" s="209"/>
    </row>
    <row r="107" spans="1:43" ht="15" customHeight="1" x14ac:dyDescent="0.3">
      <c r="A107" s="185">
        <v>59</v>
      </c>
      <c r="B107" s="212" t="s">
        <v>829</v>
      </c>
      <c r="C107" s="247" t="s">
        <v>1616</v>
      </c>
      <c r="D107" s="201" t="s">
        <v>1848</v>
      </c>
      <c r="E107" s="212"/>
      <c r="F107" s="212"/>
      <c r="G107" s="212" t="s">
        <v>1941</v>
      </c>
      <c r="H107" s="212" t="s">
        <v>1040</v>
      </c>
      <c r="I107" s="357">
        <v>1</v>
      </c>
      <c r="J107" s="212">
        <v>2.5</v>
      </c>
      <c r="K107" s="212">
        <f>2.5+3.5</f>
        <v>6</v>
      </c>
      <c r="L107" s="212">
        <v>5</v>
      </c>
      <c r="M107" s="212">
        <f t="shared" si="11"/>
        <v>14.5</v>
      </c>
      <c r="N107" s="212">
        <f t="shared" si="12"/>
        <v>8</v>
      </c>
      <c r="O107" s="212">
        <f t="shared" si="13"/>
        <v>10</v>
      </c>
      <c r="P107" s="212">
        <f t="shared" si="14"/>
        <v>40</v>
      </c>
      <c r="Q107" s="212">
        <f t="shared" si="15"/>
        <v>40</v>
      </c>
      <c r="R107" s="212">
        <f t="shared" si="16"/>
        <v>98</v>
      </c>
      <c r="S107" s="202" t="s">
        <v>861</v>
      </c>
      <c r="T107" s="211" t="s">
        <v>858</v>
      </c>
      <c r="U107" s="202">
        <v>104</v>
      </c>
      <c r="V107" s="202">
        <v>106</v>
      </c>
      <c r="W107" s="202">
        <v>106</v>
      </c>
      <c r="X107" s="367">
        <v>43866</v>
      </c>
      <c r="Y107" s="205">
        <v>43956</v>
      </c>
      <c r="Z107" s="205">
        <v>44072</v>
      </c>
      <c r="AA107" s="273">
        <f t="shared" si="17"/>
        <v>2020</v>
      </c>
      <c r="AB107" s="273">
        <f t="shared" si="18"/>
        <v>8</v>
      </c>
      <c r="AC107" s="211" t="s">
        <v>920</v>
      </c>
      <c r="AD107" s="217" t="s">
        <v>422</v>
      </c>
      <c r="AE107" s="217" t="s">
        <v>422</v>
      </c>
      <c r="AF107" s="217" t="s">
        <v>422</v>
      </c>
      <c r="AG107" s="217" t="s">
        <v>422</v>
      </c>
      <c r="AH107" s="217" t="s">
        <v>422</v>
      </c>
      <c r="AI107" s="217" t="s">
        <v>422</v>
      </c>
      <c r="AJ107" s="217" t="s">
        <v>423</v>
      </c>
      <c r="AK107" s="217" t="s">
        <v>423</v>
      </c>
      <c r="AL107" s="222" t="s">
        <v>254</v>
      </c>
      <c r="AM107" s="209"/>
      <c r="AN107" s="209"/>
    </row>
    <row r="108" spans="1:43" ht="15" customHeight="1" x14ac:dyDescent="0.3">
      <c r="A108" s="185">
        <v>60</v>
      </c>
      <c r="B108" s="212" t="s">
        <v>830</v>
      </c>
      <c r="C108" s="247" t="s">
        <v>1616</v>
      </c>
      <c r="D108" s="201" t="s">
        <v>1848</v>
      </c>
      <c r="E108" s="212"/>
      <c r="F108" s="212"/>
      <c r="G108" s="212" t="s">
        <v>1941</v>
      </c>
      <c r="H108" s="212" t="s">
        <v>1040</v>
      </c>
      <c r="I108" s="357">
        <v>2</v>
      </c>
      <c r="J108" s="212">
        <v>4.7</v>
      </c>
      <c r="K108" s="212">
        <f>4.5+7.5</f>
        <v>12</v>
      </c>
      <c r="L108" s="212">
        <v>1</v>
      </c>
      <c r="M108" s="212">
        <f t="shared" si="11"/>
        <v>19.7</v>
      </c>
      <c r="N108" s="212">
        <f t="shared" si="12"/>
        <v>16</v>
      </c>
      <c r="O108" s="212">
        <f t="shared" si="13"/>
        <v>18.8</v>
      </c>
      <c r="P108" s="212">
        <f t="shared" si="14"/>
        <v>80</v>
      </c>
      <c r="Q108" s="212">
        <f t="shared" si="15"/>
        <v>8</v>
      </c>
      <c r="R108" s="212">
        <f t="shared" si="16"/>
        <v>122.8</v>
      </c>
      <c r="S108" s="202" t="s">
        <v>862</v>
      </c>
      <c r="T108" s="211" t="s">
        <v>859</v>
      </c>
      <c r="U108" s="202">
        <v>80</v>
      </c>
      <c r="V108" s="202">
        <v>81</v>
      </c>
      <c r="W108" s="202">
        <v>81</v>
      </c>
      <c r="X108" s="367">
        <v>43866</v>
      </c>
      <c r="Y108" s="205">
        <v>43956</v>
      </c>
      <c r="Z108" s="205">
        <v>44072</v>
      </c>
      <c r="AA108" s="273">
        <f t="shared" si="17"/>
        <v>2020</v>
      </c>
      <c r="AB108" s="273">
        <f t="shared" si="18"/>
        <v>8</v>
      </c>
      <c r="AC108" s="211" t="s">
        <v>920</v>
      </c>
      <c r="AD108" s="217" t="s">
        <v>422</v>
      </c>
      <c r="AE108" s="217" t="s">
        <v>422</v>
      </c>
      <c r="AF108" s="217" t="s">
        <v>422</v>
      </c>
      <c r="AG108" s="217" t="s">
        <v>422</v>
      </c>
      <c r="AH108" s="217" t="s">
        <v>422</v>
      </c>
      <c r="AI108" s="217" t="s">
        <v>422</v>
      </c>
      <c r="AJ108" s="217" t="s">
        <v>423</v>
      </c>
      <c r="AK108" s="217" t="s">
        <v>423</v>
      </c>
      <c r="AL108" s="222" t="s">
        <v>254</v>
      </c>
      <c r="AM108" s="209"/>
      <c r="AN108" s="209"/>
    </row>
    <row r="109" spans="1:43" ht="15" customHeight="1" x14ac:dyDescent="0.3">
      <c r="A109" s="185">
        <v>61</v>
      </c>
      <c r="B109" s="212" t="s">
        <v>831</v>
      </c>
      <c r="C109" s="247" t="s">
        <v>1616</v>
      </c>
      <c r="D109" s="201" t="s">
        <v>1848</v>
      </c>
      <c r="E109" s="212"/>
      <c r="F109" s="212"/>
      <c r="G109" s="212" t="s">
        <v>1941</v>
      </c>
      <c r="H109" s="212" t="s">
        <v>1041</v>
      </c>
      <c r="I109" s="357">
        <v>2</v>
      </c>
      <c r="J109" s="212">
        <v>9</v>
      </c>
      <c r="K109" s="212">
        <f>5.5+7.5</f>
        <v>13</v>
      </c>
      <c r="L109" s="212">
        <v>1</v>
      </c>
      <c r="M109" s="212">
        <f t="shared" si="11"/>
        <v>25</v>
      </c>
      <c r="N109" s="212">
        <f t="shared" si="12"/>
        <v>16</v>
      </c>
      <c r="O109" s="212">
        <f t="shared" si="13"/>
        <v>36</v>
      </c>
      <c r="P109" s="212">
        <f t="shared" si="14"/>
        <v>86.666666666666671</v>
      </c>
      <c r="Q109" s="212">
        <f t="shared" si="15"/>
        <v>8</v>
      </c>
      <c r="R109" s="212">
        <f t="shared" si="16"/>
        <v>146.66666666666669</v>
      </c>
      <c r="S109" s="202" t="s">
        <v>864</v>
      </c>
      <c r="T109" s="211" t="s">
        <v>863</v>
      </c>
      <c r="U109" s="202">
        <v>104</v>
      </c>
      <c r="V109" s="202">
        <v>110</v>
      </c>
      <c r="W109" s="202">
        <v>110</v>
      </c>
      <c r="X109" s="367">
        <v>43866</v>
      </c>
      <c r="Y109" s="205">
        <v>43956</v>
      </c>
      <c r="Z109" s="205">
        <v>44072</v>
      </c>
      <c r="AA109" s="273">
        <f t="shared" si="17"/>
        <v>2020</v>
      </c>
      <c r="AB109" s="273">
        <f t="shared" si="18"/>
        <v>8</v>
      </c>
      <c r="AC109" s="211" t="s">
        <v>920</v>
      </c>
      <c r="AD109" s="217" t="s">
        <v>422</v>
      </c>
      <c r="AE109" s="217" t="s">
        <v>422</v>
      </c>
      <c r="AF109" s="217" t="s">
        <v>422</v>
      </c>
      <c r="AG109" s="217" t="s">
        <v>422</v>
      </c>
      <c r="AH109" s="217" t="s">
        <v>422</v>
      </c>
      <c r="AI109" s="217" t="s">
        <v>422</v>
      </c>
      <c r="AJ109" s="217" t="s">
        <v>423</v>
      </c>
      <c r="AK109" s="217" t="s">
        <v>423</v>
      </c>
      <c r="AL109" s="222" t="s">
        <v>698</v>
      </c>
      <c r="AM109" s="209"/>
      <c r="AN109" s="209"/>
    </row>
    <row r="110" spans="1:43" ht="15" customHeight="1" x14ac:dyDescent="0.3">
      <c r="A110" s="185">
        <v>62</v>
      </c>
      <c r="B110" s="212" t="s">
        <v>832</v>
      </c>
      <c r="C110" s="247" t="s">
        <v>1616</v>
      </c>
      <c r="D110" s="201" t="s">
        <v>1848</v>
      </c>
      <c r="E110" s="212"/>
      <c r="F110" s="212"/>
      <c r="G110" s="212" t="s">
        <v>1941</v>
      </c>
      <c r="H110" s="212" t="s">
        <v>1010</v>
      </c>
      <c r="I110" s="357">
        <v>2</v>
      </c>
      <c r="J110" s="212">
        <v>8.5</v>
      </c>
      <c r="K110" s="212">
        <f>11+7.5</f>
        <v>18.5</v>
      </c>
      <c r="L110" s="212">
        <v>1</v>
      </c>
      <c r="M110" s="212">
        <f t="shared" si="11"/>
        <v>30</v>
      </c>
      <c r="N110" s="212">
        <f t="shared" si="12"/>
        <v>16</v>
      </c>
      <c r="O110" s="212">
        <f t="shared" si="13"/>
        <v>34</v>
      </c>
      <c r="P110" s="212">
        <f t="shared" si="14"/>
        <v>123.33333333333334</v>
      </c>
      <c r="Q110" s="212">
        <f t="shared" si="15"/>
        <v>8</v>
      </c>
      <c r="R110" s="212">
        <f t="shared" si="16"/>
        <v>181.33333333333334</v>
      </c>
      <c r="S110" s="202" t="s">
        <v>866</v>
      </c>
      <c r="T110" s="211" t="s">
        <v>870</v>
      </c>
      <c r="U110" s="202">
        <v>78</v>
      </c>
      <c r="V110" s="202">
        <v>82</v>
      </c>
      <c r="W110" s="202">
        <v>82</v>
      </c>
      <c r="X110" s="367">
        <v>43866</v>
      </c>
      <c r="Y110" s="205">
        <v>43956</v>
      </c>
      <c r="Z110" s="205">
        <v>44072</v>
      </c>
      <c r="AA110" s="273">
        <f t="shared" si="17"/>
        <v>2020</v>
      </c>
      <c r="AB110" s="273">
        <f t="shared" si="18"/>
        <v>8</v>
      </c>
      <c r="AC110" s="211" t="s">
        <v>920</v>
      </c>
      <c r="AD110" s="217" t="s">
        <v>422</v>
      </c>
      <c r="AE110" s="217" t="s">
        <v>422</v>
      </c>
      <c r="AF110" s="217" t="s">
        <v>422</v>
      </c>
      <c r="AG110" s="217" t="s">
        <v>422</v>
      </c>
      <c r="AH110" s="217" t="s">
        <v>422</v>
      </c>
      <c r="AI110" s="217" t="s">
        <v>422</v>
      </c>
      <c r="AJ110" s="217" t="s">
        <v>423</v>
      </c>
      <c r="AK110" s="217" t="s">
        <v>423</v>
      </c>
      <c r="AL110" s="222" t="s">
        <v>140</v>
      </c>
      <c r="AM110" s="209"/>
      <c r="AN110" s="209"/>
    </row>
    <row r="111" spans="1:43" ht="15" customHeight="1" x14ac:dyDescent="0.3">
      <c r="A111" s="185">
        <v>63</v>
      </c>
      <c r="B111" s="212" t="s">
        <v>833</v>
      </c>
      <c r="C111" s="247" t="s">
        <v>1616</v>
      </c>
      <c r="D111" s="201" t="s">
        <v>1848</v>
      </c>
      <c r="E111" s="212"/>
      <c r="F111" s="212"/>
      <c r="G111" s="212" t="s">
        <v>1953</v>
      </c>
      <c r="H111" s="212" t="s">
        <v>1010</v>
      </c>
      <c r="I111" s="357">
        <v>2</v>
      </c>
      <c r="J111" s="212">
        <v>9</v>
      </c>
      <c r="K111" s="212">
        <f>5.5+7.5</f>
        <v>13</v>
      </c>
      <c r="L111" s="212">
        <v>1</v>
      </c>
      <c r="M111" s="212">
        <f t="shared" si="11"/>
        <v>25</v>
      </c>
      <c r="N111" s="212">
        <f t="shared" si="12"/>
        <v>16</v>
      </c>
      <c r="O111" s="212">
        <f t="shared" si="13"/>
        <v>36</v>
      </c>
      <c r="P111" s="212">
        <f t="shared" si="14"/>
        <v>86.666666666666671</v>
      </c>
      <c r="Q111" s="212">
        <f t="shared" si="15"/>
        <v>8</v>
      </c>
      <c r="R111" s="212">
        <f t="shared" si="16"/>
        <v>146.66666666666669</v>
      </c>
      <c r="S111" s="202" t="s">
        <v>867</v>
      </c>
      <c r="T111" s="211" t="s">
        <v>871</v>
      </c>
      <c r="U111" s="202">
        <v>179</v>
      </c>
      <c r="V111" s="202">
        <v>183</v>
      </c>
      <c r="W111" s="202">
        <v>183</v>
      </c>
      <c r="X111" s="367">
        <v>43866</v>
      </c>
      <c r="Y111" s="205">
        <v>43956</v>
      </c>
      <c r="Z111" s="205">
        <v>44072</v>
      </c>
      <c r="AA111" s="273">
        <f t="shared" si="17"/>
        <v>2020</v>
      </c>
      <c r="AB111" s="273">
        <f t="shared" si="18"/>
        <v>8</v>
      </c>
      <c r="AC111" s="211" t="s">
        <v>920</v>
      </c>
      <c r="AD111" s="217" t="s">
        <v>422</v>
      </c>
      <c r="AE111" s="217" t="s">
        <v>422</v>
      </c>
      <c r="AF111" s="217" t="s">
        <v>422</v>
      </c>
      <c r="AG111" s="217" t="s">
        <v>422</v>
      </c>
      <c r="AH111" s="217" t="s">
        <v>422</v>
      </c>
      <c r="AI111" s="217" t="s">
        <v>422</v>
      </c>
      <c r="AJ111" s="217" t="s">
        <v>423</v>
      </c>
      <c r="AK111" s="217" t="s">
        <v>423</v>
      </c>
      <c r="AL111" s="222" t="s">
        <v>140</v>
      </c>
      <c r="AM111" s="209"/>
      <c r="AN111" s="209"/>
    </row>
    <row r="112" spans="1:43" ht="15" customHeight="1" x14ac:dyDescent="0.3">
      <c r="A112" s="185">
        <v>64</v>
      </c>
      <c r="B112" s="212" t="s">
        <v>834</v>
      </c>
      <c r="C112" s="247" t="s">
        <v>1616</v>
      </c>
      <c r="D112" s="201" t="s">
        <v>1848</v>
      </c>
      <c r="E112" s="212"/>
      <c r="F112" s="212"/>
      <c r="G112" s="212" t="s">
        <v>1941</v>
      </c>
      <c r="H112" s="212"/>
      <c r="I112" s="357">
        <v>2</v>
      </c>
      <c r="J112" s="357">
        <v>9</v>
      </c>
      <c r="K112" s="212">
        <f>11+7.5</f>
        <v>18.5</v>
      </c>
      <c r="L112" s="212">
        <v>1</v>
      </c>
      <c r="M112" s="212">
        <f t="shared" si="11"/>
        <v>30.5</v>
      </c>
      <c r="N112" s="212">
        <f t="shared" si="12"/>
        <v>16</v>
      </c>
      <c r="O112" s="212">
        <f t="shared" si="13"/>
        <v>36</v>
      </c>
      <c r="P112" s="212">
        <f t="shared" si="14"/>
        <v>123.33333333333334</v>
      </c>
      <c r="Q112" s="212">
        <f t="shared" si="15"/>
        <v>8</v>
      </c>
      <c r="R112" s="212">
        <f t="shared" si="16"/>
        <v>183.33333333333334</v>
      </c>
      <c r="S112" s="202" t="s">
        <v>868</v>
      </c>
      <c r="T112" s="211" t="s">
        <v>869</v>
      </c>
      <c r="U112" s="202">
        <v>82</v>
      </c>
      <c r="V112" s="202">
        <v>84</v>
      </c>
      <c r="W112" s="202">
        <v>84</v>
      </c>
      <c r="X112" s="367">
        <v>43866</v>
      </c>
      <c r="Y112" s="205">
        <v>43956</v>
      </c>
      <c r="Z112" s="205">
        <v>44072</v>
      </c>
      <c r="AA112" s="273">
        <f t="shared" si="17"/>
        <v>2020</v>
      </c>
      <c r="AB112" s="273">
        <f t="shared" si="18"/>
        <v>8</v>
      </c>
      <c r="AC112" s="211" t="s">
        <v>920</v>
      </c>
      <c r="AD112" s="217" t="s">
        <v>422</v>
      </c>
      <c r="AE112" s="217" t="s">
        <v>422</v>
      </c>
      <c r="AF112" s="217" t="s">
        <v>422</v>
      </c>
      <c r="AG112" s="217" t="s">
        <v>422</v>
      </c>
      <c r="AH112" s="217" t="s">
        <v>422</v>
      </c>
      <c r="AI112" s="217" t="s">
        <v>422</v>
      </c>
      <c r="AJ112" s="217" t="s">
        <v>423</v>
      </c>
      <c r="AK112" s="217" t="s">
        <v>423</v>
      </c>
      <c r="AL112" s="222" t="s">
        <v>698</v>
      </c>
      <c r="AM112" s="209"/>
      <c r="AN112" s="209"/>
    </row>
    <row r="113" spans="1:40" ht="15" customHeight="1" x14ac:dyDescent="0.3">
      <c r="A113" s="185">
        <v>65</v>
      </c>
      <c r="B113" s="212" t="s">
        <v>835</v>
      </c>
      <c r="C113" s="247" t="s">
        <v>1616</v>
      </c>
      <c r="D113" s="201" t="s">
        <v>1848</v>
      </c>
      <c r="E113" s="212"/>
      <c r="F113" s="212"/>
      <c r="G113" s="212" t="s">
        <v>1941</v>
      </c>
      <c r="H113" s="212"/>
      <c r="I113" s="357">
        <v>2</v>
      </c>
      <c r="J113" s="357">
        <v>12</v>
      </c>
      <c r="K113" s="212">
        <f>11+7.5+2.5+3.5</f>
        <v>24.5</v>
      </c>
      <c r="L113" s="212">
        <v>1.2</v>
      </c>
      <c r="M113" s="212">
        <f t="shared" si="11"/>
        <v>39.700000000000003</v>
      </c>
      <c r="N113" s="212">
        <f t="shared" si="12"/>
        <v>16</v>
      </c>
      <c r="O113" s="212">
        <f t="shared" si="13"/>
        <v>48</v>
      </c>
      <c r="P113" s="212">
        <f t="shared" si="14"/>
        <v>163.33333333333334</v>
      </c>
      <c r="Q113" s="212">
        <f t="shared" si="15"/>
        <v>9.6</v>
      </c>
      <c r="R113" s="212">
        <f t="shared" si="16"/>
        <v>236.93333333333334</v>
      </c>
      <c r="S113" s="202" t="s">
        <v>866</v>
      </c>
      <c r="T113" s="211" t="s">
        <v>872</v>
      </c>
      <c r="U113" s="202">
        <v>72</v>
      </c>
      <c r="V113" s="202">
        <v>75</v>
      </c>
      <c r="W113" s="202">
        <v>75</v>
      </c>
      <c r="X113" s="367">
        <v>43866</v>
      </c>
      <c r="Y113" s="205">
        <v>43956</v>
      </c>
      <c r="Z113" s="205">
        <v>44072</v>
      </c>
      <c r="AA113" s="273">
        <f t="shared" si="17"/>
        <v>2020</v>
      </c>
      <c r="AB113" s="273">
        <f t="shared" si="18"/>
        <v>8</v>
      </c>
      <c r="AC113" s="211" t="s">
        <v>920</v>
      </c>
      <c r="AD113" s="217" t="s">
        <v>422</v>
      </c>
      <c r="AE113" s="217" t="s">
        <v>422</v>
      </c>
      <c r="AF113" s="217" t="s">
        <v>422</v>
      </c>
      <c r="AG113" s="217" t="s">
        <v>422</v>
      </c>
      <c r="AH113" s="217" t="s">
        <v>422</v>
      </c>
      <c r="AI113" s="217" t="s">
        <v>422</v>
      </c>
      <c r="AJ113" s="217" t="s">
        <v>423</v>
      </c>
      <c r="AK113" s="217" t="s">
        <v>423</v>
      </c>
      <c r="AL113" s="222" t="s">
        <v>1196</v>
      </c>
      <c r="AM113" s="209"/>
      <c r="AN113" s="224" t="s">
        <v>1197</v>
      </c>
    </row>
    <row r="114" spans="1:40" ht="15" customHeight="1" x14ac:dyDescent="0.3">
      <c r="A114" s="185">
        <v>14</v>
      </c>
      <c r="B114" s="247" t="s">
        <v>762</v>
      </c>
      <c r="C114" s="247" t="s">
        <v>1615</v>
      </c>
      <c r="D114" s="199" t="s">
        <v>1881</v>
      </c>
      <c r="E114" s="247"/>
      <c r="F114" s="247"/>
      <c r="G114" s="368" t="s">
        <v>1604</v>
      </c>
      <c r="H114" s="247" t="s">
        <v>1428</v>
      </c>
      <c r="I114" s="357">
        <v>2</v>
      </c>
      <c r="J114" s="247">
        <v>7</v>
      </c>
      <c r="K114" s="247">
        <v>0</v>
      </c>
      <c r="L114" s="212">
        <v>1.5</v>
      </c>
      <c r="M114" s="212">
        <f t="shared" si="11"/>
        <v>10.5</v>
      </c>
      <c r="N114" s="212">
        <f t="shared" si="12"/>
        <v>16</v>
      </c>
      <c r="O114" s="212">
        <f t="shared" si="13"/>
        <v>28</v>
      </c>
      <c r="P114" s="212">
        <f t="shared" si="14"/>
        <v>0</v>
      </c>
      <c r="Q114" s="212">
        <f t="shared" si="15"/>
        <v>12</v>
      </c>
      <c r="R114" s="212">
        <f t="shared" si="16"/>
        <v>56</v>
      </c>
      <c r="S114" s="273" t="s">
        <v>778</v>
      </c>
      <c r="T114" s="275" t="s">
        <v>761</v>
      </c>
      <c r="U114" s="273">
        <v>62</v>
      </c>
      <c r="V114" s="273">
        <f>36+26</f>
        <v>62</v>
      </c>
      <c r="W114" s="273">
        <f>36+26</f>
        <v>62</v>
      </c>
      <c r="X114" s="276">
        <v>43713</v>
      </c>
      <c r="Y114" s="277">
        <v>43862</v>
      </c>
      <c r="Z114" s="26">
        <v>44082</v>
      </c>
      <c r="AA114" s="273">
        <f t="shared" si="17"/>
        <v>2020</v>
      </c>
      <c r="AB114" s="273">
        <f t="shared" si="18"/>
        <v>9</v>
      </c>
      <c r="AC114" s="217" t="s">
        <v>920</v>
      </c>
      <c r="AD114" s="217" t="s">
        <v>422</v>
      </c>
      <c r="AE114" s="217" t="s">
        <v>422</v>
      </c>
      <c r="AF114" s="211" t="s">
        <v>422</v>
      </c>
      <c r="AG114" s="211" t="s">
        <v>422</v>
      </c>
      <c r="AH114" s="211" t="s">
        <v>422</v>
      </c>
      <c r="AI114" s="217" t="s">
        <v>423</v>
      </c>
      <c r="AJ114" s="217" t="s">
        <v>422</v>
      </c>
      <c r="AK114" s="217" t="s">
        <v>423</v>
      </c>
      <c r="AL114" s="210" t="s">
        <v>138</v>
      </c>
      <c r="AM114" s="218"/>
      <c r="AN114" s="209"/>
    </row>
    <row r="115" spans="1:40" ht="15" customHeight="1" x14ac:dyDescent="0.3">
      <c r="A115" s="185">
        <v>16</v>
      </c>
      <c r="B115" s="247" t="s">
        <v>766</v>
      </c>
      <c r="C115" s="247" t="s">
        <v>1615</v>
      </c>
      <c r="D115" s="199" t="s">
        <v>1881</v>
      </c>
      <c r="E115" s="247"/>
      <c r="F115" s="247"/>
      <c r="G115" s="368" t="s">
        <v>1604</v>
      </c>
      <c r="H115" s="247" t="s">
        <v>1428</v>
      </c>
      <c r="I115" s="357">
        <v>2</v>
      </c>
      <c r="J115" s="247">
        <v>4.5</v>
      </c>
      <c r="K115" s="247">
        <v>0</v>
      </c>
      <c r="L115" s="212">
        <v>1</v>
      </c>
      <c r="M115" s="212">
        <f t="shared" si="11"/>
        <v>7.5</v>
      </c>
      <c r="N115" s="212">
        <f t="shared" si="12"/>
        <v>16</v>
      </c>
      <c r="O115" s="212">
        <f t="shared" si="13"/>
        <v>18</v>
      </c>
      <c r="P115" s="212">
        <f t="shared" si="14"/>
        <v>0</v>
      </c>
      <c r="Q115" s="212">
        <f t="shared" si="15"/>
        <v>8</v>
      </c>
      <c r="R115" s="212">
        <f t="shared" si="16"/>
        <v>42</v>
      </c>
      <c r="S115" s="273" t="s">
        <v>779</v>
      </c>
      <c r="T115" s="275" t="s">
        <v>765</v>
      </c>
      <c r="U115" s="273">
        <v>30</v>
      </c>
      <c r="V115" s="273">
        <v>16</v>
      </c>
      <c r="W115" s="273">
        <v>16</v>
      </c>
      <c r="X115" s="276">
        <v>43713</v>
      </c>
      <c r="Y115" s="277">
        <v>43800</v>
      </c>
      <c r="Z115" s="26">
        <v>44082</v>
      </c>
      <c r="AA115" s="273">
        <f t="shared" si="17"/>
        <v>2020</v>
      </c>
      <c r="AB115" s="273">
        <f t="shared" si="18"/>
        <v>9</v>
      </c>
      <c r="AC115" s="217" t="s">
        <v>920</v>
      </c>
      <c r="AD115" s="217" t="s">
        <v>422</v>
      </c>
      <c r="AE115" s="217" t="s">
        <v>422</v>
      </c>
      <c r="AF115" s="217" t="s">
        <v>422</v>
      </c>
      <c r="AG115" s="217" t="s">
        <v>422</v>
      </c>
      <c r="AH115" s="217" t="s">
        <v>422</v>
      </c>
      <c r="AI115" s="217" t="s">
        <v>423</v>
      </c>
      <c r="AJ115" s="217" t="s">
        <v>422</v>
      </c>
      <c r="AK115" s="217" t="s">
        <v>423</v>
      </c>
      <c r="AL115" s="210" t="s">
        <v>138</v>
      </c>
      <c r="AM115" s="218"/>
      <c r="AN115" s="209"/>
    </row>
    <row r="116" spans="1:40" ht="15" customHeight="1" x14ac:dyDescent="0.3">
      <c r="A116" s="185">
        <v>17</v>
      </c>
      <c r="B116" s="247" t="s">
        <v>768</v>
      </c>
      <c r="C116" s="247" t="s">
        <v>1615</v>
      </c>
      <c r="D116" s="199" t="s">
        <v>1881</v>
      </c>
      <c r="E116" s="247"/>
      <c r="F116" s="247"/>
      <c r="G116" s="368" t="s">
        <v>1604</v>
      </c>
      <c r="H116" s="247" t="s">
        <v>1428</v>
      </c>
      <c r="I116" s="357">
        <v>2</v>
      </c>
      <c r="J116" s="247">
        <v>11</v>
      </c>
      <c r="K116" s="247">
        <v>0</v>
      </c>
      <c r="L116" s="212">
        <v>1</v>
      </c>
      <c r="M116" s="212">
        <f t="shared" si="11"/>
        <v>14</v>
      </c>
      <c r="N116" s="212">
        <f t="shared" si="12"/>
        <v>16</v>
      </c>
      <c r="O116" s="212">
        <f t="shared" si="13"/>
        <v>44</v>
      </c>
      <c r="P116" s="212">
        <f t="shared" si="14"/>
        <v>0</v>
      </c>
      <c r="Q116" s="212">
        <f t="shared" si="15"/>
        <v>8</v>
      </c>
      <c r="R116" s="212">
        <f t="shared" si="16"/>
        <v>68</v>
      </c>
      <c r="S116" s="273" t="s">
        <v>780</v>
      </c>
      <c r="T116" s="275" t="s">
        <v>767</v>
      </c>
      <c r="U116" s="273">
        <v>30</v>
      </c>
      <c r="V116" s="273">
        <v>17</v>
      </c>
      <c r="W116" s="273">
        <v>17</v>
      </c>
      <c r="X116" s="276">
        <v>43713</v>
      </c>
      <c r="Y116" s="277">
        <v>43800</v>
      </c>
      <c r="Z116" s="26">
        <v>44082</v>
      </c>
      <c r="AA116" s="273">
        <f t="shared" si="17"/>
        <v>2020</v>
      </c>
      <c r="AB116" s="273">
        <f t="shared" si="18"/>
        <v>9</v>
      </c>
      <c r="AC116" s="217" t="s">
        <v>920</v>
      </c>
      <c r="AD116" s="217" t="s">
        <v>422</v>
      </c>
      <c r="AE116" s="217" t="s">
        <v>422</v>
      </c>
      <c r="AF116" s="217" t="s">
        <v>422</v>
      </c>
      <c r="AG116" s="217" t="s">
        <v>422</v>
      </c>
      <c r="AH116" s="217" t="s">
        <v>422</v>
      </c>
      <c r="AI116" s="217" t="s">
        <v>423</v>
      </c>
      <c r="AJ116" s="217" t="s">
        <v>422</v>
      </c>
      <c r="AK116" s="217" t="s">
        <v>423</v>
      </c>
      <c r="AL116" s="210" t="s">
        <v>138</v>
      </c>
      <c r="AM116" s="218"/>
      <c r="AN116" s="209"/>
    </row>
    <row r="117" spans="1:40" ht="15" customHeight="1" x14ac:dyDescent="0.3">
      <c r="A117" s="185">
        <v>41</v>
      </c>
      <c r="B117" s="247" t="s">
        <v>997</v>
      </c>
      <c r="C117" s="247" t="s">
        <v>1615</v>
      </c>
      <c r="D117" s="199" t="s">
        <v>1881</v>
      </c>
      <c r="E117" s="247"/>
      <c r="F117" s="247"/>
      <c r="G117" s="247" t="s">
        <v>1941</v>
      </c>
      <c r="H117" s="247" t="s">
        <v>1040</v>
      </c>
      <c r="I117" s="357">
        <v>2</v>
      </c>
      <c r="J117" s="247">
        <v>6</v>
      </c>
      <c r="K117" s="247">
        <v>5</v>
      </c>
      <c r="L117" s="212">
        <v>1</v>
      </c>
      <c r="M117" s="212">
        <f t="shared" si="11"/>
        <v>14</v>
      </c>
      <c r="N117" s="212">
        <f t="shared" si="12"/>
        <v>16</v>
      </c>
      <c r="O117" s="212">
        <f t="shared" si="13"/>
        <v>24</v>
      </c>
      <c r="P117" s="212">
        <f t="shared" si="14"/>
        <v>33.333333333333336</v>
      </c>
      <c r="Q117" s="212">
        <f t="shared" si="15"/>
        <v>8</v>
      </c>
      <c r="R117" s="212">
        <f t="shared" si="16"/>
        <v>81.333333333333343</v>
      </c>
      <c r="S117" s="370" t="s">
        <v>1001</v>
      </c>
      <c r="T117" s="371" t="s">
        <v>1005</v>
      </c>
      <c r="U117" s="370">
        <v>45</v>
      </c>
      <c r="V117" s="370">
        <v>46</v>
      </c>
      <c r="W117" s="370">
        <v>46</v>
      </c>
      <c r="X117" s="3">
        <v>43781</v>
      </c>
      <c r="Y117" s="26">
        <v>43905</v>
      </c>
      <c r="Z117" s="26">
        <v>44097</v>
      </c>
      <c r="AA117" s="273">
        <f t="shared" si="17"/>
        <v>2020</v>
      </c>
      <c r="AB117" s="273">
        <f t="shared" si="18"/>
        <v>9</v>
      </c>
      <c r="AC117" s="211" t="s">
        <v>920</v>
      </c>
      <c r="AD117" s="217" t="s">
        <v>422</v>
      </c>
      <c r="AE117" s="217" t="s">
        <v>422</v>
      </c>
      <c r="AF117" s="217" t="s">
        <v>422</v>
      </c>
      <c r="AG117" s="217" t="s">
        <v>422</v>
      </c>
      <c r="AH117" s="217" t="s">
        <v>423</v>
      </c>
      <c r="AI117" s="217" t="s">
        <v>422</v>
      </c>
      <c r="AJ117" s="217" t="s">
        <v>423</v>
      </c>
      <c r="AK117" s="217" t="s">
        <v>423</v>
      </c>
      <c r="AL117" s="222" t="s">
        <v>254</v>
      </c>
      <c r="AM117" s="209"/>
      <c r="AN117" s="209"/>
    </row>
    <row r="118" spans="1:40" ht="15" customHeight="1" x14ac:dyDescent="0.3">
      <c r="A118" s="185">
        <v>87</v>
      </c>
      <c r="B118" s="247" t="s">
        <v>907</v>
      </c>
      <c r="C118" s="247" t="s">
        <v>1615</v>
      </c>
      <c r="D118" s="199" t="s">
        <v>1881</v>
      </c>
      <c r="E118" s="247"/>
      <c r="F118" s="247" t="s">
        <v>1597</v>
      </c>
      <c r="G118" s="368" t="s">
        <v>1604</v>
      </c>
      <c r="H118" s="247"/>
      <c r="I118" s="247">
        <v>2</v>
      </c>
      <c r="J118" s="357">
        <v>4.5</v>
      </c>
      <c r="K118" s="247">
        <v>0</v>
      </c>
      <c r="L118" s="212">
        <v>1</v>
      </c>
      <c r="M118" s="212">
        <f t="shared" si="11"/>
        <v>7.5</v>
      </c>
      <c r="N118" s="212">
        <f t="shared" si="12"/>
        <v>16</v>
      </c>
      <c r="O118" s="212">
        <f t="shared" si="13"/>
        <v>18</v>
      </c>
      <c r="P118" s="212">
        <f t="shared" si="14"/>
        <v>0</v>
      </c>
      <c r="Q118" s="212">
        <f t="shared" si="15"/>
        <v>8</v>
      </c>
      <c r="R118" s="212">
        <f t="shared" si="16"/>
        <v>42</v>
      </c>
      <c r="S118" s="273" t="s">
        <v>941</v>
      </c>
      <c r="T118" s="275" t="s">
        <v>926</v>
      </c>
      <c r="U118" s="273">
        <v>24</v>
      </c>
      <c r="V118" s="273">
        <v>25</v>
      </c>
      <c r="W118" s="273">
        <v>25</v>
      </c>
      <c r="X118" s="276">
        <v>43875</v>
      </c>
      <c r="Y118" s="277">
        <v>43905</v>
      </c>
      <c r="Z118" s="26">
        <v>44082</v>
      </c>
      <c r="AA118" s="273">
        <f t="shared" si="17"/>
        <v>2020</v>
      </c>
      <c r="AB118" s="273">
        <f t="shared" si="18"/>
        <v>9</v>
      </c>
      <c r="AC118" s="217" t="s">
        <v>920</v>
      </c>
      <c r="AD118" s="217" t="s">
        <v>422</v>
      </c>
      <c r="AE118" s="217" t="s">
        <v>422</v>
      </c>
      <c r="AF118" s="217" t="s">
        <v>422</v>
      </c>
      <c r="AG118" s="217" t="s">
        <v>422</v>
      </c>
      <c r="AH118" s="217" t="s">
        <v>422</v>
      </c>
      <c r="AI118" s="217" t="s">
        <v>422</v>
      </c>
      <c r="AJ118" s="190" t="s">
        <v>423</v>
      </c>
      <c r="AK118" s="190" t="s">
        <v>423</v>
      </c>
      <c r="AL118" s="192" t="s">
        <v>108</v>
      </c>
      <c r="AM118" s="241"/>
      <c r="AN118" s="241"/>
    </row>
    <row r="119" spans="1:40" ht="15" customHeight="1" x14ac:dyDescent="0.3">
      <c r="A119" s="185">
        <v>92</v>
      </c>
      <c r="B119" s="247" t="s">
        <v>912</v>
      </c>
      <c r="C119" s="247" t="s">
        <v>1615</v>
      </c>
      <c r="D119" s="199" t="s">
        <v>1881</v>
      </c>
      <c r="E119" s="247"/>
      <c r="F119" s="247" t="s">
        <v>1597</v>
      </c>
      <c r="G119" s="247" t="s">
        <v>1940</v>
      </c>
      <c r="H119" s="247"/>
      <c r="I119" s="247">
        <v>2</v>
      </c>
      <c r="J119" s="357">
        <v>7</v>
      </c>
      <c r="K119" s="247">
        <v>9</v>
      </c>
      <c r="L119" s="212">
        <v>1</v>
      </c>
      <c r="M119" s="212">
        <f t="shared" si="11"/>
        <v>19</v>
      </c>
      <c r="N119" s="212">
        <f t="shared" si="12"/>
        <v>16</v>
      </c>
      <c r="O119" s="212">
        <f t="shared" si="13"/>
        <v>28</v>
      </c>
      <c r="P119" s="212">
        <f t="shared" si="14"/>
        <v>60</v>
      </c>
      <c r="Q119" s="212">
        <f t="shared" si="15"/>
        <v>8</v>
      </c>
      <c r="R119" s="212">
        <f t="shared" si="16"/>
        <v>112</v>
      </c>
      <c r="S119" s="273" t="s">
        <v>928</v>
      </c>
      <c r="T119" s="275" t="s">
        <v>923</v>
      </c>
      <c r="U119" s="273">
        <v>69</v>
      </c>
      <c r="V119" s="273">
        <v>72</v>
      </c>
      <c r="W119" s="273">
        <v>72</v>
      </c>
      <c r="X119" s="276">
        <v>43875</v>
      </c>
      <c r="Y119" s="277">
        <v>43936</v>
      </c>
      <c r="Z119" s="26">
        <v>44097</v>
      </c>
      <c r="AA119" s="273">
        <f t="shared" si="17"/>
        <v>2020</v>
      </c>
      <c r="AB119" s="273">
        <f t="shared" si="18"/>
        <v>9</v>
      </c>
      <c r="AC119" s="217" t="s">
        <v>920</v>
      </c>
      <c r="AD119" s="217" t="s">
        <v>422</v>
      </c>
      <c r="AE119" s="217" t="s">
        <v>422</v>
      </c>
      <c r="AF119" s="217" t="s">
        <v>422</v>
      </c>
      <c r="AG119" s="217" t="s">
        <v>422</v>
      </c>
      <c r="AH119" s="217" t="s">
        <v>422</v>
      </c>
      <c r="AI119" s="217" t="s">
        <v>449</v>
      </c>
      <c r="AJ119" s="217" t="s">
        <v>423</v>
      </c>
      <c r="AK119" s="217" t="s">
        <v>423</v>
      </c>
      <c r="AL119" s="218" t="s">
        <v>139</v>
      </c>
      <c r="AM119" s="209"/>
      <c r="AN119" s="209"/>
    </row>
    <row r="120" spans="1:40" ht="15" customHeight="1" x14ac:dyDescent="0.3">
      <c r="A120" s="185">
        <v>119</v>
      </c>
      <c r="B120" s="247" t="s">
        <v>1026</v>
      </c>
      <c r="C120" s="247" t="s">
        <v>1615</v>
      </c>
      <c r="D120" s="200" t="s">
        <v>1881</v>
      </c>
      <c r="E120" s="247"/>
      <c r="F120" s="247" t="s">
        <v>1598</v>
      </c>
      <c r="G120" s="368" t="s">
        <v>1604</v>
      </c>
      <c r="H120" s="247" t="s">
        <v>1956</v>
      </c>
      <c r="I120" s="247">
        <v>1.5</v>
      </c>
      <c r="J120" s="247">
        <v>6.3</v>
      </c>
      <c r="K120" s="247">
        <v>0</v>
      </c>
      <c r="L120" s="212">
        <v>1</v>
      </c>
      <c r="M120" s="212">
        <f t="shared" si="11"/>
        <v>8.8000000000000007</v>
      </c>
      <c r="N120" s="212">
        <f t="shared" si="12"/>
        <v>12</v>
      </c>
      <c r="O120" s="212">
        <f t="shared" si="13"/>
        <v>25.2</v>
      </c>
      <c r="P120" s="212">
        <f t="shared" si="14"/>
        <v>0</v>
      </c>
      <c r="Q120" s="212">
        <f t="shared" si="15"/>
        <v>8</v>
      </c>
      <c r="R120" s="212">
        <f t="shared" si="16"/>
        <v>45.2</v>
      </c>
      <c r="S120" s="369" t="s">
        <v>1031</v>
      </c>
      <c r="T120" s="275" t="s">
        <v>1034</v>
      </c>
      <c r="U120" s="273">
        <v>179</v>
      </c>
      <c r="V120" s="273">
        <v>179</v>
      </c>
      <c r="W120" s="273">
        <v>179</v>
      </c>
      <c r="X120" s="276">
        <v>44022</v>
      </c>
      <c r="Y120" s="277">
        <v>44042</v>
      </c>
      <c r="Z120" s="26">
        <v>44082</v>
      </c>
      <c r="AA120" s="273">
        <f t="shared" si="17"/>
        <v>2020</v>
      </c>
      <c r="AB120" s="273">
        <f t="shared" si="18"/>
        <v>9</v>
      </c>
      <c r="AC120" s="278" t="s">
        <v>920</v>
      </c>
      <c r="AD120" s="278" t="s">
        <v>422</v>
      </c>
      <c r="AE120" s="278" t="s">
        <v>422</v>
      </c>
      <c r="AF120" s="278" t="s">
        <v>422</v>
      </c>
      <c r="AG120" s="278" t="s">
        <v>422</v>
      </c>
      <c r="AH120" s="278" t="s">
        <v>422</v>
      </c>
      <c r="AI120" s="278" t="s">
        <v>423</v>
      </c>
      <c r="AJ120" s="278" t="s">
        <v>423</v>
      </c>
      <c r="AK120" s="278" t="s">
        <v>423</v>
      </c>
      <c r="AL120" s="279" t="s">
        <v>138</v>
      </c>
      <c r="AM120" s="218"/>
      <c r="AN120" s="218"/>
    </row>
    <row r="121" spans="1:40" ht="15" customHeight="1" x14ac:dyDescent="0.3">
      <c r="A121" s="185">
        <v>120</v>
      </c>
      <c r="B121" s="247" t="s">
        <v>1027</v>
      </c>
      <c r="C121" s="247" t="s">
        <v>1615</v>
      </c>
      <c r="D121" s="200" t="s">
        <v>1881</v>
      </c>
      <c r="E121" s="247"/>
      <c r="F121" s="247"/>
      <c r="G121" s="247" t="s">
        <v>1008</v>
      </c>
      <c r="H121" s="247"/>
      <c r="I121" s="357">
        <v>2</v>
      </c>
      <c r="J121" s="247">
        <v>7</v>
      </c>
      <c r="K121" s="247">
        <v>0</v>
      </c>
      <c r="L121" s="212">
        <v>1</v>
      </c>
      <c r="M121" s="212">
        <f t="shared" si="11"/>
        <v>10</v>
      </c>
      <c r="N121" s="212">
        <f t="shared" si="12"/>
        <v>16</v>
      </c>
      <c r="O121" s="212">
        <f t="shared" si="13"/>
        <v>28</v>
      </c>
      <c r="P121" s="212">
        <f t="shared" si="14"/>
        <v>0</v>
      </c>
      <c r="Q121" s="212">
        <f t="shared" si="15"/>
        <v>8</v>
      </c>
      <c r="R121" s="212">
        <f t="shared" si="16"/>
        <v>52</v>
      </c>
      <c r="S121" s="369" t="s">
        <v>1030</v>
      </c>
      <c r="T121" s="275" t="s">
        <v>1033</v>
      </c>
      <c r="U121" s="273">
        <v>126</v>
      </c>
      <c r="V121" s="273">
        <v>132</v>
      </c>
      <c r="W121" s="273">
        <v>132</v>
      </c>
      <c r="X121" s="276">
        <v>44022</v>
      </c>
      <c r="Y121" s="277">
        <v>44042</v>
      </c>
      <c r="Z121" s="26">
        <v>44082</v>
      </c>
      <c r="AA121" s="273">
        <f t="shared" si="17"/>
        <v>2020</v>
      </c>
      <c r="AB121" s="273">
        <f t="shared" si="18"/>
        <v>9</v>
      </c>
      <c r="AC121" s="278" t="s">
        <v>920</v>
      </c>
      <c r="AD121" s="278" t="s">
        <v>422</v>
      </c>
      <c r="AE121" s="278" t="s">
        <v>422</v>
      </c>
      <c r="AF121" s="278" t="s">
        <v>422</v>
      </c>
      <c r="AG121" s="278" t="s">
        <v>422</v>
      </c>
      <c r="AH121" s="278" t="s">
        <v>422</v>
      </c>
      <c r="AI121" s="278" t="s">
        <v>423</v>
      </c>
      <c r="AJ121" s="278" t="s">
        <v>423</v>
      </c>
      <c r="AK121" s="278" t="s">
        <v>423</v>
      </c>
      <c r="AL121" s="279" t="s">
        <v>888</v>
      </c>
      <c r="AM121" s="218"/>
      <c r="AN121" s="218"/>
    </row>
    <row r="122" spans="1:40" ht="15" customHeight="1" x14ac:dyDescent="0.3">
      <c r="A122" s="185">
        <v>121</v>
      </c>
      <c r="B122" s="212" t="s">
        <v>1028</v>
      </c>
      <c r="C122" s="247" t="s">
        <v>1615</v>
      </c>
      <c r="D122" s="201" t="s">
        <v>1881</v>
      </c>
      <c r="E122" s="212"/>
      <c r="F122" s="212" t="s">
        <v>1598</v>
      </c>
      <c r="G122" s="368" t="s">
        <v>1604</v>
      </c>
      <c r="H122" s="247" t="s">
        <v>1428</v>
      </c>
      <c r="I122" s="212">
        <v>1.8</v>
      </c>
      <c r="J122" s="212">
        <v>10</v>
      </c>
      <c r="K122" s="247">
        <v>0</v>
      </c>
      <c r="L122" s="212">
        <v>1.5</v>
      </c>
      <c r="M122" s="212">
        <f t="shared" si="11"/>
        <v>13.3</v>
      </c>
      <c r="N122" s="212">
        <f t="shared" si="12"/>
        <v>14.4</v>
      </c>
      <c r="O122" s="212">
        <f t="shared" si="13"/>
        <v>40</v>
      </c>
      <c r="P122" s="212">
        <f t="shared" si="14"/>
        <v>0</v>
      </c>
      <c r="Q122" s="212">
        <f t="shared" si="15"/>
        <v>12</v>
      </c>
      <c r="R122" s="212">
        <f t="shared" si="16"/>
        <v>66.400000000000006</v>
      </c>
      <c r="S122" s="229" t="s">
        <v>1029</v>
      </c>
      <c r="T122" s="214" t="s">
        <v>1032</v>
      </c>
      <c r="U122" s="213">
        <f>213-57</f>
        <v>156</v>
      </c>
      <c r="V122" s="213">
        <v>159</v>
      </c>
      <c r="W122" s="213">
        <v>159</v>
      </c>
      <c r="X122" s="215">
        <v>44026</v>
      </c>
      <c r="Y122" s="216">
        <v>44042</v>
      </c>
      <c r="Z122" s="205">
        <v>44082</v>
      </c>
      <c r="AA122" s="273">
        <f t="shared" si="17"/>
        <v>2020</v>
      </c>
      <c r="AB122" s="273">
        <f t="shared" si="18"/>
        <v>9</v>
      </c>
      <c r="AC122" s="217" t="s">
        <v>920</v>
      </c>
      <c r="AD122" s="217" t="s">
        <v>422</v>
      </c>
      <c r="AE122" s="217" t="s">
        <v>422</v>
      </c>
      <c r="AF122" s="278" t="s">
        <v>422</v>
      </c>
      <c r="AG122" s="278" t="s">
        <v>422</v>
      </c>
      <c r="AH122" s="278" t="s">
        <v>422</v>
      </c>
      <c r="AI122" s="217" t="s">
        <v>423</v>
      </c>
      <c r="AJ122" s="217" t="s">
        <v>423</v>
      </c>
      <c r="AK122" s="217" t="s">
        <v>423</v>
      </c>
      <c r="AL122" s="218" t="s">
        <v>138</v>
      </c>
      <c r="AM122" s="218"/>
      <c r="AN122" s="218"/>
    </row>
    <row r="123" spans="1:40" ht="15" customHeight="1" x14ac:dyDescent="0.3">
      <c r="A123" s="185">
        <v>127</v>
      </c>
      <c r="B123" s="247" t="s">
        <v>1055</v>
      </c>
      <c r="C123" s="247" t="s">
        <v>1615</v>
      </c>
      <c r="D123" s="199" t="s">
        <v>1881</v>
      </c>
      <c r="E123" s="247"/>
      <c r="F123" s="247"/>
      <c r="G123" s="368" t="s">
        <v>1604</v>
      </c>
      <c r="H123" s="248" t="s">
        <v>1040</v>
      </c>
      <c r="I123" s="357">
        <v>2</v>
      </c>
      <c r="J123" s="248">
        <v>5</v>
      </c>
      <c r="K123" s="247">
        <v>0</v>
      </c>
      <c r="L123" s="212">
        <v>1</v>
      </c>
      <c r="M123" s="212">
        <f t="shared" si="11"/>
        <v>8</v>
      </c>
      <c r="N123" s="212">
        <f t="shared" si="12"/>
        <v>16</v>
      </c>
      <c r="O123" s="212">
        <f t="shared" si="13"/>
        <v>20</v>
      </c>
      <c r="P123" s="212">
        <f t="shared" si="14"/>
        <v>0</v>
      </c>
      <c r="Q123" s="212">
        <f t="shared" si="15"/>
        <v>8</v>
      </c>
      <c r="R123" s="212">
        <f t="shared" si="16"/>
        <v>44</v>
      </c>
      <c r="S123" s="369" t="s">
        <v>1064</v>
      </c>
      <c r="T123" s="275" t="s">
        <v>1078</v>
      </c>
      <c r="U123" s="280">
        <v>45</v>
      </c>
      <c r="V123" s="280">
        <v>48</v>
      </c>
      <c r="W123" s="280">
        <v>48</v>
      </c>
      <c r="X123" s="276">
        <v>44039</v>
      </c>
      <c r="Y123" s="277">
        <v>44075</v>
      </c>
      <c r="Z123" s="26">
        <v>44082</v>
      </c>
      <c r="AA123" s="273">
        <f t="shared" si="17"/>
        <v>2020</v>
      </c>
      <c r="AB123" s="273">
        <f t="shared" si="18"/>
        <v>9</v>
      </c>
      <c r="AC123" s="278" t="s">
        <v>920</v>
      </c>
      <c r="AD123" s="278" t="s">
        <v>422</v>
      </c>
      <c r="AE123" s="278" t="s">
        <v>422</v>
      </c>
      <c r="AF123" s="278" t="s">
        <v>422</v>
      </c>
      <c r="AG123" s="278" t="s">
        <v>422</v>
      </c>
      <c r="AH123" s="278" t="s">
        <v>422</v>
      </c>
      <c r="AI123" s="278" t="s">
        <v>423</v>
      </c>
      <c r="AJ123" s="278" t="s">
        <v>423</v>
      </c>
      <c r="AK123" s="278" t="s">
        <v>423</v>
      </c>
      <c r="AL123" s="279" t="s">
        <v>254</v>
      </c>
      <c r="AM123" s="241"/>
      <c r="AN123" s="241"/>
    </row>
    <row r="124" spans="1:40" ht="15" customHeight="1" x14ac:dyDescent="0.3">
      <c r="A124" s="185">
        <v>128</v>
      </c>
      <c r="B124" s="247" t="s">
        <v>1054</v>
      </c>
      <c r="C124" s="247" t="s">
        <v>1615</v>
      </c>
      <c r="D124" s="199" t="s">
        <v>1881</v>
      </c>
      <c r="E124" s="247"/>
      <c r="F124" s="247"/>
      <c r="G124" s="368" t="s">
        <v>1604</v>
      </c>
      <c r="H124" s="248" t="s">
        <v>1010</v>
      </c>
      <c r="I124" s="357">
        <v>2</v>
      </c>
      <c r="J124" s="248">
        <v>13.5</v>
      </c>
      <c r="K124" s="247">
        <v>0</v>
      </c>
      <c r="L124" s="212">
        <v>1.5</v>
      </c>
      <c r="M124" s="212">
        <f t="shared" si="11"/>
        <v>17</v>
      </c>
      <c r="N124" s="212">
        <f t="shared" si="12"/>
        <v>16</v>
      </c>
      <c r="O124" s="212">
        <f t="shared" si="13"/>
        <v>54</v>
      </c>
      <c r="P124" s="212">
        <f t="shared" si="14"/>
        <v>0</v>
      </c>
      <c r="Q124" s="212">
        <f t="shared" si="15"/>
        <v>12</v>
      </c>
      <c r="R124" s="212">
        <f t="shared" si="16"/>
        <v>82</v>
      </c>
      <c r="S124" s="369" t="s">
        <v>1065</v>
      </c>
      <c r="T124" s="275" t="s">
        <v>1077</v>
      </c>
      <c r="U124" s="280">
        <v>158</v>
      </c>
      <c r="V124" s="280">
        <v>160</v>
      </c>
      <c r="W124" s="280">
        <v>160</v>
      </c>
      <c r="X124" s="276">
        <v>44039</v>
      </c>
      <c r="Y124" s="277">
        <v>44075</v>
      </c>
      <c r="Z124" s="26">
        <v>44097</v>
      </c>
      <c r="AA124" s="273">
        <f t="shared" si="17"/>
        <v>2020</v>
      </c>
      <c r="AB124" s="273">
        <f t="shared" si="18"/>
        <v>9</v>
      </c>
      <c r="AC124" s="278" t="s">
        <v>920</v>
      </c>
      <c r="AD124" s="278" t="s">
        <v>422</v>
      </c>
      <c r="AE124" s="278" t="s">
        <v>422</v>
      </c>
      <c r="AF124" s="278" t="s">
        <v>422</v>
      </c>
      <c r="AG124" s="278" t="s">
        <v>422</v>
      </c>
      <c r="AH124" s="278" t="s">
        <v>422</v>
      </c>
      <c r="AI124" s="278" t="s">
        <v>423</v>
      </c>
      <c r="AJ124" s="278" t="s">
        <v>423</v>
      </c>
      <c r="AK124" s="278" t="s">
        <v>423</v>
      </c>
      <c r="AL124" s="279" t="s">
        <v>140</v>
      </c>
      <c r="AM124" s="241"/>
      <c r="AN124" s="241"/>
    </row>
    <row r="125" spans="1:40" ht="15" customHeight="1" x14ac:dyDescent="0.3">
      <c r="A125" s="185">
        <v>130</v>
      </c>
      <c r="B125" s="247" t="s">
        <v>1052</v>
      </c>
      <c r="C125" s="247" t="s">
        <v>1615</v>
      </c>
      <c r="D125" s="199" t="s">
        <v>1881</v>
      </c>
      <c r="E125" s="247"/>
      <c r="F125" s="247"/>
      <c r="G125" s="368" t="s">
        <v>1604</v>
      </c>
      <c r="H125" s="248" t="s">
        <v>1956</v>
      </c>
      <c r="I125" s="357">
        <v>2</v>
      </c>
      <c r="J125" s="248">
        <v>7</v>
      </c>
      <c r="K125" s="247">
        <v>0</v>
      </c>
      <c r="L125" s="212">
        <v>1</v>
      </c>
      <c r="M125" s="212">
        <f t="shared" si="11"/>
        <v>10</v>
      </c>
      <c r="N125" s="212">
        <f t="shared" si="12"/>
        <v>16</v>
      </c>
      <c r="O125" s="212">
        <f t="shared" si="13"/>
        <v>28</v>
      </c>
      <c r="P125" s="212">
        <f t="shared" si="14"/>
        <v>0</v>
      </c>
      <c r="Q125" s="212">
        <f t="shared" si="15"/>
        <v>8</v>
      </c>
      <c r="R125" s="212">
        <f t="shared" si="16"/>
        <v>52</v>
      </c>
      <c r="S125" s="369" t="s">
        <v>1067</v>
      </c>
      <c r="T125" s="275" t="s">
        <v>1080</v>
      </c>
      <c r="U125" s="280">
        <v>137</v>
      </c>
      <c r="V125" s="280">
        <f>113+24</f>
        <v>137</v>
      </c>
      <c r="W125" s="280">
        <f>113+24</f>
        <v>137</v>
      </c>
      <c r="X125" s="276">
        <v>44039</v>
      </c>
      <c r="Y125" s="277">
        <v>44075</v>
      </c>
      <c r="Z125" s="277">
        <v>44097</v>
      </c>
      <c r="AA125" s="273">
        <f t="shared" si="17"/>
        <v>2020</v>
      </c>
      <c r="AB125" s="273">
        <f t="shared" si="18"/>
        <v>9</v>
      </c>
      <c r="AC125" s="278" t="s">
        <v>920</v>
      </c>
      <c r="AD125" s="278" t="s">
        <v>422</v>
      </c>
      <c r="AE125" s="278" t="s">
        <v>422</v>
      </c>
      <c r="AF125" s="278" t="s">
        <v>422</v>
      </c>
      <c r="AG125" s="278" t="s">
        <v>422</v>
      </c>
      <c r="AH125" s="278" t="s">
        <v>422</v>
      </c>
      <c r="AI125" s="278" t="s">
        <v>423</v>
      </c>
      <c r="AJ125" s="278" t="s">
        <v>423</v>
      </c>
      <c r="AK125" s="278" t="s">
        <v>423</v>
      </c>
      <c r="AL125" s="279" t="s">
        <v>1240</v>
      </c>
      <c r="AM125" s="241"/>
      <c r="AN125" s="241"/>
    </row>
    <row r="126" spans="1:40" ht="15" customHeight="1" x14ac:dyDescent="0.3">
      <c r="A126" s="185">
        <v>140</v>
      </c>
      <c r="B126" s="247" t="s">
        <v>1090</v>
      </c>
      <c r="C126" s="247" t="s">
        <v>1615</v>
      </c>
      <c r="D126" s="199" t="s">
        <v>1881</v>
      </c>
      <c r="E126" s="247"/>
      <c r="F126" s="247"/>
      <c r="G126" s="368" t="s">
        <v>1604</v>
      </c>
      <c r="H126" s="247" t="s">
        <v>1942</v>
      </c>
      <c r="I126" s="357">
        <v>2</v>
      </c>
      <c r="J126" s="247">
        <v>11.5</v>
      </c>
      <c r="K126" s="247">
        <v>0</v>
      </c>
      <c r="L126" s="212">
        <v>1.5</v>
      </c>
      <c r="M126" s="212">
        <f t="shared" si="11"/>
        <v>15</v>
      </c>
      <c r="N126" s="212">
        <f t="shared" si="12"/>
        <v>16</v>
      </c>
      <c r="O126" s="212">
        <f t="shared" si="13"/>
        <v>46</v>
      </c>
      <c r="P126" s="212">
        <f t="shared" si="14"/>
        <v>0</v>
      </c>
      <c r="Q126" s="212">
        <f t="shared" si="15"/>
        <v>12</v>
      </c>
      <c r="R126" s="212">
        <f t="shared" si="16"/>
        <v>74</v>
      </c>
      <c r="S126" s="369" t="s">
        <v>1127</v>
      </c>
      <c r="T126" s="275" t="s">
        <v>1018</v>
      </c>
      <c r="U126" s="280">
        <v>122</v>
      </c>
      <c r="V126" s="280">
        <v>125</v>
      </c>
      <c r="W126" s="280">
        <v>125</v>
      </c>
      <c r="X126" s="276">
        <v>44050</v>
      </c>
      <c r="Y126" s="277">
        <v>44119</v>
      </c>
      <c r="Z126" s="277">
        <v>44097</v>
      </c>
      <c r="AA126" s="273">
        <f t="shared" si="17"/>
        <v>2020</v>
      </c>
      <c r="AB126" s="273">
        <f t="shared" si="18"/>
        <v>9</v>
      </c>
      <c r="AC126" s="278" t="s">
        <v>920</v>
      </c>
      <c r="AD126" s="278" t="s">
        <v>422</v>
      </c>
      <c r="AE126" s="278" t="s">
        <v>422</v>
      </c>
      <c r="AF126" s="278" t="s">
        <v>422</v>
      </c>
      <c r="AG126" s="278" t="s">
        <v>422</v>
      </c>
      <c r="AH126" s="278" t="s">
        <v>422</v>
      </c>
      <c r="AI126" s="278" t="s">
        <v>423</v>
      </c>
      <c r="AJ126" s="278" t="s">
        <v>422</v>
      </c>
      <c r="AK126" s="278" t="s">
        <v>423</v>
      </c>
      <c r="AL126" s="279" t="s">
        <v>546</v>
      </c>
      <c r="AM126" s="241"/>
      <c r="AN126" s="241"/>
    </row>
    <row r="127" spans="1:40" ht="15" customHeight="1" x14ac:dyDescent="0.3">
      <c r="A127" s="185">
        <v>141</v>
      </c>
      <c r="B127" s="247" t="s">
        <v>1091</v>
      </c>
      <c r="C127" s="247" t="s">
        <v>1615</v>
      </c>
      <c r="D127" s="199" t="s">
        <v>1881</v>
      </c>
      <c r="E127" s="247"/>
      <c r="F127" s="247"/>
      <c r="G127" s="368" t="s">
        <v>1604</v>
      </c>
      <c r="H127" s="247" t="s">
        <v>1942</v>
      </c>
      <c r="I127" s="357">
        <v>2</v>
      </c>
      <c r="J127" s="247">
        <v>10.3</v>
      </c>
      <c r="K127" s="247">
        <v>0</v>
      </c>
      <c r="L127" s="212">
        <v>1</v>
      </c>
      <c r="M127" s="212">
        <f t="shared" si="11"/>
        <v>13.3</v>
      </c>
      <c r="N127" s="212">
        <f t="shared" si="12"/>
        <v>16</v>
      </c>
      <c r="O127" s="212">
        <f t="shared" si="13"/>
        <v>41.2</v>
      </c>
      <c r="P127" s="212">
        <f t="shared" si="14"/>
        <v>0</v>
      </c>
      <c r="Q127" s="212">
        <f t="shared" si="15"/>
        <v>8</v>
      </c>
      <c r="R127" s="212">
        <f t="shared" si="16"/>
        <v>65.2</v>
      </c>
      <c r="S127" s="369" t="s">
        <v>1126</v>
      </c>
      <c r="T127" s="275" t="s">
        <v>1017</v>
      </c>
      <c r="U127" s="280">
        <v>72</v>
      </c>
      <c r="V127" s="280">
        <v>74</v>
      </c>
      <c r="W127" s="280">
        <v>74</v>
      </c>
      <c r="X127" s="276">
        <v>44050</v>
      </c>
      <c r="Y127" s="277">
        <v>44119</v>
      </c>
      <c r="Z127" s="277">
        <v>44097</v>
      </c>
      <c r="AA127" s="273">
        <f t="shared" si="17"/>
        <v>2020</v>
      </c>
      <c r="AB127" s="273">
        <f t="shared" si="18"/>
        <v>9</v>
      </c>
      <c r="AC127" s="278" t="s">
        <v>920</v>
      </c>
      <c r="AD127" s="278" t="s">
        <v>422</v>
      </c>
      <c r="AE127" s="278" t="s">
        <v>422</v>
      </c>
      <c r="AF127" s="278" t="s">
        <v>422</v>
      </c>
      <c r="AG127" s="278" t="s">
        <v>422</v>
      </c>
      <c r="AH127" s="278" t="s">
        <v>422</v>
      </c>
      <c r="AI127" s="278" t="s">
        <v>423</v>
      </c>
      <c r="AJ127" s="278" t="s">
        <v>422</v>
      </c>
      <c r="AK127" s="278" t="s">
        <v>423</v>
      </c>
      <c r="AL127" s="279" t="s">
        <v>546</v>
      </c>
      <c r="AM127" s="241"/>
      <c r="AN127" s="241"/>
    </row>
    <row r="128" spans="1:40" ht="15" customHeight="1" x14ac:dyDescent="0.3">
      <c r="A128" s="185">
        <v>186</v>
      </c>
      <c r="B128" s="247" t="s">
        <v>1186</v>
      </c>
      <c r="C128" s="247" t="s">
        <v>1615</v>
      </c>
      <c r="D128" s="200" t="s">
        <v>1881</v>
      </c>
      <c r="E128" s="247"/>
      <c r="F128" s="247"/>
      <c r="G128" s="368" t="s">
        <v>1604</v>
      </c>
      <c r="H128" s="247" t="s">
        <v>1942</v>
      </c>
      <c r="I128" s="357">
        <v>2</v>
      </c>
      <c r="J128" s="247">
        <v>103</v>
      </c>
      <c r="K128" s="247">
        <v>0</v>
      </c>
      <c r="L128" s="212">
        <v>1</v>
      </c>
      <c r="M128" s="212">
        <f t="shared" si="11"/>
        <v>106</v>
      </c>
      <c r="N128" s="212">
        <f t="shared" si="12"/>
        <v>16</v>
      </c>
      <c r="O128" s="212">
        <f t="shared" si="13"/>
        <v>412</v>
      </c>
      <c r="P128" s="212">
        <f t="shared" si="14"/>
        <v>0</v>
      </c>
      <c r="Q128" s="212">
        <f t="shared" si="15"/>
        <v>8</v>
      </c>
      <c r="R128" s="212">
        <f t="shared" si="16"/>
        <v>436</v>
      </c>
      <c r="S128" s="369" t="s">
        <v>1193</v>
      </c>
      <c r="T128" s="275" t="s">
        <v>1017</v>
      </c>
      <c r="U128" s="280">
        <v>17</v>
      </c>
      <c r="V128" s="280">
        <v>18</v>
      </c>
      <c r="W128" s="280">
        <v>18</v>
      </c>
      <c r="X128" s="276">
        <v>44085</v>
      </c>
      <c r="Y128" s="276">
        <v>44092</v>
      </c>
      <c r="Z128" s="277">
        <v>44094</v>
      </c>
      <c r="AA128" s="273">
        <f t="shared" si="17"/>
        <v>2020</v>
      </c>
      <c r="AB128" s="273">
        <f t="shared" si="18"/>
        <v>9</v>
      </c>
      <c r="AC128" s="278" t="s">
        <v>920</v>
      </c>
      <c r="AD128" s="278" t="s">
        <v>422</v>
      </c>
      <c r="AE128" s="278" t="s">
        <v>423</v>
      </c>
      <c r="AF128" s="278" t="s">
        <v>422</v>
      </c>
      <c r="AG128" s="278" t="s">
        <v>422</v>
      </c>
      <c r="AH128" s="278" t="s">
        <v>423</v>
      </c>
      <c r="AI128" s="278" t="s">
        <v>422</v>
      </c>
      <c r="AJ128" s="278" t="s">
        <v>423</v>
      </c>
      <c r="AK128" s="278" t="s">
        <v>423</v>
      </c>
      <c r="AL128" s="279" t="s">
        <v>546</v>
      </c>
      <c r="AM128" s="241"/>
      <c r="AN128" s="242" t="s">
        <v>1263</v>
      </c>
    </row>
    <row r="129" spans="1:40" ht="15" customHeight="1" x14ac:dyDescent="0.3">
      <c r="A129" s="185">
        <v>42</v>
      </c>
      <c r="B129" s="247" t="s">
        <v>998</v>
      </c>
      <c r="C129" s="247" t="s">
        <v>1615</v>
      </c>
      <c r="D129" s="200" t="s">
        <v>1881</v>
      </c>
      <c r="E129" s="247"/>
      <c r="F129" s="247"/>
      <c r="G129" s="247" t="s">
        <v>1940</v>
      </c>
      <c r="H129" s="247" t="s">
        <v>1957</v>
      </c>
      <c r="I129" s="357">
        <v>2</v>
      </c>
      <c r="J129" s="247">
        <v>5.5</v>
      </c>
      <c r="K129" s="247">
        <v>8</v>
      </c>
      <c r="L129" s="212">
        <v>1</v>
      </c>
      <c r="M129" s="212">
        <f t="shared" si="11"/>
        <v>16.5</v>
      </c>
      <c r="N129" s="212">
        <f t="shared" si="12"/>
        <v>16</v>
      </c>
      <c r="O129" s="212">
        <f t="shared" si="13"/>
        <v>22</v>
      </c>
      <c r="P129" s="212">
        <f t="shared" si="14"/>
        <v>53.333333333333336</v>
      </c>
      <c r="Q129" s="212">
        <f t="shared" si="15"/>
        <v>8</v>
      </c>
      <c r="R129" s="212">
        <f t="shared" si="16"/>
        <v>99.333333333333343</v>
      </c>
      <c r="S129" s="370" t="s">
        <v>1002</v>
      </c>
      <c r="T129" s="371" t="s">
        <v>1006</v>
      </c>
      <c r="U129" s="370">
        <v>28</v>
      </c>
      <c r="V129" s="370">
        <v>29</v>
      </c>
      <c r="W129" s="370">
        <v>29</v>
      </c>
      <c r="X129" s="3">
        <v>43781</v>
      </c>
      <c r="Y129" s="26">
        <v>43905</v>
      </c>
      <c r="Z129" s="26">
        <v>44134</v>
      </c>
      <c r="AA129" s="273">
        <f t="shared" si="17"/>
        <v>2020</v>
      </c>
      <c r="AB129" s="273">
        <f t="shared" si="18"/>
        <v>10</v>
      </c>
      <c r="AC129" s="211" t="s">
        <v>920</v>
      </c>
      <c r="AD129" s="194" t="s">
        <v>422</v>
      </c>
      <c r="AE129" s="194" t="s">
        <v>422</v>
      </c>
      <c r="AF129" s="194" t="s">
        <v>422</v>
      </c>
      <c r="AG129" s="194" t="s">
        <v>422</v>
      </c>
      <c r="AH129" s="194" t="s">
        <v>423</v>
      </c>
      <c r="AI129" s="194" t="s">
        <v>422</v>
      </c>
      <c r="AJ129" s="194" t="s">
        <v>423</v>
      </c>
      <c r="AK129" s="194" t="s">
        <v>423</v>
      </c>
      <c r="AL129" s="232" t="s">
        <v>1249</v>
      </c>
      <c r="AM129" s="209"/>
      <c r="AN129" s="209"/>
    </row>
    <row r="130" spans="1:40" ht="15" customHeight="1" x14ac:dyDescent="0.3">
      <c r="A130" s="185">
        <v>88</v>
      </c>
      <c r="B130" s="247" t="s">
        <v>908</v>
      </c>
      <c r="C130" s="247" t="s">
        <v>1615</v>
      </c>
      <c r="D130" s="200" t="s">
        <v>1881</v>
      </c>
      <c r="E130" s="247"/>
      <c r="F130" s="247"/>
      <c r="G130" s="368" t="s">
        <v>1604</v>
      </c>
      <c r="H130" s="247" t="s">
        <v>1428</v>
      </c>
      <c r="I130" s="357">
        <v>2</v>
      </c>
      <c r="J130" s="247">
        <v>6</v>
      </c>
      <c r="K130" s="247">
        <v>0</v>
      </c>
      <c r="L130" s="212">
        <v>1</v>
      </c>
      <c r="M130" s="212">
        <f t="shared" si="11"/>
        <v>9</v>
      </c>
      <c r="N130" s="212">
        <f t="shared" si="12"/>
        <v>16</v>
      </c>
      <c r="O130" s="212">
        <f t="shared" si="13"/>
        <v>24</v>
      </c>
      <c r="P130" s="212">
        <f t="shared" si="14"/>
        <v>0</v>
      </c>
      <c r="Q130" s="212">
        <f t="shared" si="15"/>
        <v>8</v>
      </c>
      <c r="R130" s="212">
        <f t="shared" si="16"/>
        <v>48</v>
      </c>
      <c r="S130" s="273" t="s">
        <v>942</v>
      </c>
      <c r="T130" s="275" t="s">
        <v>946</v>
      </c>
      <c r="U130" s="273">
        <v>50</v>
      </c>
      <c r="V130" s="273">
        <v>52</v>
      </c>
      <c r="W130" s="273">
        <v>52</v>
      </c>
      <c r="X130" s="276">
        <v>43875</v>
      </c>
      <c r="Y130" s="277">
        <v>43936</v>
      </c>
      <c r="Z130" s="26">
        <v>44134</v>
      </c>
      <c r="AA130" s="273">
        <f t="shared" si="17"/>
        <v>2020</v>
      </c>
      <c r="AB130" s="273">
        <f t="shared" si="18"/>
        <v>10</v>
      </c>
      <c r="AC130" s="217" t="s">
        <v>920</v>
      </c>
      <c r="AD130" s="194" t="s">
        <v>422</v>
      </c>
      <c r="AE130" s="194" t="s">
        <v>422</v>
      </c>
      <c r="AF130" s="194" t="s">
        <v>422</v>
      </c>
      <c r="AG130" s="194" t="s">
        <v>422</v>
      </c>
      <c r="AH130" s="194" t="s">
        <v>422</v>
      </c>
      <c r="AI130" s="194" t="s">
        <v>422</v>
      </c>
      <c r="AJ130" s="194" t="s">
        <v>423</v>
      </c>
      <c r="AK130" s="194" t="s">
        <v>423</v>
      </c>
      <c r="AL130" s="227" t="s">
        <v>138</v>
      </c>
      <c r="AM130" s="223"/>
      <c r="AN130" s="223"/>
    </row>
    <row r="131" spans="1:40" ht="15" customHeight="1" x14ac:dyDescent="0.3">
      <c r="A131" s="185">
        <v>89</v>
      </c>
      <c r="B131" s="247" t="s">
        <v>909</v>
      </c>
      <c r="C131" s="247" t="s">
        <v>1615</v>
      </c>
      <c r="D131" s="200" t="s">
        <v>1881</v>
      </c>
      <c r="E131" s="247"/>
      <c r="F131" s="247"/>
      <c r="G131" s="368" t="s">
        <v>1604</v>
      </c>
      <c r="H131" s="247" t="s">
        <v>1428</v>
      </c>
      <c r="I131" s="357">
        <v>2</v>
      </c>
      <c r="J131" s="247">
        <v>6.4</v>
      </c>
      <c r="K131" s="247">
        <v>0</v>
      </c>
      <c r="L131" s="212">
        <v>1</v>
      </c>
      <c r="M131" s="212">
        <f t="shared" si="11"/>
        <v>9.4</v>
      </c>
      <c r="N131" s="212">
        <f t="shared" si="12"/>
        <v>16</v>
      </c>
      <c r="O131" s="212">
        <f t="shared" si="13"/>
        <v>25.6</v>
      </c>
      <c r="P131" s="212">
        <f t="shared" si="14"/>
        <v>0</v>
      </c>
      <c r="Q131" s="212">
        <f t="shared" si="15"/>
        <v>8</v>
      </c>
      <c r="R131" s="212">
        <f t="shared" si="16"/>
        <v>49.6</v>
      </c>
      <c r="S131" s="273" t="s">
        <v>943</v>
      </c>
      <c r="T131" s="275" t="s">
        <v>945</v>
      </c>
      <c r="U131" s="273">
        <v>72</v>
      </c>
      <c r="V131" s="273">
        <v>74</v>
      </c>
      <c r="W131" s="273">
        <v>74</v>
      </c>
      <c r="X131" s="276">
        <v>43875</v>
      </c>
      <c r="Y131" s="277">
        <v>43936</v>
      </c>
      <c r="Z131" s="26">
        <v>44134</v>
      </c>
      <c r="AA131" s="273">
        <f t="shared" si="17"/>
        <v>2020</v>
      </c>
      <c r="AB131" s="273">
        <f t="shared" si="18"/>
        <v>10</v>
      </c>
      <c r="AC131" s="217" t="s">
        <v>920</v>
      </c>
      <c r="AD131" s="194" t="s">
        <v>422</v>
      </c>
      <c r="AE131" s="194" t="s">
        <v>422</v>
      </c>
      <c r="AF131" s="194" t="s">
        <v>422</v>
      </c>
      <c r="AG131" s="194" t="s">
        <v>422</v>
      </c>
      <c r="AH131" s="194" t="s">
        <v>422</v>
      </c>
      <c r="AI131" s="194" t="s">
        <v>422</v>
      </c>
      <c r="AJ131" s="194" t="s">
        <v>423</v>
      </c>
      <c r="AK131" s="194" t="s">
        <v>423</v>
      </c>
      <c r="AL131" s="227" t="s">
        <v>138</v>
      </c>
      <c r="AM131" s="223"/>
      <c r="AN131" s="223"/>
    </row>
    <row r="132" spans="1:40" ht="15" customHeight="1" x14ac:dyDescent="0.3">
      <c r="A132" s="185">
        <v>90</v>
      </c>
      <c r="B132" s="247" t="s">
        <v>910</v>
      </c>
      <c r="C132" s="247" t="s">
        <v>1615</v>
      </c>
      <c r="D132" s="200" t="s">
        <v>1881</v>
      </c>
      <c r="E132" s="247"/>
      <c r="F132" s="247"/>
      <c r="G132" s="247" t="s">
        <v>1940</v>
      </c>
      <c r="H132" s="247"/>
      <c r="I132" s="357">
        <v>2</v>
      </c>
      <c r="J132" s="358">
        <v>7.5</v>
      </c>
      <c r="K132" s="247">
        <v>32</v>
      </c>
      <c r="L132" s="212">
        <v>1</v>
      </c>
      <c r="M132" s="212">
        <f t="shared" si="11"/>
        <v>42.5</v>
      </c>
      <c r="N132" s="212">
        <f t="shared" si="12"/>
        <v>16</v>
      </c>
      <c r="O132" s="212">
        <f t="shared" si="13"/>
        <v>30</v>
      </c>
      <c r="P132" s="212">
        <f t="shared" si="14"/>
        <v>213.33333333333334</v>
      </c>
      <c r="Q132" s="212">
        <f t="shared" si="15"/>
        <v>8</v>
      </c>
      <c r="R132" s="212">
        <f t="shared" si="16"/>
        <v>267.33333333333337</v>
      </c>
      <c r="S132" s="273" t="s">
        <v>944</v>
      </c>
      <c r="T132" s="275" t="s">
        <v>947</v>
      </c>
      <c r="U132" s="273">
        <v>24</v>
      </c>
      <c r="V132" s="273">
        <v>26</v>
      </c>
      <c r="W132" s="273">
        <v>26</v>
      </c>
      <c r="X132" s="276">
        <v>43875</v>
      </c>
      <c r="Y132" s="277">
        <v>43936</v>
      </c>
      <c r="Z132" s="26">
        <v>44134</v>
      </c>
      <c r="AA132" s="273">
        <f t="shared" si="17"/>
        <v>2020</v>
      </c>
      <c r="AB132" s="273">
        <f t="shared" si="18"/>
        <v>10</v>
      </c>
      <c r="AC132" s="217" t="s">
        <v>920</v>
      </c>
      <c r="AD132" s="194" t="s">
        <v>422</v>
      </c>
      <c r="AE132" s="194" t="s">
        <v>422</v>
      </c>
      <c r="AF132" s="194" t="s">
        <v>422</v>
      </c>
      <c r="AG132" s="194" t="s">
        <v>422</v>
      </c>
      <c r="AH132" s="194" t="s">
        <v>422</v>
      </c>
      <c r="AI132" s="194" t="s">
        <v>422</v>
      </c>
      <c r="AJ132" s="194" t="s">
        <v>423</v>
      </c>
      <c r="AK132" s="194" t="s">
        <v>423</v>
      </c>
      <c r="AL132" s="227" t="s">
        <v>1249</v>
      </c>
      <c r="AM132" s="223"/>
      <c r="AN132" s="223"/>
    </row>
    <row r="133" spans="1:40" ht="15" customHeight="1" x14ac:dyDescent="0.3">
      <c r="A133" s="185">
        <v>129</v>
      </c>
      <c r="B133" s="247" t="s">
        <v>1053</v>
      </c>
      <c r="C133" s="247" t="s">
        <v>1615</v>
      </c>
      <c r="D133" s="200" t="s">
        <v>1881</v>
      </c>
      <c r="E133" s="247"/>
      <c r="F133" s="247" t="s">
        <v>1597</v>
      </c>
      <c r="G133" s="368" t="s">
        <v>1604</v>
      </c>
      <c r="H133" s="248" t="s">
        <v>1956</v>
      </c>
      <c r="I133" s="359">
        <v>2</v>
      </c>
      <c r="J133" s="248">
        <v>13</v>
      </c>
      <c r="K133" s="248">
        <v>0</v>
      </c>
      <c r="L133" s="212">
        <v>1</v>
      </c>
      <c r="M133" s="212">
        <f t="shared" ref="M133:M195" si="20">SUM((I133:L133))</f>
        <v>16</v>
      </c>
      <c r="N133" s="212">
        <f t="shared" ref="N133:N195" si="21">+I133/0.125</f>
        <v>16</v>
      </c>
      <c r="O133" s="212">
        <f t="shared" ref="O133:O195" si="22">+J133/0.25</f>
        <v>52</v>
      </c>
      <c r="P133" s="212">
        <f t="shared" ref="P133:P195" si="23">+K133/0.15</f>
        <v>0</v>
      </c>
      <c r="Q133" s="212">
        <f t="shared" ref="Q133:Q195" si="24">+L133/0.125</f>
        <v>8</v>
      </c>
      <c r="R133" s="212">
        <f t="shared" ref="R133:R195" si="25">SUM(N133:Q133)</f>
        <v>76</v>
      </c>
      <c r="S133" s="369" t="s">
        <v>1066</v>
      </c>
      <c r="T133" s="275" t="s">
        <v>1079</v>
      </c>
      <c r="U133" s="280">
        <v>137</v>
      </c>
      <c r="V133" s="280">
        <v>139</v>
      </c>
      <c r="W133" s="280">
        <v>139</v>
      </c>
      <c r="X133" s="276">
        <v>44039</v>
      </c>
      <c r="Y133" s="277">
        <v>44075</v>
      </c>
      <c r="Z133" s="277">
        <v>44134</v>
      </c>
      <c r="AA133" s="273">
        <f t="shared" ref="AA133:AA195" si="26">IF(YEAR(Z133)&gt;2000,YEAR(Z133),YEAR(Y133))</f>
        <v>2020</v>
      </c>
      <c r="AB133" s="273">
        <f t="shared" ref="AB133:AB195" si="27">MONTH(Z133)</f>
        <v>10</v>
      </c>
      <c r="AC133" s="278" t="s">
        <v>920</v>
      </c>
      <c r="AD133" s="278" t="s">
        <v>422</v>
      </c>
      <c r="AE133" s="278" t="s">
        <v>422</v>
      </c>
      <c r="AF133" s="278" t="s">
        <v>422</v>
      </c>
      <c r="AG133" s="278" t="s">
        <v>422</v>
      </c>
      <c r="AH133" s="278" t="s">
        <v>422</v>
      </c>
      <c r="AI133" s="278" t="s">
        <v>423</v>
      </c>
      <c r="AJ133" s="278" t="s">
        <v>423</v>
      </c>
      <c r="AK133" s="278" t="s">
        <v>423</v>
      </c>
      <c r="AL133" s="279" t="s">
        <v>1241</v>
      </c>
      <c r="AM133" s="241"/>
      <c r="AN133" s="241"/>
    </row>
    <row r="134" spans="1:40" ht="15" customHeight="1" x14ac:dyDescent="0.3">
      <c r="A134" s="185">
        <v>131</v>
      </c>
      <c r="B134" s="247" t="s">
        <v>1051</v>
      </c>
      <c r="C134" s="247" t="s">
        <v>1615</v>
      </c>
      <c r="D134" s="200" t="s">
        <v>1881</v>
      </c>
      <c r="E134" s="247"/>
      <c r="F134" s="247"/>
      <c r="G134" s="368" t="s">
        <v>1604</v>
      </c>
      <c r="H134" s="248" t="s">
        <v>1956</v>
      </c>
      <c r="I134" s="359">
        <v>2</v>
      </c>
      <c r="J134" s="248">
        <v>12.5</v>
      </c>
      <c r="K134" s="248">
        <v>0</v>
      </c>
      <c r="L134" s="212">
        <v>1</v>
      </c>
      <c r="M134" s="212">
        <f t="shared" si="20"/>
        <v>15.5</v>
      </c>
      <c r="N134" s="212">
        <f t="shared" si="21"/>
        <v>16</v>
      </c>
      <c r="O134" s="212">
        <f t="shared" si="22"/>
        <v>50</v>
      </c>
      <c r="P134" s="212">
        <f t="shared" si="23"/>
        <v>0</v>
      </c>
      <c r="Q134" s="212">
        <f t="shared" si="24"/>
        <v>8</v>
      </c>
      <c r="R134" s="212">
        <f t="shared" si="25"/>
        <v>74</v>
      </c>
      <c r="S134" s="369" t="s">
        <v>1068</v>
      </c>
      <c r="T134" s="275" t="s">
        <v>1081</v>
      </c>
      <c r="U134" s="280">
        <v>204</v>
      </c>
      <c r="V134" s="280">
        <v>206</v>
      </c>
      <c r="W134" s="280">
        <v>206</v>
      </c>
      <c r="X134" s="276">
        <v>44039</v>
      </c>
      <c r="Y134" s="277">
        <v>44075</v>
      </c>
      <c r="Z134" s="277">
        <v>44134</v>
      </c>
      <c r="AA134" s="273">
        <f t="shared" si="26"/>
        <v>2020</v>
      </c>
      <c r="AB134" s="273">
        <f t="shared" si="27"/>
        <v>10</v>
      </c>
      <c r="AC134" s="278" t="s">
        <v>920</v>
      </c>
      <c r="AD134" s="278" t="s">
        <v>422</v>
      </c>
      <c r="AE134" s="278" t="s">
        <v>422</v>
      </c>
      <c r="AF134" s="278" t="s">
        <v>422</v>
      </c>
      <c r="AG134" s="278" t="s">
        <v>422</v>
      </c>
      <c r="AH134" s="278" t="s">
        <v>422</v>
      </c>
      <c r="AI134" s="278" t="s">
        <v>423</v>
      </c>
      <c r="AJ134" s="278" t="s">
        <v>423</v>
      </c>
      <c r="AK134" s="278" t="s">
        <v>423</v>
      </c>
      <c r="AL134" s="279" t="s">
        <v>1242</v>
      </c>
      <c r="AM134" s="241"/>
      <c r="AN134" s="241"/>
    </row>
    <row r="135" spans="1:40" ht="15" customHeight="1" x14ac:dyDescent="0.3">
      <c r="A135" s="185">
        <v>132</v>
      </c>
      <c r="B135" s="247" t="s">
        <v>1056</v>
      </c>
      <c r="C135" s="247" t="s">
        <v>1615</v>
      </c>
      <c r="D135" s="200" t="s">
        <v>1881</v>
      </c>
      <c r="E135" s="247"/>
      <c r="F135" s="247"/>
      <c r="G135" s="368" t="s">
        <v>1604</v>
      </c>
      <c r="H135" s="248" t="s">
        <v>1010</v>
      </c>
      <c r="I135" s="359">
        <v>2</v>
      </c>
      <c r="J135" s="248">
        <v>15</v>
      </c>
      <c r="K135" s="248">
        <v>0</v>
      </c>
      <c r="L135" s="212">
        <v>1</v>
      </c>
      <c r="M135" s="212">
        <f t="shared" si="20"/>
        <v>18</v>
      </c>
      <c r="N135" s="212">
        <f t="shared" si="21"/>
        <v>16</v>
      </c>
      <c r="O135" s="212">
        <f t="shared" si="22"/>
        <v>60</v>
      </c>
      <c r="P135" s="212">
        <f t="shared" si="23"/>
        <v>0</v>
      </c>
      <c r="Q135" s="212">
        <f t="shared" si="24"/>
        <v>8</v>
      </c>
      <c r="R135" s="212">
        <f t="shared" si="25"/>
        <v>84</v>
      </c>
      <c r="S135" s="369" t="s">
        <v>1069</v>
      </c>
      <c r="T135" s="275" t="s">
        <v>1082</v>
      </c>
      <c r="U135" s="280">
        <v>86</v>
      </c>
      <c r="V135" s="280">
        <v>88</v>
      </c>
      <c r="W135" s="280">
        <v>88</v>
      </c>
      <c r="X135" s="276">
        <v>44039</v>
      </c>
      <c r="Y135" s="277">
        <v>44075</v>
      </c>
      <c r="Z135" s="277">
        <v>44134</v>
      </c>
      <c r="AA135" s="273">
        <f t="shared" si="26"/>
        <v>2020</v>
      </c>
      <c r="AB135" s="273">
        <f t="shared" si="27"/>
        <v>10</v>
      </c>
      <c r="AC135" s="278" t="s">
        <v>920</v>
      </c>
      <c r="AD135" s="278" t="s">
        <v>422</v>
      </c>
      <c r="AE135" s="278" t="s">
        <v>422</v>
      </c>
      <c r="AF135" s="278" t="s">
        <v>422</v>
      </c>
      <c r="AG135" s="278" t="s">
        <v>422</v>
      </c>
      <c r="AH135" s="278" t="s">
        <v>422</v>
      </c>
      <c r="AI135" s="278" t="s">
        <v>423</v>
      </c>
      <c r="AJ135" s="278" t="s">
        <v>423</v>
      </c>
      <c r="AK135" s="278" t="s">
        <v>423</v>
      </c>
      <c r="AL135" s="279" t="s">
        <v>140</v>
      </c>
      <c r="AM135" s="241"/>
      <c r="AN135" s="241"/>
    </row>
    <row r="136" spans="1:40" ht="15" customHeight="1" x14ac:dyDescent="0.3">
      <c r="A136" s="185">
        <v>133</v>
      </c>
      <c r="B136" s="247" t="s">
        <v>1057</v>
      </c>
      <c r="C136" s="247" t="s">
        <v>1615</v>
      </c>
      <c r="D136" s="200" t="s">
        <v>1881</v>
      </c>
      <c r="E136" s="247"/>
      <c r="F136" s="247"/>
      <c r="G136" s="368" t="s">
        <v>1604</v>
      </c>
      <c r="H136" s="248" t="s">
        <v>1943</v>
      </c>
      <c r="I136" s="359">
        <v>2</v>
      </c>
      <c r="J136" s="248">
        <v>9</v>
      </c>
      <c r="K136" s="248">
        <v>0</v>
      </c>
      <c r="L136" s="212">
        <v>1.5</v>
      </c>
      <c r="M136" s="212">
        <f t="shared" si="20"/>
        <v>12.5</v>
      </c>
      <c r="N136" s="212">
        <f t="shared" si="21"/>
        <v>16</v>
      </c>
      <c r="O136" s="212">
        <f t="shared" si="22"/>
        <v>36</v>
      </c>
      <c r="P136" s="212">
        <f t="shared" si="23"/>
        <v>0</v>
      </c>
      <c r="Q136" s="212">
        <f t="shared" si="24"/>
        <v>12</v>
      </c>
      <c r="R136" s="212">
        <f t="shared" si="25"/>
        <v>64</v>
      </c>
      <c r="S136" s="369" t="s">
        <v>1070</v>
      </c>
      <c r="T136" s="275" t="s">
        <v>1083</v>
      </c>
      <c r="U136" s="280">
        <v>102</v>
      </c>
      <c r="V136" s="280">
        <v>103</v>
      </c>
      <c r="W136" s="280">
        <v>103</v>
      </c>
      <c r="X136" s="276">
        <v>44039</v>
      </c>
      <c r="Y136" s="277">
        <v>44075</v>
      </c>
      <c r="Z136" s="277">
        <v>44134</v>
      </c>
      <c r="AA136" s="273">
        <f t="shared" si="26"/>
        <v>2020</v>
      </c>
      <c r="AB136" s="273">
        <f t="shared" si="27"/>
        <v>10</v>
      </c>
      <c r="AC136" s="278" t="s">
        <v>920</v>
      </c>
      <c r="AD136" s="278" t="s">
        <v>422</v>
      </c>
      <c r="AE136" s="278" t="s">
        <v>422</v>
      </c>
      <c r="AF136" s="278" t="s">
        <v>422</v>
      </c>
      <c r="AG136" s="278" t="s">
        <v>422</v>
      </c>
      <c r="AH136" s="278" t="s">
        <v>422</v>
      </c>
      <c r="AI136" s="278" t="s">
        <v>423</v>
      </c>
      <c r="AJ136" s="278" t="s">
        <v>422</v>
      </c>
      <c r="AK136" s="278" t="s">
        <v>423</v>
      </c>
      <c r="AL136" s="279" t="s">
        <v>1372</v>
      </c>
      <c r="AM136" s="241"/>
      <c r="AN136" s="241"/>
    </row>
    <row r="137" spans="1:40" ht="15" customHeight="1" x14ac:dyDescent="0.3">
      <c r="A137" s="185">
        <v>142</v>
      </c>
      <c r="B137" s="247" t="s">
        <v>1094</v>
      </c>
      <c r="C137" s="247" t="s">
        <v>1618</v>
      </c>
      <c r="D137" s="200" t="s">
        <v>1881</v>
      </c>
      <c r="E137" s="247"/>
      <c r="F137" s="247"/>
      <c r="G137" s="368" t="s">
        <v>1604</v>
      </c>
      <c r="H137" s="247" t="s">
        <v>1956</v>
      </c>
      <c r="I137" s="359">
        <v>2</v>
      </c>
      <c r="J137" s="247">
        <v>13</v>
      </c>
      <c r="K137" s="248">
        <v>0</v>
      </c>
      <c r="L137" s="212">
        <v>1</v>
      </c>
      <c r="M137" s="212">
        <f t="shared" si="20"/>
        <v>16</v>
      </c>
      <c r="N137" s="212">
        <f t="shared" si="21"/>
        <v>16</v>
      </c>
      <c r="O137" s="212">
        <f t="shared" si="22"/>
        <v>52</v>
      </c>
      <c r="P137" s="212">
        <f t="shared" si="23"/>
        <v>0</v>
      </c>
      <c r="Q137" s="212">
        <f t="shared" si="24"/>
        <v>8</v>
      </c>
      <c r="R137" s="212">
        <f t="shared" si="25"/>
        <v>76</v>
      </c>
      <c r="S137" s="369" t="s">
        <v>1139</v>
      </c>
      <c r="T137" s="372" t="s">
        <v>1138</v>
      </c>
      <c r="U137" s="280">
        <v>90</v>
      </c>
      <c r="V137" s="280">
        <v>92</v>
      </c>
      <c r="W137" s="280">
        <v>92</v>
      </c>
      <c r="X137" s="276">
        <v>44061</v>
      </c>
      <c r="Y137" s="276">
        <v>44061</v>
      </c>
      <c r="Z137" s="276">
        <v>44134</v>
      </c>
      <c r="AA137" s="273">
        <f t="shared" si="26"/>
        <v>2020</v>
      </c>
      <c r="AB137" s="273">
        <f t="shared" si="27"/>
        <v>10</v>
      </c>
      <c r="AC137" s="278" t="s">
        <v>920</v>
      </c>
      <c r="AD137" s="278" t="s">
        <v>422</v>
      </c>
      <c r="AE137" s="278" t="s">
        <v>422</v>
      </c>
      <c r="AF137" s="278" t="s">
        <v>422</v>
      </c>
      <c r="AG137" s="278" t="s">
        <v>422</v>
      </c>
      <c r="AH137" s="278" t="s">
        <v>422</v>
      </c>
      <c r="AI137" s="278" t="s">
        <v>423</v>
      </c>
      <c r="AJ137" s="278" t="s">
        <v>423</v>
      </c>
      <c r="AK137" s="278" t="s">
        <v>423</v>
      </c>
      <c r="AL137" s="279" t="s">
        <v>1240</v>
      </c>
      <c r="AM137" s="241"/>
      <c r="AN137" s="241"/>
    </row>
    <row r="138" spans="1:40" ht="15" customHeight="1" x14ac:dyDescent="0.3">
      <c r="A138" s="185">
        <v>143</v>
      </c>
      <c r="B138" s="247" t="s">
        <v>1095</v>
      </c>
      <c r="C138" s="247" t="s">
        <v>1618</v>
      </c>
      <c r="D138" s="200" t="s">
        <v>1881</v>
      </c>
      <c r="E138" s="247"/>
      <c r="F138" s="247"/>
      <c r="G138" s="368" t="s">
        <v>1604</v>
      </c>
      <c r="H138" s="247" t="s">
        <v>1010</v>
      </c>
      <c r="I138" s="359">
        <v>2</v>
      </c>
      <c r="J138" s="247">
        <v>12</v>
      </c>
      <c r="K138" s="248">
        <v>0</v>
      </c>
      <c r="L138" s="212">
        <v>1.5</v>
      </c>
      <c r="M138" s="212">
        <f t="shared" si="20"/>
        <v>15.5</v>
      </c>
      <c r="N138" s="212">
        <f t="shared" si="21"/>
        <v>16</v>
      </c>
      <c r="O138" s="212">
        <f t="shared" si="22"/>
        <v>48</v>
      </c>
      <c r="P138" s="212">
        <f t="shared" si="23"/>
        <v>0</v>
      </c>
      <c r="Q138" s="212">
        <f t="shared" si="24"/>
        <v>12</v>
      </c>
      <c r="R138" s="212">
        <f t="shared" si="25"/>
        <v>76</v>
      </c>
      <c r="S138" s="369" t="s">
        <v>1142</v>
      </c>
      <c r="T138" s="372" t="s">
        <v>1143</v>
      </c>
      <c r="U138" s="280">
        <v>120</v>
      </c>
      <c r="V138" s="280">
        <v>120</v>
      </c>
      <c r="W138" s="280">
        <v>120</v>
      </c>
      <c r="X138" s="276">
        <v>44061</v>
      </c>
      <c r="Y138" s="276">
        <v>44061</v>
      </c>
      <c r="Z138" s="276">
        <v>44134</v>
      </c>
      <c r="AA138" s="273">
        <f t="shared" si="26"/>
        <v>2020</v>
      </c>
      <c r="AB138" s="273">
        <f t="shared" si="27"/>
        <v>10</v>
      </c>
      <c r="AC138" s="278" t="s">
        <v>920</v>
      </c>
      <c r="AD138" s="278" t="s">
        <v>422</v>
      </c>
      <c r="AE138" s="278" t="s">
        <v>422</v>
      </c>
      <c r="AF138" s="278" t="s">
        <v>422</v>
      </c>
      <c r="AG138" s="278" t="s">
        <v>422</v>
      </c>
      <c r="AH138" s="278" t="s">
        <v>422</v>
      </c>
      <c r="AI138" s="278" t="s">
        <v>423</v>
      </c>
      <c r="AJ138" s="278" t="s">
        <v>422</v>
      </c>
      <c r="AK138" s="278" t="s">
        <v>423</v>
      </c>
      <c r="AL138" s="279" t="s">
        <v>140</v>
      </c>
      <c r="AM138" s="241"/>
      <c r="AN138" s="241"/>
    </row>
    <row r="139" spans="1:40" ht="15" customHeight="1" x14ac:dyDescent="0.3">
      <c r="A139" s="185">
        <v>144</v>
      </c>
      <c r="B139" s="247" t="s">
        <v>1096</v>
      </c>
      <c r="C139" s="247" t="s">
        <v>1618</v>
      </c>
      <c r="D139" s="200" t="s">
        <v>1881</v>
      </c>
      <c r="E139" s="247"/>
      <c r="F139" s="247"/>
      <c r="G139" s="368" t="s">
        <v>1604</v>
      </c>
      <c r="H139" s="247" t="s">
        <v>1943</v>
      </c>
      <c r="I139" s="359">
        <v>2</v>
      </c>
      <c r="J139" s="247">
        <v>7.5</v>
      </c>
      <c r="K139" s="248">
        <v>0</v>
      </c>
      <c r="L139" s="212">
        <v>1</v>
      </c>
      <c r="M139" s="212">
        <f t="shared" si="20"/>
        <v>10.5</v>
      </c>
      <c r="N139" s="212">
        <f t="shared" si="21"/>
        <v>16</v>
      </c>
      <c r="O139" s="212">
        <f t="shared" si="22"/>
        <v>30</v>
      </c>
      <c r="P139" s="212">
        <f t="shared" si="23"/>
        <v>0</v>
      </c>
      <c r="Q139" s="212">
        <f t="shared" si="24"/>
        <v>8</v>
      </c>
      <c r="R139" s="212">
        <f t="shared" si="25"/>
        <v>54</v>
      </c>
      <c r="S139" s="369" t="s">
        <v>1144</v>
      </c>
      <c r="T139" s="372" t="s">
        <v>1145</v>
      </c>
      <c r="U139" s="280">
        <v>69</v>
      </c>
      <c r="V139" s="280">
        <v>69</v>
      </c>
      <c r="W139" s="280">
        <v>69</v>
      </c>
      <c r="X139" s="276">
        <v>44061</v>
      </c>
      <c r="Y139" s="276">
        <v>44061</v>
      </c>
      <c r="Z139" s="276">
        <v>44134</v>
      </c>
      <c r="AA139" s="273">
        <f t="shared" si="26"/>
        <v>2020</v>
      </c>
      <c r="AB139" s="273">
        <f t="shared" si="27"/>
        <v>10</v>
      </c>
      <c r="AC139" s="278" t="s">
        <v>920</v>
      </c>
      <c r="AD139" s="278" t="s">
        <v>422</v>
      </c>
      <c r="AE139" s="278" t="s">
        <v>422</v>
      </c>
      <c r="AF139" s="278" t="s">
        <v>422</v>
      </c>
      <c r="AG139" s="278" t="s">
        <v>422</v>
      </c>
      <c r="AH139" s="278" t="s">
        <v>422</v>
      </c>
      <c r="AI139" s="278" t="s">
        <v>423</v>
      </c>
      <c r="AJ139" s="278" t="s">
        <v>422</v>
      </c>
      <c r="AK139" s="278" t="s">
        <v>423</v>
      </c>
      <c r="AL139" s="279" t="s">
        <v>1372</v>
      </c>
      <c r="AM139" s="241"/>
      <c r="AN139" s="241"/>
    </row>
    <row r="140" spans="1:40" ht="15" customHeight="1" x14ac:dyDescent="0.3">
      <c r="A140" s="185">
        <v>145</v>
      </c>
      <c r="B140" s="247" t="s">
        <v>1092</v>
      </c>
      <c r="C140" s="247" t="s">
        <v>1618</v>
      </c>
      <c r="D140" s="200" t="s">
        <v>1881</v>
      </c>
      <c r="E140" s="247"/>
      <c r="F140" s="247"/>
      <c r="G140" s="368" t="s">
        <v>1604</v>
      </c>
      <c r="H140" s="247" t="s">
        <v>1956</v>
      </c>
      <c r="I140" s="359">
        <v>2</v>
      </c>
      <c r="J140" s="247">
        <v>8.5</v>
      </c>
      <c r="K140" s="248">
        <v>0</v>
      </c>
      <c r="L140" s="212">
        <v>1.5</v>
      </c>
      <c r="M140" s="212">
        <f t="shared" si="20"/>
        <v>12</v>
      </c>
      <c r="N140" s="212">
        <f t="shared" si="21"/>
        <v>16</v>
      </c>
      <c r="O140" s="212">
        <f t="shared" si="22"/>
        <v>34</v>
      </c>
      <c r="P140" s="212">
        <f t="shared" si="23"/>
        <v>0</v>
      </c>
      <c r="Q140" s="212">
        <f t="shared" si="24"/>
        <v>12</v>
      </c>
      <c r="R140" s="212">
        <f t="shared" si="25"/>
        <v>62</v>
      </c>
      <c r="S140" s="369" t="s">
        <v>1097</v>
      </c>
      <c r="T140" s="372" t="s">
        <v>1146</v>
      </c>
      <c r="U140" s="280">
        <v>110</v>
      </c>
      <c r="V140" s="280">
        <v>112</v>
      </c>
      <c r="W140" s="280">
        <v>112</v>
      </c>
      <c r="X140" s="276">
        <v>44064</v>
      </c>
      <c r="Y140" s="276">
        <v>44089</v>
      </c>
      <c r="Z140" s="276">
        <v>44134</v>
      </c>
      <c r="AA140" s="273">
        <f t="shared" si="26"/>
        <v>2020</v>
      </c>
      <c r="AB140" s="273">
        <f t="shared" si="27"/>
        <v>10</v>
      </c>
      <c r="AC140" s="278" t="s">
        <v>920</v>
      </c>
      <c r="AD140" s="278" t="s">
        <v>422</v>
      </c>
      <c r="AE140" s="278" t="s">
        <v>422</v>
      </c>
      <c r="AF140" s="278" t="s">
        <v>422</v>
      </c>
      <c r="AG140" s="278" t="s">
        <v>422</v>
      </c>
      <c r="AH140" s="278" t="s">
        <v>422</v>
      </c>
      <c r="AI140" s="278" t="s">
        <v>423</v>
      </c>
      <c r="AJ140" s="278" t="s">
        <v>423</v>
      </c>
      <c r="AK140" s="278" t="s">
        <v>423</v>
      </c>
      <c r="AL140" s="279" t="s">
        <v>1240</v>
      </c>
      <c r="AM140" s="241"/>
      <c r="AN140" s="241"/>
    </row>
    <row r="141" spans="1:40" ht="15" customHeight="1" x14ac:dyDescent="0.3">
      <c r="A141" s="185">
        <v>146</v>
      </c>
      <c r="B141" s="247" t="s">
        <v>1373</v>
      </c>
      <c r="C141" s="247" t="s">
        <v>1618</v>
      </c>
      <c r="D141" s="200" t="s">
        <v>1881</v>
      </c>
      <c r="E141" s="247"/>
      <c r="F141" s="247"/>
      <c r="G141" s="368" t="s">
        <v>1604</v>
      </c>
      <c r="H141" s="247" t="s">
        <v>1956</v>
      </c>
      <c r="I141" s="359">
        <v>2</v>
      </c>
      <c r="J141" s="247">
        <v>6.5</v>
      </c>
      <c r="K141" s="248">
        <v>0</v>
      </c>
      <c r="L141" s="212">
        <v>1</v>
      </c>
      <c r="M141" s="212">
        <f t="shared" si="20"/>
        <v>9.5</v>
      </c>
      <c r="N141" s="212">
        <f t="shared" si="21"/>
        <v>16</v>
      </c>
      <c r="O141" s="212">
        <f t="shared" si="22"/>
        <v>26</v>
      </c>
      <c r="P141" s="212">
        <f t="shared" si="23"/>
        <v>0</v>
      </c>
      <c r="Q141" s="212">
        <f t="shared" si="24"/>
        <v>8</v>
      </c>
      <c r="R141" s="212">
        <f t="shared" si="25"/>
        <v>50</v>
      </c>
      <c r="S141" s="369" t="s">
        <v>1098</v>
      </c>
      <c r="T141" s="372" t="s">
        <v>1147</v>
      </c>
      <c r="U141" s="280">
        <v>100</v>
      </c>
      <c r="V141" s="280">
        <v>102</v>
      </c>
      <c r="W141" s="280">
        <v>102</v>
      </c>
      <c r="X141" s="276">
        <v>44064</v>
      </c>
      <c r="Y141" s="276">
        <v>44089</v>
      </c>
      <c r="Z141" s="276">
        <v>44134</v>
      </c>
      <c r="AA141" s="273">
        <f t="shared" si="26"/>
        <v>2020</v>
      </c>
      <c r="AB141" s="273">
        <f t="shared" si="27"/>
        <v>10</v>
      </c>
      <c r="AC141" s="278" t="s">
        <v>920</v>
      </c>
      <c r="AD141" s="278" t="s">
        <v>422</v>
      </c>
      <c r="AE141" s="278" t="s">
        <v>422</v>
      </c>
      <c r="AF141" s="278" t="s">
        <v>422</v>
      </c>
      <c r="AG141" s="278" t="s">
        <v>422</v>
      </c>
      <c r="AH141" s="278" t="s">
        <v>422</v>
      </c>
      <c r="AI141" s="278" t="s">
        <v>423</v>
      </c>
      <c r="AJ141" s="278" t="s">
        <v>423</v>
      </c>
      <c r="AK141" s="278" t="s">
        <v>423</v>
      </c>
      <c r="AL141" s="279" t="s">
        <v>1240</v>
      </c>
      <c r="AM141" s="241"/>
      <c r="AN141" s="241"/>
    </row>
    <row r="142" spans="1:40" ht="15" customHeight="1" x14ac:dyDescent="0.3">
      <c r="A142" s="185">
        <v>147</v>
      </c>
      <c r="B142" s="247" t="s">
        <v>1093</v>
      </c>
      <c r="C142" s="247" t="s">
        <v>1618</v>
      </c>
      <c r="D142" s="200" t="s">
        <v>1881</v>
      </c>
      <c r="E142" s="247"/>
      <c r="F142" s="247" t="s">
        <v>1598</v>
      </c>
      <c r="G142" s="368" t="s">
        <v>1604</v>
      </c>
      <c r="H142" s="247"/>
      <c r="I142" s="359">
        <v>2</v>
      </c>
      <c r="J142" s="247">
        <v>7.5</v>
      </c>
      <c r="K142" s="248">
        <v>0</v>
      </c>
      <c r="L142" s="212">
        <v>1.5</v>
      </c>
      <c r="M142" s="212">
        <f t="shared" si="20"/>
        <v>11</v>
      </c>
      <c r="N142" s="212">
        <f t="shared" si="21"/>
        <v>16</v>
      </c>
      <c r="O142" s="212">
        <f t="shared" si="22"/>
        <v>30</v>
      </c>
      <c r="P142" s="212">
        <f t="shared" si="23"/>
        <v>0</v>
      </c>
      <c r="Q142" s="212">
        <f t="shared" si="24"/>
        <v>12</v>
      </c>
      <c r="R142" s="212">
        <f t="shared" si="25"/>
        <v>58</v>
      </c>
      <c r="S142" s="369" t="s">
        <v>813</v>
      </c>
      <c r="T142" s="372" t="s">
        <v>1148</v>
      </c>
      <c r="U142" s="280">
        <v>135</v>
      </c>
      <c r="V142" s="280">
        <v>138</v>
      </c>
      <c r="W142" s="280">
        <v>138</v>
      </c>
      <c r="X142" s="276">
        <v>44064</v>
      </c>
      <c r="Y142" s="276">
        <v>44089</v>
      </c>
      <c r="Z142" s="276">
        <v>44134</v>
      </c>
      <c r="AA142" s="273">
        <f t="shared" si="26"/>
        <v>2020</v>
      </c>
      <c r="AB142" s="273">
        <f t="shared" si="27"/>
        <v>10</v>
      </c>
      <c r="AC142" s="278" t="s">
        <v>920</v>
      </c>
      <c r="AD142" s="278" t="s">
        <v>422</v>
      </c>
      <c r="AE142" s="278" t="s">
        <v>422</v>
      </c>
      <c r="AF142" s="278" t="s">
        <v>422</v>
      </c>
      <c r="AG142" s="278" t="s">
        <v>422</v>
      </c>
      <c r="AH142" s="278" t="s">
        <v>423</v>
      </c>
      <c r="AI142" s="278" t="s">
        <v>423</v>
      </c>
      <c r="AJ142" s="278" t="s">
        <v>423</v>
      </c>
      <c r="AK142" s="278" t="s">
        <v>423</v>
      </c>
      <c r="AL142" s="279" t="s">
        <v>1045</v>
      </c>
      <c r="AM142" s="241"/>
      <c r="AN142" s="241"/>
    </row>
    <row r="143" spans="1:40" ht="15" customHeight="1" x14ac:dyDescent="0.3">
      <c r="A143" s="185">
        <v>160</v>
      </c>
      <c r="B143" s="247" t="s">
        <v>1128</v>
      </c>
      <c r="C143" s="247" t="s">
        <v>1618</v>
      </c>
      <c r="D143" s="200" t="s">
        <v>1881</v>
      </c>
      <c r="E143" s="247"/>
      <c r="F143" s="247"/>
      <c r="G143" s="368" t="s">
        <v>1604</v>
      </c>
      <c r="H143" s="247" t="s">
        <v>1956</v>
      </c>
      <c r="I143" s="359">
        <v>2</v>
      </c>
      <c r="J143" s="247">
        <v>13</v>
      </c>
      <c r="K143" s="248">
        <v>0</v>
      </c>
      <c r="L143" s="212">
        <v>1</v>
      </c>
      <c r="M143" s="212">
        <f t="shared" si="20"/>
        <v>16</v>
      </c>
      <c r="N143" s="212">
        <f t="shared" si="21"/>
        <v>16</v>
      </c>
      <c r="O143" s="212">
        <f t="shared" si="22"/>
        <v>52</v>
      </c>
      <c r="P143" s="212">
        <f t="shared" si="23"/>
        <v>0</v>
      </c>
      <c r="Q143" s="212">
        <f t="shared" si="24"/>
        <v>8</v>
      </c>
      <c r="R143" s="212">
        <f t="shared" si="25"/>
        <v>76</v>
      </c>
      <c r="S143" s="369" t="s">
        <v>1141</v>
      </c>
      <c r="T143" s="372" t="s">
        <v>1140</v>
      </c>
      <c r="U143" s="280">
        <v>30</v>
      </c>
      <c r="V143" s="280">
        <v>31</v>
      </c>
      <c r="W143" s="280">
        <v>31</v>
      </c>
      <c r="X143" s="276">
        <v>44064</v>
      </c>
      <c r="Y143" s="276">
        <v>44094</v>
      </c>
      <c r="Z143" s="26">
        <v>44134</v>
      </c>
      <c r="AA143" s="273">
        <f t="shared" si="26"/>
        <v>2020</v>
      </c>
      <c r="AB143" s="273">
        <f t="shared" si="27"/>
        <v>10</v>
      </c>
      <c r="AC143" s="278" t="s">
        <v>920</v>
      </c>
      <c r="AD143" s="278" t="s">
        <v>422</v>
      </c>
      <c r="AE143" s="278" t="s">
        <v>422</v>
      </c>
      <c r="AF143" s="278" t="s">
        <v>422</v>
      </c>
      <c r="AG143" s="278" t="s">
        <v>422</v>
      </c>
      <c r="AH143" s="278" t="s">
        <v>422</v>
      </c>
      <c r="AI143" s="278" t="s">
        <v>423</v>
      </c>
      <c r="AJ143" s="278" t="s">
        <v>423</v>
      </c>
      <c r="AK143" s="278" t="s">
        <v>423</v>
      </c>
      <c r="AL143" s="279" t="s">
        <v>1240</v>
      </c>
      <c r="AM143" s="241"/>
      <c r="AN143" s="241"/>
    </row>
    <row r="144" spans="1:40" ht="15" customHeight="1" x14ac:dyDescent="0.3">
      <c r="A144" s="185">
        <v>161</v>
      </c>
      <c r="B144" s="247" t="s">
        <v>1129</v>
      </c>
      <c r="C144" s="247" t="s">
        <v>1618</v>
      </c>
      <c r="D144" s="200" t="s">
        <v>1881</v>
      </c>
      <c r="E144" s="247"/>
      <c r="F144" s="247"/>
      <c r="G144" s="368" t="s">
        <v>1604</v>
      </c>
      <c r="H144" s="247" t="s">
        <v>1956</v>
      </c>
      <c r="I144" s="359">
        <v>2</v>
      </c>
      <c r="J144" s="247">
        <v>6</v>
      </c>
      <c r="K144" s="248">
        <v>0</v>
      </c>
      <c r="L144" s="212">
        <v>1</v>
      </c>
      <c r="M144" s="212">
        <f t="shared" si="20"/>
        <v>9</v>
      </c>
      <c r="N144" s="212">
        <f t="shared" si="21"/>
        <v>16</v>
      </c>
      <c r="O144" s="212">
        <f t="shared" si="22"/>
        <v>24</v>
      </c>
      <c r="P144" s="212">
        <f t="shared" si="23"/>
        <v>0</v>
      </c>
      <c r="Q144" s="212">
        <f t="shared" si="24"/>
        <v>8</v>
      </c>
      <c r="R144" s="212">
        <f t="shared" si="25"/>
        <v>48</v>
      </c>
      <c r="S144" s="369" t="s">
        <v>1150</v>
      </c>
      <c r="T144" s="372" t="s">
        <v>1149</v>
      </c>
      <c r="U144" s="280">
        <v>40</v>
      </c>
      <c r="V144" s="280">
        <v>42</v>
      </c>
      <c r="W144" s="280">
        <v>42</v>
      </c>
      <c r="X144" s="276">
        <v>44064</v>
      </c>
      <c r="Y144" s="276">
        <v>44094</v>
      </c>
      <c r="Z144" s="26">
        <v>44134</v>
      </c>
      <c r="AA144" s="273">
        <f t="shared" si="26"/>
        <v>2020</v>
      </c>
      <c r="AB144" s="273">
        <f t="shared" si="27"/>
        <v>10</v>
      </c>
      <c r="AC144" s="278" t="s">
        <v>920</v>
      </c>
      <c r="AD144" s="278" t="s">
        <v>422</v>
      </c>
      <c r="AE144" s="278" t="s">
        <v>422</v>
      </c>
      <c r="AF144" s="278" t="s">
        <v>422</v>
      </c>
      <c r="AG144" s="278" t="s">
        <v>422</v>
      </c>
      <c r="AH144" s="278" t="s">
        <v>423</v>
      </c>
      <c r="AI144" s="278" t="s">
        <v>423</v>
      </c>
      <c r="AJ144" s="278" t="s">
        <v>423</v>
      </c>
      <c r="AK144" s="278" t="s">
        <v>423</v>
      </c>
      <c r="AL144" s="279" t="s">
        <v>1240</v>
      </c>
      <c r="AM144" s="241"/>
      <c r="AN144" s="241"/>
    </row>
    <row r="145" spans="1:40" ht="15" customHeight="1" x14ac:dyDescent="0.3">
      <c r="A145" s="185">
        <v>134</v>
      </c>
      <c r="B145" s="247" t="s">
        <v>1058</v>
      </c>
      <c r="C145" s="247" t="s">
        <v>1615</v>
      </c>
      <c r="D145" s="200" t="s">
        <v>1881</v>
      </c>
      <c r="E145" s="247"/>
      <c r="F145" s="247" t="s">
        <v>1598</v>
      </c>
      <c r="G145" s="368" t="s">
        <v>1604</v>
      </c>
      <c r="H145" s="248"/>
      <c r="I145" s="248">
        <v>1.2</v>
      </c>
      <c r="J145" s="248">
        <v>9.5</v>
      </c>
      <c r="K145" s="248">
        <v>0</v>
      </c>
      <c r="L145" s="212">
        <v>1</v>
      </c>
      <c r="M145" s="212">
        <f t="shared" si="20"/>
        <v>11.7</v>
      </c>
      <c r="N145" s="212">
        <f t="shared" si="21"/>
        <v>9.6</v>
      </c>
      <c r="O145" s="212">
        <f t="shared" si="22"/>
        <v>38</v>
      </c>
      <c r="P145" s="212">
        <f t="shared" si="23"/>
        <v>0</v>
      </c>
      <c r="Q145" s="212">
        <f t="shared" si="24"/>
        <v>8</v>
      </c>
      <c r="R145" s="212">
        <f t="shared" si="25"/>
        <v>55.6</v>
      </c>
      <c r="S145" s="369" t="s">
        <v>1071</v>
      </c>
      <c r="T145" s="275" t="s">
        <v>1084</v>
      </c>
      <c r="U145" s="280">
        <v>96</v>
      </c>
      <c r="V145" s="280">
        <v>0</v>
      </c>
      <c r="W145" s="280">
        <v>0</v>
      </c>
      <c r="X145" s="276">
        <v>44039</v>
      </c>
      <c r="Y145" s="277">
        <v>44075</v>
      </c>
      <c r="Z145" s="277">
        <v>44161</v>
      </c>
      <c r="AA145" s="273">
        <f t="shared" si="26"/>
        <v>2020</v>
      </c>
      <c r="AB145" s="273">
        <f t="shared" si="27"/>
        <v>11</v>
      </c>
      <c r="AC145" s="278" t="s">
        <v>920</v>
      </c>
      <c r="AD145" s="278" t="s">
        <v>422</v>
      </c>
      <c r="AE145" s="278" t="s">
        <v>422</v>
      </c>
      <c r="AF145" s="278" t="s">
        <v>422</v>
      </c>
      <c r="AG145" s="278" t="s">
        <v>422</v>
      </c>
      <c r="AH145" s="278" t="s">
        <v>422</v>
      </c>
      <c r="AI145" s="278" t="s">
        <v>423</v>
      </c>
      <c r="AJ145" s="278" t="s">
        <v>423</v>
      </c>
      <c r="AK145" s="278" t="s">
        <v>423</v>
      </c>
      <c r="AL145" s="279" t="s">
        <v>1045</v>
      </c>
      <c r="AM145" s="241"/>
      <c r="AN145" s="241"/>
    </row>
    <row r="146" spans="1:40" ht="15" customHeight="1" x14ac:dyDescent="0.3">
      <c r="A146" s="185">
        <v>135</v>
      </c>
      <c r="B146" s="247" t="s">
        <v>1059</v>
      </c>
      <c r="C146" s="247" t="s">
        <v>1615</v>
      </c>
      <c r="D146" s="200" t="s">
        <v>1881</v>
      </c>
      <c r="E146" s="247"/>
      <c r="F146" s="247" t="s">
        <v>1598</v>
      </c>
      <c r="G146" s="368" t="s">
        <v>1604</v>
      </c>
      <c r="H146" s="248"/>
      <c r="I146" s="248">
        <v>1</v>
      </c>
      <c r="J146" s="248">
        <v>10</v>
      </c>
      <c r="K146" s="248">
        <v>0</v>
      </c>
      <c r="L146" s="212">
        <v>1.5</v>
      </c>
      <c r="M146" s="212">
        <f t="shared" si="20"/>
        <v>12.5</v>
      </c>
      <c r="N146" s="212">
        <f t="shared" si="21"/>
        <v>8</v>
      </c>
      <c r="O146" s="212">
        <f t="shared" si="22"/>
        <v>40</v>
      </c>
      <c r="P146" s="212">
        <f t="shared" si="23"/>
        <v>0</v>
      </c>
      <c r="Q146" s="212">
        <f t="shared" si="24"/>
        <v>12</v>
      </c>
      <c r="R146" s="212">
        <f t="shared" si="25"/>
        <v>60</v>
      </c>
      <c r="S146" s="369" t="s">
        <v>1072</v>
      </c>
      <c r="T146" s="275" t="s">
        <v>1085</v>
      </c>
      <c r="U146" s="280">
        <v>72</v>
      </c>
      <c r="V146" s="280">
        <v>0</v>
      </c>
      <c r="W146" s="280">
        <v>0</v>
      </c>
      <c r="X146" s="276">
        <v>44039</v>
      </c>
      <c r="Y146" s="277">
        <v>44075</v>
      </c>
      <c r="Z146" s="277">
        <v>44161</v>
      </c>
      <c r="AA146" s="273">
        <f t="shared" si="26"/>
        <v>2020</v>
      </c>
      <c r="AB146" s="273">
        <f t="shared" si="27"/>
        <v>11</v>
      </c>
      <c r="AC146" s="278" t="s">
        <v>920</v>
      </c>
      <c r="AD146" s="278" t="s">
        <v>422</v>
      </c>
      <c r="AE146" s="278" t="s">
        <v>422</v>
      </c>
      <c r="AF146" s="278" t="s">
        <v>422</v>
      </c>
      <c r="AG146" s="278" t="s">
        <v>422</v>
      </c>
      <c r="AH146" s="278" t="s">
        <v>422</v>
      </c>
      <c r="AI146" s="278" t="s">
        <v>423</v>
      </c>
      <c r="AJ146" s="278" t="s">
        <v>423</v>
      </c>
      <c r="AK146" s="278" t="s">
        <v>423</v>
      </c>
      <c r="AL146" s="279" t="s">
        <v>1045</v>
      </c>
      <c r="AM146" s="241"/>
      <c r="AN146" s="241"/>
    </row>
    <row r="147" spans="1:40" ht="15" customHeight="1" x14ac:dyDescent="0.3">
      <c r="A147" s="185">
        <v>136</v>
      </c>
      <c r="B147" s="247" t="s">
        <v>1060</v>
      </c>
      <c r="C147" s="247" t="s">
        <v>1615</v>
      </c>
      <c r="D147" s="200" t="s">
        <v>1881</v>
      </c>
      <c r="E147" s="247"/>
      <c r="F147" s="247" t="s">
        <v>1598</v>
      </c>
      <c r="G147" s="368" t="s">
        <v>1604</v>
      </c>
      <c r="H147" s="248"/>
      <c r="I147" s="248">
        <v>1</v>
      </c>
      <c r="J147" s="248">
        <v>4</v>
      </c>
      <c r="K147" s="248">
        <v>0</v>
      </c>
      <c r="L147" s="212">
        <v>1</v>
      </c>
      <c r="M147" s="212">
        <f t="shared" si="20"/>
        <v>6</v>
      </c>
      <c r="N147" s="212">
        <f t="shared" si="21"/>
        <v>8</v>
      </c>
      <c r="O147" s="212">
        <f t="shared" si="22"/>
        <v>16</v>
      </c>
      <c r="P147" s="212">
        <f t="shared" si="23"/>
        <v>0</v>
      </c>
      <c r="Q147" s="212">
        <f t="shared" si="24"/>
        <v>8</v>
      </c>
      <c r="R147" s="212">
        <f t="shared" si="25"/>
        <v>32</v>
      </c>
      <c r="S147" s="369" t="s">
        <v>1073</v>
      </c>
      <c r="T147" s="275" t="s">
        <v>1086</v>
      </c>
      <c r="U147" s="280">
        <v>104</v>
      </c>
      <c r="V147" s="280">
        <v>0</v>
      </c>
      <c r="W147" s="280">
        <v>0</v>
      </c>
      <c r="X147" s="276">
        <v>44039</v>
      </c>
      <c r="Y147" s="277">
        <v>44075</v>
      </c>
      <c r="Z147" s="277">
        <v>44161</v>
      </c>
      <c r="AA147" s="273">
        <f t="shared" si="26"/>
        <v>2020</v>
      </c>
      <c r="AB147" s="273">
        <f t="shared" si="27"/>
        <v>11</v>
      </c>
      <c r="AC147" s="278" t="s">
        <v>920</v>
      </c>
      <c r="AD147" s="278" t="s">
        <v>422</v>
      </c>
      <c r="AE147" s="278" t="s">
        <v>422</v>
      </c>
      <c r="AF147" s="278" t="s">
        <v>422</v>
      </c>
      <c r="AG147" s="278" t="s">
        <v>422</v>
      </c>
      <c r="AH147" s="278" t="s">
        <v>422</v>
      </c>
      <c r="AI147" s="278" t="s">
        <v>423</v>
      </c>
      <c r="AJ147" s="278" t="s">
        <v>422</v>
      </c>
      <c r="AK147" s="278" t="s">
        <v>423</v>
      </c>
      <c r="AL147" s="279" t="s">
        <v>1045</v>
      </c>
      <c r="AM147" s="241"/>
      <c r="AN147" s="241"/>
    </row>
    <row r="148" spans="1:40" ht="15" customHeight="1" x14ac:dyDescent="0.3">
      <c r="A148" s="185">
        <v>138</v>
      </c>
      <c r="B148" s="247" t="s">
        <v>1062</v>
      </c>
      <c r="C148" s="247" t="s">
        <v>1615</v>
      </c>
      <c r="D148" s="199" t="s">
        <v>1881</v>
      </c>
      <c r="E148" s="247"/>
      <c r="F148" s="247"/>
      <c r="G148" s="368" t="s">
        <v>1604</v>
      </c>
      <c r="H148" s="247" t="s">
        <v>1956</v>
      </c>
      <c r="I148" s="359">
        <v>2</v>
      </c>
      <c r="J148" s="247">
        <v>7</v>
      </c>
      <c r="K148" s="248">
        <v>0</v>
      </c>
      <c r="L148" s="212">
        <v>1</v>
      </c>
      <c r="M148" s="212">
        <f t="shared" si="20"/>
        <v>10</v>
      </c>
      <c r="N148" s="212">
        <f t="shared" si="21"/>
        <v>16</v>
      </c>
      <c r="O148" s="212">
        <f t="shared" si="22"/>
        <v>28</v>
      </c>
      <c r="P148" s="212">
        <f t="shared" si="23"/>
        <v>0</v>
      </c>
      <c r="Q148" s="212">
        <f t="shared" si="24"/>
        <v>8</v>
      </c>
      <c r="R148" s="212">
        <f t="shared" si="25"/>
        <v>52</v>
      </c>
      <c r="S148" s="369" t="s">
        <v>1075</v>
      </c>
      <c r="T148" s="275" t="s">
        <v>1089</v>
      </c>
      <c r="U148" s="280">
        <v>104</v>
      </c>
      <c r="V148" s="280">
        <v>106</v>
      </c>
      <c r="W148" s="280">
        <v>106</v>
      </c>
      <c r="X148" s="276">
        <v>44039</v>
      </c>
      <c r="Y148" s="277">
        <v>44075</v>
      </c>
      <c r="Z148" s="277">
        <v>44161</v>
      </c>
      <c r="AA148" s="273">
        <f t="shared" si="26"/>
        <v>2020</v>
      </c>
      <c r="AB148" s="273">
        <f t="shared" si="27"/>
        <v>11</v>
      </c>
      <c r="AC148" s="278" t="s">
        <v>920</v>
      </c>
      <c r="AD148" s="278" t="s">
        <v>422</v>
      </c>
      <c r="AE148" s="278" t="s">
        <v>422</v>
      </c>
      <c r="AF148" s="278" t="s">
        <v>422</v>
      </c>
      <c r="AG148" s="278" t="s">
        <v>422</v>
      </c>
      <c r="AH148" s="278" t="s">
        <v>422</v>
      </c>
      <c r="AI148" s="278" t="s">
        <v>423</v>
      </c>
      <c r="AJ148" s="278" t="s">
        <v>449</v>
      </c>
      <c r="AK148" s="278" t="s">
        <v>423</v>
      </c>
      <c r="AL148" s="279" t="s">
        <v>1240</v>
      </c>
      <c r="AM148" s="241"/>
      <c r="AN148" s="241"/>
    </row>
    <row r="149" spans="1:40" ht="15" customHeight="1" x14ac:dyDescent="0.3">
      <c r="A149" s="185">
        <v>177</v>
      </c>
      <c r="B149" s="247" t="s">
        <v>1166</v>
      </c>
      <c r="C149" s="247" t="s">
        <v>1617</v>
      </c>
      <c r="D149" s="199" t="s">
        <v>1848</v>
      </c>
      <c r="E149" s="247"/>
      <c r="F149" s="247"/>
      <c r="G149" s="247" t="s">
        <v>1953</v>
      </c>
      <c r="H149" s="247"/>
      <c r="I149" s="359">
        <v>2</v>
      </c>
      <c r="J149" s="359">
        <v>9</v>
      </c>
      <c r="K149" s="247">
        <v>9</v>
      </c>
      <c r="L149" s="212">
        <v>1</v>
      </c>
      <c r="M149" s="212">
        <f t="shared" si="20"/>
        <v>21</v>
      </c>
      <c r="N149" s="212">
        <f t="shared" si="21"/>
        <v>16</v>
      </c>
      <c r="O149" s="212">
        <f t="shared" si="22"/>
        <v>36</v>
      </c>
      <c r="P149" s="212">
        <f t="shared" si="23"/>
        <v>60</v>
      </c>
      <c r="Q149" s="212">
        <f t="shared" si="24"/>
        <v>8</v>
      </c>
      <c r="R149" s="212">
        <f t="shared" si="25"/>
        <v>120</v>
      </c>
      <c r="S149" s="369" t="s">
        <v>1167</v>
      </c>
      <c r="T149" s="372" t="s">
        <v>1167</v>
      </c>
      <c r="U149" s="280">
        <v>60</v>
      </c>
      <c r="V149" s="280">
        <f t="shared" ref="V149:W151" si="28">+U149</f>
        <v>60</v>
      </c>
      <c r="W149" s="280">
        <f t="shared" si="28"/>
        <v>60</v>
      </c>
      <c r="X149" s="276">
        <v>44073</v>
      </c>
      <c r="Y149" s="276">
        <v>44148</v>
      </c>
      <c r="Z149" s="277">
        <v>44159</v>
      </c>
      <c r="AA149" s="273">
        <f t="shared" si="26"/>
        <v>2020</v>
      </c>
      <c r="AB149" s="273">
        <f t="shared" si="27"/>
        <v>11</v>
      </c>
      <c r="AC149" s="278" t="s">
        <v>920</v>
      </c>
      <c r="AD149" s="278" t="s">
        <v>422</v>
      </c>
      <c r="AE149" s="278" t="s">
        <v>422</v>
      </c>
      <c r="AF149" s="278" t="s">
        <v>422</v>
      </c>
      <c r="AG149" s="278" t="s">
        <v>422</v>
      </c>
      <c r="AH149" s="278" t="s">
        <v>422</v>
      </c>
      <c r="AI149" s="278" t="s">
        <v>422</v>
      </c>
      <c r="AJ149" s="278" t="s">
        <v>423</v>
      </c>
      <c r="AK149" s="278" t="s">
        <v>423</v>
      </c>
      <c r="AL149" s="279" t="s">
        <v>1240</v>
      </c>
      <c r="AM149" s="241"/>
      <c r="AN149" s="241"/>
    </row>
    <row r="150" spans="1:40" ht="15" customHeight="1" x14ac:dyDescent="0.3">
      <c r="A150" s="185">
        <v>178</v>
      </c>
      <c r="B150" s="247" t="s">
        <v>1168</v>
      </c>
      <c r="C150" s="247" t="s">
        <v>1617</v>
      </c>
      <c r="D150" s="199" t="s">
        <v>1848</v>
      </c>
      <c r="E150" s="247"/>
      <c r="F150" s="247"/>
      <c r="G150" s="247" t="s">
        <v>1953</v>
      </c>
      <c r="H150" s="247" t="s">
        <v>1956</v>
      </c>
      <c r="I150" s="359">
        <v>2</v>
      </c>
      <c r="J150" s="247">
        <v>9</v>
      </c>
      <c r="K150" s="247">
        <v>9.5</v>
      </c>
      <c r="L150" s="212">
        <v>1</v>
      </c>
      <c r="M150" s="212">
        <f t="shared" si="20"/>
        <v>21.5</v>
      </c>
      <c r="N150" s="212">
        <f t="shared" si="21"/>
        <v>16</v>
      </c>
      <c r="O150" s="212">
        <f t="shared" si="22"/>
        <v>36</v>
      </c>
      <c r="P150" s="212">
        <f t="shared" si="23"/>
        <v>63.333333333333336</v>
      </c>
      <c r="Q150" s="212">
        <f t="shared" si="24"/>
        <v>8</v>
      </c>
      <c r="R150" s="212">
        <f t="shared" si="25"/>
        <v>123.33333333333334</v>
      </c>
      <c r="S150" s="369" t="s">
        <v>1176</v>
      </c>
      <c r="T150" s="369" t="s">
        <v>1176</v>
      </c>
      <c r="U150" s="280">
        <v>90</v>
      </c>
      <c r="V150" s="280">
        <f t="shared" si="28"/>
        <v>90</v>
      </c>
      <c r="W150" s="280">
        <f t="shared" si="28"/>
        <v>90</v>
      </c>
      <c r="X150" s="276">
        <v>44073</v>
      </c>
      <c r="Y150" s="276">
        <v>44148</v>
      </c>
      <c r="Z150" s="277">
        <v>44159</v>
      </c>
      <c r="AA150" s="273">
        <f t="shared" si="26"/>
        <v>2020</v>
      </c>
      <c r="AB150" s="273">
        <f t="shared" si="27"/>
        <v>11</v>
      </c>
      <c r="AC150" s="278" t="s">
        <v>920</v>
      </c>
      <c r="AD150" s="278" t="s">
        <v>422</v>
      </c>
      <c r="AE150" s="278" t="s">
        <v>422</v>
      </c>
      <c r="AF150" s="278" t="s">
        <v>422</v>
      </c>
      <c r="AG150" s="278" t="s">
        <v>422</v>
      </c>
      <c r="AH150" s="278" t="s">
        <v>422</v>
      </c>
      <c r="AI150" s="278" t="s">
        <v>422</v>
      </c>
      <c r="AJ150" s="278" t="s">
        <v>423</v>
      </c>
      <c r="AK150" s="278" t="s">
        <v>423</v>
      </c>
      <c r="AL150" s="279" t="s">
        <v>1240</v>
      </c>
      <c r="AM150" s="241"/>
      <c r="AN150" s="241"/>
    </row>
    <row r="151" spans="1:40" ht="15" customHeight="1" x14ac:dyDescent="0.3">
      <c r="A151" s="185">
        <v>179</v>
      </c>
      <c r="B151" s="247" t="s">
        <v>1169</v>
      </c>
      <c r="C151" s="247" t="s">
        <v>1617</v>
      </c>
      <c r="D151" s="199" t="s">
        <v>1848</v>
      </c>
      <c r="E151" s="247"/>
      <c r="F151" s="247"/>
      <c r="G151" s="247" t="s">
        <v>1953</v>
      </c>
      <c r="H151" s="247" t="s">
        <v>1956</v>
      </c>
      <c r="I151" s="359">
        <v>2</v>
      </c>
      <c r="J151" s="247">
        <v>45</v>
      </c>
      <c r="K151" s="359">
        <v>9</v>
      </c>
      <c r="L151" s="212">
        <v>1</v>
      </c>
      <c r="M151" s="212">
        <f t="shared" si="20"/>
        <v>57</v>
      </c>
      <c r="N151" s="212">
        <f t="shared" si="21"/>
        <v>16</v>
      </c>
      <c r="O151" s="212">
        <f t="shared" si="22"/>
        <v>180</v>
      </c>
      <c r="P151" s="212">
        <f t="shared" si="23"/>
        <v>60</v>
      </c>
      <c r="Q151" s="212">
        <f t="shared" si="24"/>
        <v>8</v>
      </c>
      <c r="R151" s="212">
        <f t="shared" si="25"/>
        <v>264</v>
      </c>
      <c r="S151" s="369" t="s">
        <v>1177</v>
      </c>
      <c r="T151" s="369" t="s">
        <v>1177</v>
      </c>
      <c r="U151" s="280">
        <v>72</v>
      </c>
      <c r="V151" s="280">
        <f t="shared" si="28"/>
        <v>72</v>
      </c>
      <c r="W151" s="280">
        <f t="shared" si="28"/>
        <v>72</v>
      </c>
      <c r="X151" s="276">
        <v>44073</v>
      </c>
      <c r="Y151" s="276">
        <v>44148</v>
      </c>
      <c r="Z151" s="277">
        <v>44159</v>
      </c>
      <c r="AA151" s="273">
        <f t="shared" si="26"/>
        <v>2020</v>
      </c>
      <c r="AB151" s="273">
        <f t="shared" si="27"/>
        <v>11</v>
      </c>
      <c r="AC151" s="278" t="s">
        <v>920</v>
      </c>
      <c r="AD151" s="278" t="s">
        <v>422</v>
      </c>
      <c r="AE151" s="278" t="s">
        <v>422</v>
      </c>
      <c r="AF151" s="278" t="s">
        <v>422</v>
      </c>
      <c r="AG151" s="278" t="s">
        <v>422</v>
      </c>
      <c r="AH151" s="278" t="s">
        <v>422</v>
      </c>
      <c r="AI151" s="278" t="s">
        <v>423</v>
      </c>
      <c r="AJ151" s="278" t="s">
        <v>423</v>
      </c>
      <c r="AK151" s="278" t="s">
        <v>423</v>
      </c>
      <c r="AL151" s="279" t="s">
        <v>1240</v>
      </c>
      <c r="AM151" s="241"/>
      <c r="AN151" s="241"/>
    </row>
    <row r="152" spans="1:40" ht="15" customHeight="1" x14ac:dyDescent="0.3">
      <c r="A152" s="185">
        <v>180</v>
      </c>
      <c r="B152" s="247" t="s">
        <v>1170</v>
      </c>
      <c r="C152" s="247" t="s">
        <v>1617</v>
      </c>
      <c r="D152" s="199" t="s">
        <v>1848</v>
      </c>
      <c r="E152" s="247"/>
      <c r="F152" s="247"/>
      <c r="G152" s="247" t="s">
        <v>1953</v>
      </c>
      <c r="H152" s="247" t="s">
        <v>1956</v>
      </c>
      <c r="I152" s="359">
        <v>2</v>
      </c>
      <c r="J152" s="247">
        <v>4.5</v>
      </c>
      <c r="K152" s="359">
        <v>9</v>
      </c>
      <c r="L152" s="212">
        <v>1</v>
      </c>
      <c r="M152" s="212">
        <f t="shared" si="20"/>
        <v>16.5</v>
      </c>
      <c r="N152" s="212">
        <f t="shared" si="21"/>
        <v>16</v>
      </c>
      <c r="O152" s="212">
        <f t="shared" si="22"/>
        <v>18</v>
      </c>
      <c r="P152" s="212">
        <f t="shared" si="23"/>
        <v>60</v>
      </c>
      <c r="Q152" s="212">
        <f t="shared" si="24"/>
        <v>8</v>
      </c>
      <c r="R152" s="212">
        <f t="shared" si="25"/>
        <v>102</v>
      </c>
      <c r="S152" s="369" t="s">
        <v>1178</v>
      </c>
      <c r="T152" s="369" t="s">
        <v>1178</v>
      </c>
      <c r="U152" s="280">
        <v>48</v>
      </c>
      <c r="V152" s="280">
        <f>48+2</f>
        <v>50</v>
      </c>
      <c r="W152" s="280">
        <f>48+2</f>
        <v>50</v>
      </c>
      <c r="X152" s="276">
        <v>44073</v>
      </c>
      <c r="Y152" s="276">
        <v>44148</v>
      </c>
      <c r="Z152" s="277">
        <v>44159</v>
      </c>
      <c r="AA152" s="273">
        <f t="shared" si="26"/>
        <v>2020</v>
      </c>
      <c r="AB152" s="273">
        <f t="shared" si="27"/>
        <v>11</v>
      </c>
      <c r="AC152" s="278" t="s">
        <v>920</v>
      </c>
      <c r="AD152" s="278" t="s">
        <v>422</v>
      </c>
      <c r="AE152" s="278" t="s">
        <v>422</v>
      </c>
      <c r="AF152" s="278" t="s">
        <v>422</v>
      </c>
      <c r="AG152" s="278" t="s">
        <v>422</v>
      </c>
      <c r="AH152" s="278" t="s">
        <v>422</v>
      </c>
      <c r="AI152" s="278" t="s">
        <v>423</v>
      </c>
      <c r="AJ152" s="278" t="s">
        <v>423</v>
      </c>
      <c r="AK152" s="278" t="s">
        <v>423</v>
      </c>
      <c r="AL152" s="279" t="s">
        <v>1240</v>
      </c>
      <c r="AM152" s="241"/>
      <c r="AN152" s="241"/>
    </row>
    <row r="153" spans="1:40" ht="15" customHeight="1" x14ac:dyDescent="0.3">
      <c r="A153" s="185">
        <v>181</v>
      </c>
      <c r="B153" s="247" t="s">
        <v>1171</v>
      </c>
      <c r="C153" s="247" t="s">
        <v>1617</v>
      </c>
      <c r="D153" s="199" t="s">
        <v>1848</v>
      </c>
      <c r="E153" s="247"/>
      <c r="F153" s="247"/>
      <c r="G153" s="247" t="s">
        <v>1953</v>
      </c>
      <c r="H153" s="247" t="s">
        <v>1956</v>
      </c>
      <c r="I153" s="359">
        <v>2</v>
      </c>
      <c r="J153" s="247">
        <v>5</v>
      </c>
      <c r="K153" s="359">
        <v>9</v>
      </c>
      <c r="L153" s="212">
        <v>1</v>
      </c>
      <c r="M153" s="212">
        <f t="shared" si="20"/>
        <v>17</v>
      </c>
      <c r="N153" s="212">
        <f t="shared" si="21"/>
        <v>16</v>
      </c>
      <c r="O153" s="212">
        <f t="shared" si="22"/>
        <v>20</v>
      </c>
      <c r="P153" s="212">
        <f t="shared" si="23"/>
        <v>60</v>
      </c>
      <c r="Q153" s="212">
        <f t="shared" si="24"/>
        <v>8</v>
      </c>
      <c r="R153" s="212">
        <f t="shared" si="25"/>
        <v>104</v>
      </c>
      <c r="S153" s="372" t="s">
        <v>1179</v>
      </c>
      <c r="T153" s="372" t="s">
        <v>1179</v>
      </c>
      <c r="U153" s="280">
        <v>60</v>
      </c>
      <c r="V153" s="280">
        <f t="shared" ref="V153:W155" si="29">+U153</f>
        <v>60</v>
      </c>
      <c r="W153" s="280">
        <f t="shared" si="29"/>
        <v>60</v>
      </c>
      <c r="X153" s="276">
        <v>44073</v>
      </c>
      <c r="Y153" s="276">
        <v>44148</v>
      </c>
      <c r="Z153" s="277">
        <v>44159</v>
      </c>
      <c r="AA153" s="273">
        <f t="shared" si="26"/>
        <v>2020</v>
      </c>
      <c r="AB153" s="273">
        <f t="shared" si="27"/>
        <v>11</v>
      </c>
      <c r="AC153" s="278" t="s">
        <v>920</v>
      </c>
      <c r="AD153" s="278" t="s">
        <v>422</v>
      </c>
      <c r="AE153" s="278" t="s">
        <v>422</v>
      </c>
      <c r="AF153" s="278" t="s">
        <v>422</v>
      </c>
      <c r="AG153" s="278" t="s">
        <v>422</v>
      </c>
      <c r="AH153" s="278" t="s">
        <v>422</v>
      </c>
      <c r="AI153" s="278" t="s">
        <v>423</v>
      </c>
      <c r="AJ153" s="278" t="s">
        <v>423</v>
      </c>
      <c r="AK153" s="278" t="s">
        <v>423</v>
      </c>
      <c r="AL153" s="279" t="s">
        <v>1240</v>
      </c>
      <c r="AM153" s="241"/>
      <c r="AN153" s="241"/>
    </row>
    <row r="154" spans="1:40" ht="15" customHeight="1" x14ac:dyDescent="0.3">
      <c r="A154" s="185">
        <v>182</v>
      </c>
      <c r="B154" s="247" t="s">
        <v>1172</v>
      </c>
      <c r="C154" s="247" t="s">
        <v>1617</v>
      </c>
      <c r="D154" s="199" t="s">
        <v>1848</v>
      </c>
      <c r="E154" s="247"/>
      <c r="F154" s="247"/>
      <c r="G154" s="247" t="s">
        <v>1953</v>
      </c>
      <c r="H154" s="247" t="s">
        <v>1956</v>
      </c>
      <c r="I154" s="359">
        <v>2</v>
      </c>
      <c r="J154" s="247">
        <v>5</v>
      </c>
      <c r="K154" s="359">
        <v>9</v>
      </c>
      <c r="L154" s="212">
        <v>1</v>
      </c>
      <c r="M154" s="212">
        <f t="shared" si="20"/>
        <v>17</v>
      </c>
      <c r="N154" s="212">
        <f t="shared" si="21"/>
        <v>16</v>
      </c>
      <c r="O154" s="212">
        <f t="shared" si="22"/>
        <v>20</v>
      </c>
      <c r="P154" s="212">
        <f t="shared" si="23"/>
        <v>60</v>
      </c>
      <c r="Q154" s="212">
        <f t="shared" si="24"/>
        <v>8</v>
      </c>
      <c r="R154" s="212">
        <f t="shared" si="25"/>
        <v>104</v>
      </c>
      <c r="S154" s="372" t="s">
        <v>1180</v>
      </c>
      <c r="T154" s="372" t="s">
        <v>1180</v>
      </c>
      <c r="U154" s="280">
        <v>40</v>
      </c>
      <c r="V154" s="280">
        <f t="shared" si="29"/>
        <v>40</v>
      </c>
      <c r="W154" s="280">
        <f t="shared" si="29"/>
        <v>40</v>
      </c>
      <c r="X154" s="276">
        <v>44073</v>
      </c>
      <c r="Y154" s="276">
        <v>44148</v>
      </c>
      <c r="Z154" s="277">
        <v>44159</v>
      </c>
      <c r="AA154" s="273">
        <f t="shared" si="26"/>
        <v>2020</v>
      </c>
      <c r="AB154" s="273">
        <f t="shared" si="27"/>
        <v>11</v>
      </c>
      <c r="AC154" s="278" t="s">
        <v>920</v>
      </c>
      <c r="AD154" s="278" t="s">
        <v>422</v>
      </c>
      <c r="AE154" s="278" t="s">
        <v>422</v>
      </c>
      <c r="AF154" s="278" t="s">
        <v>422</v>
      </c>
      <c r="AG154" s="278" t="s">
        <v>422</v>
      </c>
      <c r="AH154" s="278" t="s">
        <v>422</v>
      </c>
      <c r="AI154" s="278" t="s">
        <v>423</v>
      </c>
      <c r="AJ154" s="278" t="s">
        <v>423</v>
      </c>
      <c r="AK154" s="278" t="s">
        <v>423</v>
      </c>
      <c r="AL154" s="279" t="s">
        <v>1240</v>
      </c>
      <c r="AM154" s="241"/>
      <c r="AN154" s="241"/>
    </row>
    <row r="155" spans="1:40" ht="15" customHeight="1" x14ac:dyDescent="0.3">
      <c r="A155" s="185">
        <v>183</v>
      </c>
      <c r="B155" s="247" t="s">
        <v>1173</v>
      </c>
      <c r="C155" s="247" t="s">
        <v>1617</v>
      </c>
      <c r="D155" s="199" t="s">
        <v>1848</v>
      </c>
      <c r="E155" s="247"/>
      <c r="F155" s="247"/>
      <c r="G155" s="247" t="s">
        <v>1953</v>
      </c>
      <c r="H155" s="247" t="s">
        <v>1956</v>
      </c>
      <c r="I155" s="359">
        <v>2</v>
      </c>
      <c r="J155" s="247">
        <v>3.5</v>
      </c>
      <c r="K155" s="359">
        <v>5</v>
      </c>
      <c r="L155" s="212">
        <v>1</v>
      </c>
      <c r="M155" s="212">
        <f t="shared" si="20"/>
        <v>11.5</v>
      </c>
      <c r="N155" s="212">
        <f t="shared" si="21"/>
        <v>16</v>
      </c>
      <c r="O155" s="212">
        <f t="shared" si="22"/>
        <v>14</v>
      </c>
      <c r="P155" s="212">
        <f t="shared" si="23"/>
        <v>33.333333333333336</v>
      </c>
      <c r="Q155" s="212">
        <f t="shared" si="24"/>
        <v>8</v>
      </c>
      <c r="R155" s="212">
        <f t="shared" si="25"/>
        <v>71.333333333333343</v>
      </c>
      <c r="S155" s="369" t="s">
        <v>1181</v>
      </c>
      <c r="T155" s="372" t="s">
        <v>1182</v>
      </c>
      <c r="U155" s="280">
        <v>30</v>
      </c>
      <c r="V155" s="280">
        <f t="shared" si="29"/>
        <v>30</v>
      </c>
      <c r="W155" s="280">
        <f t="shared" si="29"/>
        <v>30</v>
      </c>
      <c r="X155" s="276">
        <v>44073</v>
      </c>
      <c r="Y155" s="276">
        <v>44148</v>
      </c>
      <c r="Z155" s="277">
        <v>44159</v>
      </c>
      <c r="AA155" s="273">
        <f t="shared" si="26"/>
        <v>2020</v>
      </c>
      <c r="AB155" s="273">
        <f t="shared" si="27"/>
        <v>11</v>
      </c>
      <c r="AC155" s="278" t="s">
        <v>920</v>
      </c>
      <c r="AD155" s="278" t="s">
        <v>422</v>
      </c>
      <c r="AE155" s="278" t="s">
        <v>423</v>
      </c>
      <c r="AF155" s="278" t="s">
        <v>422</v>
      </c>
      <c r="AG155" s="278" t="s">
        <v>422</v>
      </c>
      <c r="AH155" s="278" t="s">
        <v>422</v>
      </c>
      <c r="AI155" s="278" t="s">
        <v>423</v>
      </c>
      <c r="AJ155" s="278" t="s">
        <v>423</v>
      </c>
      <c r="AK155" s="278" t="s">
        <v>423</v>
      </c>
      <c r="AL155" s="279" t="s">
        <v>1240</v>
      </c>
      <c r="AM155" s="241"/>
      <c r="AN155" s="241"/>
    </row>
    <row r="156" spans="1:40" ht="15" customHeight="1" x14ac:dyDescent="0.3">
      <c r="A156" s="185">
        <v>184</v>
      </c>
      <c r="B156" s="247" t="s">
        <v>1174</v>
      </c>
      <c r="C156" s="247" t="s">
        <v>1617</v>
      </c>
      <c r="D156" s="199" t="s">
        <v>1848</v>
      </c>
      <c r="E156" s="247"/>
      <c r="F156" s="247"/>
      <c r="G156" s="247" t="s">
        <v>1953</v>
      </c>
      <c r="H156" s="247" t="s">
        <v>1956</v>
      </c>
      <c r="I156" s="359">
        <v>2</v>
      </c>
      <c r="J156" s="247">
        <v>3.7</v>
      </c>
      <c r="K156" s="359">
        <v>5</v>
      </c>
      <c r="L156" s="212">
        <v>1</v>
      </c>
      <c r="M156" s="212">
        <f t="shared" si="20"/>
        <v>11.7</v>
      </c>
      <c r="N156" s="212">
        <f t="shared" si="21"/>
        <v>16</v>
      </c>
      <c r="O156" s="212">
        <f t="shared" si="22"/>
        <v>14.8</v>
      </c>
      <c r="P156" s="212">
        <f t="shared" si="23"/>
        <v>33.333333333333336</v>
      </c>
      <c r="Q156" s="212">
        <f t="shared" si="24"/>
        <v>8</v>
      </c>
      <c r="R156" s="212">
        <f t="shared" si="25"/>
        <v>72.13333333333334</v>
      </c>
      <c r="S156" s="369" t="s">
        <v>1183</v>
      </c>
      <c r="T156" s="372" t="s">
        <v>1184</v>
      </c>
      <c r="U156" s="280">
        <v>30</v>
      </c>
      <c r="V156" s="280">
        <v>30</v>
      </c>
      <c r="W156" s="280">
        <v>30</v>
      </c>
      <c r="X156" s="276">
        <v>44073</v>
      </c>
      <c r="Y156" s="276">
        <v>44148</v>
      </c>
      <c r="Z156" s="277">
        <v>44159</v>
      </c>
      <c r="AA156" s="273">
        <f t="shared" si="26"/>
        <v>2020</v>
      </c>
      <c r="AB156" s="273">
        <f t="shared" si="27"/>
        <v>11</v>
      </c>
      <c r="AC156" s="278" t="s">
        <v>920</v>
      </c>
      <c r="AD156" s="278" t="s">
        <v>422</v>
      </c>
      <c r="AE156" s="278" t="s">
        <v>423</v>
      </c>
      <c r="AF156" s="278" t="s">
        <v>422</v>
      </c>
      <c r="AG156" s="278" t="s">
        <v>422</v>
      </c>
      <c r="AH156" s="278" t="s">
        <v>422</v>
      </c>
      <c r="AI156" s="278" t="s">
        <v>423</v>
      </c>
      <c r="AJ156" s="278" t="s">
        <v>423</v>
      </c>
      <c r="AK156" s="278" t="s">
        <v>423</v>
      </c>
      <c r="AL156" s="279" t="s">
        <v>1240</v>
      </c>
      <c r="AM156" s="241"/>
      <c r="AN156" s="241"/>
    </row>
    <row r="157" spans="1:40" ht="15" customHeight="1" x14ac:dyDescent="0.3">
      <c r="A157" s="185">
        <v>185</v>
      </c>
      <c r="B157" s="247" t="s">
        <v>1175</v>
      </c>
      <c r="C157" s="247" t="s">
        <v>1617</v>
      </c>
      <c r="D157" s="199" t="s">
        <v>1848</v>
      </c>
      <c r="E157" s="247"/>
      <c r="F157" s="247"/>
      <c r="G157" s="247" t="s">
        <v>1953</v>
      </c>
      <c r="H157" s="247" t="s">
        <v>1957</v>
      </c>
      <c r="I157" s="359">
        <v>2</v>
      </c>
      <c r="J157" s="247">
        <v>8</v>
      </c>
      <c r="K157" s="247">
        <v>10</v>
      </c>
      <c r="L157" s="212">
        <v>1</v>
      </c>
      <c r="M157" s="212">
        <f t="shared" si="20"/>
        <v>21</v>
      </c>
      <c r="N157" s="212">
        <f t="shared" si="21"/>
        <v>16</v>
      </c>
      <c r="O157" s="212">
        <f t="shared" si="22"/>
        <v>32</v>
      </c>
      <c r="P157" s="212">
        <f t="shared" si="23"/>
        <v>66.666666666666671</v>
      </c>
      <c r="Q157" s="212">
        <f t="shared" si="24"/>
        <v>8</v>
      </c>
      <c r="R157" s="212">
        <f t="shared" si="25"/>
        <v>122.66666666666667</v>
      </c>
      <c r="S157" s="369" t="s">
        <v>1185</v>
      </c>
      <c r="T157" s="372" t="s">
        <v>1185</v>
      </c>
      <c r="U157" s="280">
        <v>65</v>
      </c>
      <c r="V157" s="280">
        <f>+U157</f>
        <v>65</v>
      </c>
      <c r="W157" s="280">
        <f>+V157</f>
        <v>65</v>
      </c>
      <c r="X157" s="276">
        <v>44073</v>
      </c>
      <c r="Y157" s="276">
        <v>44148</v>
      </c>
      <c r="Z157" s="277">
        <v>44159</v>
      </c>
      <c r="AA157" s="273">
        <f t="shared" si="26"/>
        <v>2020</v>
      </c>
      <c r="AB157" s="273">
        <f t="shared" si="27"/>
        <v>11</v>
      </c>
      <c r="AC157" s="278" t="s">
        <v>920</v>
      </c>
      <c r="AD157" s="278" t="s">
        <v>422</v>
      </c>
      <c r="AE157" s="278" t="s">
        <v>422</v>
      </c>
      <c r="AF157" s="278" t="s">
        <v>422</v>
      </c>
      <c r="AG157" s="278" t="s">
        <v>422</v>
      </c>
      <c r="AH157" s="278" t="s">
        <v>422</v>
      </c>
      <c r="AI157" s="278" t="s">
        <v>423</v>
      </c>
      <c r="AJ157" s="278" t="s">
        <v>423</v>
      </c>
      <c r="AK157" s="278" t="s">
        <v>423</v>
      </c>
      <c r="AL157" s="279" t="s">
        <v>491</v>
      </c>
      <c r="AM157" s="241"/>
      <c r="AN157" s="241"/>
    </row>
    <row r="158" spans="1:40" ht="15" customHeight="1" x14ac:dyDescent="0.3">
      <c r="A158" s="185">
        <v>218</v>
      </c>
      <c r="B158" s="230" t="s">
        <v>1261</v>
      </c>
      <c r="C158" s="247" t="s">
        <v>1615</v>
      </c>
      <c r="D158" s="199" t="s">
        <v>1881</v>
      </c>
      <c r="E158" s="230"/>
      <c r="F158" s="230"/>
      <c r="G158" s="368" t="s">
        <v>1604</v>
      </c>
      <c r="H158" s="230"/>
      <c r="I158" s="359">
        <v>2</v>
      </c>
      <c r="J158" s="360">
        <v>11.5</v>
      </c>
      <c r="K158" s="230">
        <v>0</v>
      </c>
      <c r="L158" s="212">
        <v>2</v>
      </c>
      <c r="M158" s="212">
        <f t="shared" si="20"/>
        <v>15.5</v>
      </c>
      <c r="N158" s="212">
        <f t="shared" si="21"/>
        <v>16</v>
      </c>
      <c r="O158" s="212">
        <f t="shared" si="22"/>
        <v>46</v>
      </c>
      <c r="P158" s="212">
        <f t="shared" si="23"/>
        <v>0</v>
      </c>
      <c r="Q158" s="212">
        <f t="shared" si="24"/>
        <v>16</v>
      </c>
      <c r="R158" s="212">
        <f t="shared" si="25"/>
        <v>78</v>
      </c>
      <c r="S158" s="373" t="s">
        <v>1281</v>
      </c>
      <c r="T158" s="373" t="s">
        <v>1282</v>
      </c>
      <c r="U158" s="280">
        <v>65</v>
      </c>
      <c r="V158" s="280">
        <v>65</v>
      </c>
      <c r="W158" s="280">
        <v>65</v>
      </c>
      <c r="X158" s="374">
        <v>44113</v>
      </c>
      <c r="Y158" s="374">
        <v>44208</v>
      </c>
      <c r="Z158" s="276">
        <v>44161</v>
      </c>
      <c r="AA158" s="273">
        <f t="shared" si="26"/>
        <v>2020</v>
      </c>
      <c r="AB158" s="273">
        <f t="shared" si="27"/>
        <v>11</v>
      </c>
      <c r="AC158" s="278" t="s">
        <v>920</v>
      </c>
      <c r="AD158" s="278" t="s">
        <v>422</v>
      </c>
      <c r="AE158" s="278" t="s">
        <v>422</v>
      </c>
      <c r="AF158" s="278" t="s">
        <v>422</v>
      </c>
      <c r="AG158" s="278" t="s">
        <v>422</v>
      </c>
      <c r="AH158" s="278" t="s">
        <v>422</v>
      </c>
      <c r="AI158" s="278" t="s">
        <v>423</v>
      </c>
      <c r="AJ158" s="278" t="s">
        <v>422</v>
      </c>
      <c r="AK158" s="278" t="s">
        <v>423</v>
      </c>
      <c r="AL158" s="279" t="s">
        <v>1428</v>
      </c>
      <c r="AM158" s="241"/>
      <c r="AN158" s="241"/>
    </row>
    <row r="159" spans="1:40" ht="15" customHeight="1" x14ac:dyDescent="0.3">
      <c r="A159" s="185">
        <v>219</v>
      </c>
      <c r="B159" s="230" t="s">
        <v>1271</v>
      </c>
      <c r="C159" s="247" t="s">
        <v>1615</v>
      </c>
      <c r="D159" s="199" t="s">
        <v>1881</v>
      </c>
      <c r="E159" s="230"/>
      <c r="F159" s="230" t="s">
        <v>1600</v>
      </c>
      <c r="G159" s="368" t="s">
        <v>1604</v>
      </c>
      <c r="H159" s="230" t="s">
        <v>1428</v>
      </c>
      <c r="I159" s="230">
        <v>1</v>
      </c>
      <c r="J159" s="230">
        <v>11</v>
      </c>
      <c r="K159" s="230">
        <v>0</v>
      </c>
      <c r="L159" s="212">
        <v>1.5</v>
      </c>
      <c r="M159" s="212">
        <f t="shared" si="20"/>
        <v>13.5</v>
      </c>
      <c r="N159" s="212">
        <f t="shared" si="21"/>
        <v>8</v>
      </c>
      <c r="O159" s="212">
        <f t="shared" si="22"/>
        <v>44</v>
      </c>
      <c r="P159" s="212">
        <f t="shared" si="23"/>
        <v>0</v>
      </c>
      <c r="Q159" s="212">
        <f t="shared" si="24"/>
        <v>12</v>
      </c>
      <c r="R159" s="212">
        <f t="shared" si="25"/>
        <v>64</v>
      </c>
      <c r="S159" s="373" t="s">
        <v>1283</v>
      </c>
      <c r="T159" s="373" t="s">
        <v>1284</v>
      </c>
      <c r="U159" s="280">
        <v>36</v>
      </c>
      <c r="V159" s="280">
        <v>36</v>
      </c>
      <c r="W159" s="280">
        <v>36</v>
      </c>
      <c r="X159" s="374">
        <v>44113</v>
      </c>
      <c r="Y159" s="374">
        <v>44208</v>
      </c>
      <c r="Z159" s="276">
        <v>44161</v>
      </c>
      <c r="AA159" s="273">
        <f t="shared" si="26"/>
        <v>2020</v>
      </c>
      <c r="AB159" s="273">
        <f t="shared" si="27"/>
        <v>11</v>
      </c>
      <c r="AC159" s="278" t="s">
        <v>920</v>
      </c>
      <c r="AD159" s="278" t="s">
        <v>422</v>
      </c>
      <c r="AE159" s="278" t="s">
        <v>422</v>
      </c>
      <c r="AF159" s="278" t="s">
        <v>422</v>
      </c>
      <c r="AG159" s="278" t="s">
        <v>422</v>
      </c>
      <c r="AH159" s="278" t="s">
        <v>422</v>
      </c>
      <c r="AI159" s="278" t="s">
        <v>423</v>
      </c>
      <c r="AJ159" s="278" t="s">
        <v>422</v>
      </c>
      <c r="AK159" s="278" t="s">
        <v>423</v>
      </c>
      <c r="AL159" s="279" t="s">
        <v>1428</v>
      </c>
      <c r="AM159" s="241"/>
      <c r="AN159" s="241"/>
    </row>
    <row r="160" spans="1:40" ht="15" customHeight="1" x14ac:dyDescent="0.3">
      <c r="A160" s="185">
        <v>230</v>
      </c>
      <c r="B160" s="230" t="s">
        <v>1306</v>
      </c>
      <c r="C160" s="247" t="s">
        <v>1847</v>
      </c>
      <c r="D160" s="200" t="s">
        <v>1848</v>
      </c>
      <c r="E160" s="230"/>
      <c r="F160" s="230"/>
      <c r="G160" s="230" t="s">
        <v>1953</v>
      </c>
      <c r="H160" s="230" t="s">
        <v>1956</v>
      </c>
      <c r="I160" s="359">
        <v>1</v>
      </c>
      <c r="J160" s="230">
        <v>5.5</v>
      </c>
      <c r="K160" s="360">
        <v>6.1</v>
      </c>
      <c r="L160" s="212">
        <v>0.8</v>
      </c>
      <c r="M160" s="212">
        <f t="shared" si="20"/>
        <v>13.4</v>
      </c>
      <c r="N160" s="212">
        <f t="shared" si="21"/>
        <v>8</v>
      </c>
      <c r="O160" s="212">
        <f t="shared" si="22"/>
        <v>22</v>
      </c>
      <c r="P160" s="212">
        <f t="shared" si="23"/>
        <v>40.666666666666664</v>
      </c>
      <c r="Q160" s="212">
        <f t="shared" si="24"/>
        <v>6.4</v>
      </c>
      <c r="R160" s="212">
        <f t="shared" si="25"/>
        <v>77.066666666666663</v>
      </c>
      <c r="S160" s="373" t="s">
        <v>1312</v>
      </c>
      <c r="T160" s="373" t="s">
        <v>1312</v>
      </c>
      <c r="U160" s="375">
        <v>20</v>
      </c>
      <c r="V160" s="280">
        <v>20</v>
      </c>
      <c r="W160" s="280">
        <v>20</v>
      </c>
      <c r="X160" s="374">
        <v>44113</v>
      </c>
      <c r="Y160" s="374">
        <v>44141</v>
      </c>
      <c r="Z160" s="276">
        <v>44154</v>
      </c>
      <c r="AA160" s="273">
        <f t="shared" si="26"/>
        <v>2020</v>
      </c>
      <c r="AB160" s="273">
        <f t="shared" si="27"/>
        <v>11</v>
      </c>
      <c r="AC160" s="278" t="s">
        <v>920</v>
      </c>
      <c r="AD160" s="278" t="s">
        <v>422</v>
      </c>
      <c r="AE160" s="278" t="s">
        <v>423</v>
      </c>
      <c r="AF160" s="278" t="s">
        <v>422</v>
      </c>
      <c r="AG160" s="278" t="s">
        <v>422</v>
      </c>
      <c r="AH160" s="278" t="s">
        <v>422</v>
      </c>
      <c r="AI160" s="278" t="s">
        <v>422</v>
      </c>
      <c r="AJ160" s="278" t="s">
        <v>423</v>
      </c>
      <c r="AK160" s="278" t="s">
        <v>423</v>
      </c>
      <c r="AL160" s="279" t="s">
        <v>1240</v>
      </c>
      <c r="AM160" s="241"/>
      <c r="AN160" s="242" t="s">
        <v>1431</v>
      </c>
    </row>
    <row r="161" spans="1:40" ht="15" customHeight="1" x14ac:dyDescent="0.3">
      <c r="A161" s="185">
        <v>231</v>
      </c>
      <c r="B161" s="230" t="s">
        <v>1307</v>
      </c>
      <c r="C161" s="247" t="s">
        <v>1847</v>
      </c>
      <c r="D161" s="200" t="s">
        <v>1848</v>
      </c>
      <c r="E161" s="230"/>
      <c r="F161" s="230"/>
      <c r="G161" s="230" t="s">
        <v>1953</v>
      </c>
      <c r="H161" s="230" t="s">
        <v>1956</v>
      </c>
      <c r="I161" s="359">
        <v>1</v>
      </c>
      <c r="J161" s="230">
        <v>6</v>
      </c>
      <c r="K161" s="230">
        <v>6.1</v>
      </c>
      <c r="L161" s="212">
        <v>0.8</v>
      </c>
      <c r="M161" s="212">
        <f t="shared" si="20"/>
        <v>13.9</v>
      </c>
      <c r="N161" s="212">
        <f t="shared" si="21"/>
        <v>8</v>
      </c>
      <c r="O161" s="212">
        <f t="shared" si="22"/>
        <v>24</v>
      </c>
      <c r="P161" s="212">
        <f t="shared" si="23"/>
        <v>40.666666666666664</v>
      </c>
      <c r="Q161" s="212">
        <f t="shared" si="24"/>
        <v>6.4</v>
      </c>
      <c r="R161" s="212">
        <f t="shared" si="25"/>
        <v>79.066666666666663</v>
      </c>
      <c r="S161" s="373" t="s">
        <v>1313</v>
      </c>
      <c r="T161" s="373" t="s">
        <v>1313</v>
      </c>
      <c r="U161" s="375">
        <v>20</v>
      </c>
      <c r="V161" s="280">
        <v>20</v>
      </c>
      <c r="W161" s="280">
        <v>20</v>
      </c>
      <c r="X161" s="374">
        <v>44113</v>
      </c>
      <c r="Y161" s="374">
        <v>44141</v>
      </c>
      <c r="Z161" s="276">
        <v>44154</v>
      </c>
      <c r="AA161" s="273">
        <f t="shared" si="26"/>
        <v>2020</v>
      </c>
      <c r="AB161" s="273">
        <f t="shared" si="27"/>
        <v>11</v>
      </c>
      <c r="AC161" s="278" t="s">
        <v>920</v>
      </c>
      <c r="AD161" s="278" t="s">
        <v>422</v>
      </c>
      <c r="AE161" s="278" t="s">
        <v>423</v>
      </c>
      <c r="AF161" s="278" t="s">
        <v>422</v>
      </c>
      <c r="AG161" s="278" t="s">
        <v>422</v>
      </c>
      <c r="AH161" s="278" t="s">
        <v>422</v>
      </c>
      <c r="AI161" s="278" t="s">
        <v>422</v>
      </c>
      <c r="AJ161" s="278" t="s">
        <v>423</v>
      </c>
      <c r="AK161" s="278" t="s">
        <v>423</v>
      </c>
      <c r="AL161" s="279" t="s">
        <v>1240</v>
      </c>
      <c r="AM161" s="241"/>
      <c r="AN161" s="242" t="s">
        <v>1431</v>
      </c>
    </row>
    <row r="162" spans="1:40" ht="15" customHeight="1" x14ac:dyDescent="0.3">
      <c r="A162" s="185">
        <v>232</v>
      </c>
      <c r="B162" s="230" t="s">
        <v>1308</v>
      </c>
      <c r="C162" s="247" t="s">
        <v>1847</v>
      </c>
      <c r="D162" s="200" t="s">
        <v>1848</v>
      </c>
      <c r="E162" s="230"/>
      <c r="F162" s="230"/>
      <c r="G162" s="230" t="s">
        <v>1953</v>
      </c>
      <c r="H162" s="230" t="s">
        <v>1956</v>
      </c>
      <c r="I162" s="359">
        <v>1</v>
      </c>
      <c r="J162" s="230">
        <v>5</v>
      </c>
      <c r="K162" s="230">
        <v>6.9</v>
      </c>
      <c r="L162" s="212">
        <v>0.8</v>
      </c>
      <c r="M162" s="212">
        <f t="shared" si="20"/>
        <v>13.700000000000001</v>
      </c>
      <c r="N162" s="212">
        <f t="shared" si="21"/>
        <v>8</v>
      </c>
      <c r="O162" s="212">
        <f t="shared" si="22"/>
        <v>20</v>
      </c>
      <c r="P162" s="212">
        <f t="shared" si="23"/>
        <v>46.000000000000007</v>
      </c>
      <c r="Q162" s="212">
        <f t="shared" si="24"/>
        <v>6.4</v>
      </c>
      <c r="R162" s="212">
        <f t="shared" si="25"/>
        <v>80.400000000000006</v>
      </c>
      <c r="S162" s="373" t="s">
        <v>1314</v>
      </c>
      <c r="T162" s="373" t="s">
        <v>1314</v>
      </c>
      <c r="U162" s="375">
        <v>20</v>
      </c>
      <c r="V162" s="280">
        <v>20</v>
      </c>
      <c r="W162" s="280">
        <v>20</v>
      </c>
      <c r="X162" s="374">
        <v>44113</v>
      </c>
      <c r="Y162" s="374">
        <v>44141</v>
      </c>
      <c r="Z162" s="276">
        <v>44154</v>
      </c>
      <c r="AA162" s="273">
        <f t="shared" si="26"/>
        <v>2020</v>
      </c>
      <c r="AB162" s="273">
        <f t="shared" si="27"/>
        <v>11</v>
      </c>
      <c r="AC162" s="278" t="s">
        <v>920</v>
      </c>
      <c r="AD162" s="278" t="s">
        <v>422</v>
      </c>
      <c r="AE162" s="278" t="s">
        <v>423</v>
      </c>
      <c r="AF162" s="278" t="s">
        <v>422</v>
      </c>
      <c r="AG162" s="278" t="s">
        <v>422</v>
      </c>
      <c r="AH162" s="278" t="s">
        <v>422</v>
      </c>
      <c r="AI162" s="278" t="s">
        <v>422</v>
      </c>
      <c r="AJ162" s="278" t="s">
        <v>423</v>
      </c>
      <c r="AK162" s="278" t="s">
        <v>423</v>
      </c>
      <c r="AL162" s="279" t="s">
        <v>1240</v>
      </c>
      <c r="AM162" s="241"/>
      <c r="AN162" s="242" t="s">
        <v>1431</v>
      </c>
    </row>
    <row r="163" spans="1:40" ht="15" customHeight="1" x14ac:dyDescent="0.3">
      <c r="A163" s="185">
        <v>233</v>
      </c>
      <c r="B163" s="230" t="s">
        <v>1309</v>
      </c>
      <c r="C163" s="247" t="s">
        <v>1847</v>
      </c>
      <c r="D163" s="199" t="s">
        <v>1848</v>
      </c>
      <c r="E163" s="230"/>
      <c r="F163" s="230"/>
      <c r="G163" s="230" t="s">
        <v>1953</v>
      </c>
      <c r="H163" s="230" t="s">
        <v>1040</v>
      </c>
      <c r="I163" s="359">
        <v>1</v>
      </c>
      <c r="J163" s="230">
        <v>4.5</v>
      </c>
      <c r="K163" s="230">
        <v>8</v>
      </c>
      <c r="L163" s="212">
        <v>0.8</v>
      </c>
      <c r="M163" s="212">
        <f t="shared" si="20"/>
        <v>14.3</v>
      </c>
      <c r="N163" s="212">
        <f t="shared" si="21"/>
        <v>8</v>
      </c>
      <c r="O163" s="212">
        <f t="shared" si="22"/>
        <v>18</v>
      </c>
      <c r="P163" s="212">
        <f t="shared" si="23"/>
        <v>53.333333333333336</v>
      </c>
      <c r="Q163" s="212">
        <f t="shared" si="24"/>
        <v>6.4</v>
      </c>
      <c r="R163" s="212">
        <f t="shared" si="25"/>
        <v>85.733333333333348</v>
      </c>
      <c r="S163" s="373" t="s">
        <v>1315</v>
      </c>
      <c r="T163" s="373" t="s">
        <v>1315</v>
      </c>
      <c r="U163" s="375">
        <v>21</v>
      </c>
      <c r="V163" s="280">
        <v>21</v>
      </c>
      <c r="W163" s="280">
        <v>21</v>
      </c>
      <c r="X163" s="374">
        <v>44113</v>
      </c>
      <c r="Y163" s="374">
        <v>44141</v>
      </c>
      <c r="Z163" s="276">
        <v>44154</v>
      </c>
      <c r="AA163" s="273">
        <f t="shared" si="26"/>
        <v>2020</v>
      </c>
      <c r="AB163" s="273">
        <f t="shared" si="27"/>
        <v>11</v>
      </c>
      <c r="AC163" s="278" t="s">
        <v>920</v>
      </c>
      <c r="AD163" s="278" t="s">
        <v>422</v>
      </c>
      <c r="AE163" s="278" t="s">
        <v>423</v>
      </c>
      <c r="AF163" s="278" t="s">
        <v>422</v>
      </c>
      <c r="AG163" s="278" t="s">
        <v>422</v>
      </c>
      <c r="AH163" s="278" t="s">
        <v>422</v>
      </c>
      <c r="AI163" s="278" t="s">
        <v>422</v>
      </c>
      <c r="AJ163" s="278" t="s">
        <v>423</v>
      </c>
      <c r="AK163" s="278" t="s">
        <v>423</v>
      </c>
      <c r="AL163" s="279" t="s">
        <v>254</v>
      </c>
      <c r="AM163" s="241"/>
      <c r="AN163" s="242" t="s">
        <v>1431</v>
      </c>
    </row>
    <row r="164" spans="1:40" ht="15" customHeight="1" x14ac:dyDescent="0.3">
      <c r="A164" s="185">
        <v>234</v>
      </c>
      <c r="B164" s="230" t="s">
        <v>1310</v>
      </c>
      <c r="C164" s="247" t="s">
        <v>1847</v>
      </c>
      <c r="D164" s="199" t="s">
        <v>1848</v>
      </c>
      <c r="E164" s="230"/>
      <c r="F164" s="230"/>
      <c r="G164" s="230" t="s">
        <v>1953</v>
      </c>
      <c r="H164" s="230" t="s">
        <v>1040</v>
      </c>
      <c r="I164" s="359">
        <v>1</v>
      </c>
      <c r="J164" s="230">
        <v>4.5</v>
      </c>
      <c r="K164" s="360">
        <v>85</v>
      </c>
      <c r="L164" s="212">
        <v>0.8</v>
      </c>
      <c r="M164" s="212">
        <f t="shared" si="20"/>
        <v>91.3</v>
      </c>
      <c r="N164" s="212">
        <f t="shared" si="21"/>
        <v>8</v>
      </c>
      <c r="O164" s="212">
        <f t="shared" si="22"/>
        <v>18</v>
      </c>
      <c r="P164" s="212">
        <f t="shared" si="23"/>
        <v>566.66666666666674</v>
      </c>
      <c r="Q164" s="212">
        <f t="shared" si="24"/>
        <v>6.4</v>
      </c>
      <c r="R164" s="212">
        <f t="shared" si="25"/>
        <v>599.06666666666672</v>
      </c>
      <c r="S164" s="373" t="s">
        <v>1316</v>
      </c>
      <c r="T164" s="373" t="s">
        <v>1316</v>
      </c>
      <c r="U164" s="375">
        <v>21</v>
      </c>
      <c r="V164" s="280">
        <v>21</v>
      </c>
      <c r="W164" s="280">
        <v>21</v>
      </c>
      <c r="X164" s="374">
        <v>44113</v>
      </c>
      <c r="Y164" s="374">
        <v>44141</v>
      </c>
      <c r="Z164" s="276">
        <v>44154</v>
      </c>
      <c r="AA164" s="273">
        <f t="shared" si="26"/>
        <v>2020</v>
      </c>
      <c r="AB164" s="273">
        <f t="shared" si="27"/>
        <v>11</v>
      </c>
      <c r="AC164" s="278" t="s">
        <v>920</v>
      </c>
      <c r="AD164" s="278" t="s">
        <v>422</v>
      </c>
      <c r="AE164" s="278" t="s">
        <v>423</v>
      </c>
      <c r="AF164" s="278" t="s">
        <v>422</v>
      </c>
      <c r="AG164" s="278" t="s">
        <v>422</v>
      </c>
      <c r="AH164" s="278" t="s">
        <v>422</v>
      </c>
      <c r="AI164" s="278" t="s">
        <v>422</v>
      </c>
      <c r="AJ164" s="278" t="s">
        <v>423</v>
      </c>
      <c r="AK164" s="278" t="s">
        <v>423</v>
      </c>
      <c r="AL164" s="279" t="s">
        <v>254</v>
      </c>
      <c r="AM164" s="241"/>
      <c r="AN164" s="242" t="s">
        <v>1431</v>
      </c>
    </row>
    <row r="165" spans="1:40" ht="15" customHeight="1" x14ac:dyDescent="0.3">
      <c r="A165" s="185">
        <v>235</v>
      </c>
      <c r="B165" s="230" t="s">
        <v>1311</v>
      </c>
      <c r="C165" s="247" t="s">
        <v>1847</v>
      </c>
      <c r="D165" s="199" t="s">
        <v>1848</v>
      </c>
      <c r="E165" s="230"/>
      <c r="F165" s="230"/>
      <c r="G165" s="230" t="s">
        <v>1953</v>
      </c>
      <c r="H165" s="230" t="s">
        <v>1040</v>
      </c>
      <c r="I165" s="359">
        <v>1</v>
      </c>
      <c r="J165" s="230">
        <v>3.5</v>
      </c>
      <c r="K165" s="230">
        <v>8.8000000000000007</v>
      </c>
      <c r="L165" s="212">
        <v>0.8</v>
      </c>
      <c r="M165" s="212">
        <f t="shared" si="20"/>
        <v>14.100000000000001</v>
      </c>
      <c r="N165" s="212">
        <f t="shared" si="21"/>
        <v>8</v>
      </c>
      <c r="O165" s="212">
        <f t="shared" si="22"/>
        <v>14</v>
      </c>
      <c r="P165" s="212">
        <f t="shared" si="23"/>
        <v>58.666666666666671</v>
      </c>
      <c r="Q165" s="212">
        <f t="shared" si="24"/>
        <v>6.4</v>
      </c>
      <c r="R165" s="212">
        <f t="shared" si="25"/>
        <v>87.066666666666677</v>
      </c>
      <c r="S165" s="373" t="s">
        <v>1317</v>
      </c>
      <c r="T165" s="373" t="s">
        <v>1317</v>
      </c>
      <c r="U165" s="375">
        <v>21</v>
      </c>
      <c r="V165" s="280">
        <v>21</v>
      </c>
      <c r="W165" s="280">
        <v>21</v>
      </c>
      <c r="X165" s="374">
        <v>44113</v>
      </c>
      <c r="Y165" s="374">
        <v>44141</v>
      </c>
      <c r="Z165" s="276">
        <v>44154</v>
      </c>
      <c r="AA165" s="273">
        <f t="shared" si="26"/>
        <v>2020</v>
      </c>
      <c r="AB165" s="273">
        <f t="shared" si="27"/>
        <v>11</v>
      </c>
      <c r="AC165" s="278" t="s">
        <v>920</v>
      </c>
      <c r="AD165" s="278" t="s">
        <v>422</v>
      </c>
      <c r="AE165" s="278" t="s">
        <v>423</v>
      </c>
      <c r="AF165" s="278" t="s">
        <v>422</v>
      </c>
      <c r="AG165" s="278" t="s">
        <v>422</v>
      </c>
      <c r="AH165" s="278" t="s">
        <v>422</v>
      </c>
      <c r="AI165" s="278" t="s">
        <v>422</v>
      </c>
      <c r="AJ165" s="278" t="s">
        <v>423</v>
      </c>
      <c r="AK165" s="278" t="s">
        <v>423</v>
      </c>
      <c r="AL165" s="279" t="s">
        <v>254</v>
      </c>
      <c r="AM165" s="241"/>
      <c r="AN165" s="242" t="s">
        <v>1431</v>
      </c>
    </row>
    <row r="166" spans="1:40" ht="15" customHeight="1" x14ac:dyDescent="0.3">
      <c r="A166" s="185">
        <v>209</v>
      </c>
      <c r="B166" s="230" t="s">
        <v>1222</v>
      </c>
      <c r="C166" s="247" t="s">
        <v>1615</v>
      </c>
      <c r="D166" s="199" t="s">
        <v>1881</v>
      </c>
      <c r="E166" s="230"/>
      <c r="F166" s="230"/>
      <c r="G166" s="368" t="s">
        <v>1604</v>
      </c>
      <c r="H166" s="248" t="s">
        <v>1427</v>
      </c>
      <c r="I166" s="359">
        <v>1</v>
      </c>
      <c r="J166" s="248">
        <v>14</v>
      </c>
      <c r="K166" s="248">
        <v>0</v>
      </c>
      <c r="L166" s="212">
        <v>1.5</v>
      </c>
      <c r="M166" s="212">
        <f t="shared" si="20"/>
        <v>16.5</v>
      </c>
      <c r="N166" s="212">
        <f t="shared" si="21"/>
        <v>8</v>
      </c>
      <c r="O166" s="212">
        <f t="shared" si="22"/>
        <v>56</v>
      </c>
      <c r="P166" s="212">
        <f t="shared" si="23"/>
        <v>0</v>
      </c>
      <c r="Q166" s="212">
        <f t="shared" si="24"/>
        <v>12</v>
      </c>
      <c r="R166" s="212">
        <f t="shared" si="25"/>
        <v>76</v>
      </c>
      <c r="S166" s="373" t="s">
        <v>1231</v>
      </c>
      <c r="T166" s="373" t="s">
        <v>1253</v>
      </c>
      <c r="U166" s="280">
        <v>50</v>
      </c>
      <c r="V166" s="280">
        <v>50</v>
      </c>
      <c r="W166" s="280">
        <v>50</v>
      </c>
      <c r="X166" s="374">
        <v>44089</v>
      </c>
      <c r="Y166" s="374">
        <v>44211</v>
      </c>
      <c r="Z166" s="276">
        <v>44195</v>
      </c>
      <c r="AA166" s="273">
        <f t="shared" si="26"/>
        <v>2020</v>
      </c>
      <c r="AB166" s="273">
        <f t="shared" si="27"/>
        <v>12</v>
      </c>
      <c r="AC166" s="278" t="s">
        <v>920</v>
      </c>
      <c r="AD166" s="278" t="s">
        <v>422</v>
      </c>
      <c r="AE166" s="278" t="s">
        <v>422</v>
      </c>
      <c r="AF166" s="278" t="s">
        <v>422</v>
      </c>
      <c r="AG166" s="278" t="s">
        <v>422</v>
      </c>
      <c r="AH166" s="278" t="s">
        <v>422</v>
      </c>
      <c r="AI166" s="278" t="s">
        <v>423</v>
      </c>
      <c r="AJ166" s="278" t="s">
        <v>422</v>
      </c>
      <c r="AK166" s="278" t="s">
        <v>423</v>
      </c>
      <c r="AL166" s="279" t="s">
        <v>1427</v>
      </c>
      <c r="AM166" s="241"/>
      <c r="AN166" s="241"/>
    </row>
    <row r="167" spans="1:40" ht="15" customHeight="1" x14ac:dyDescent="0.3">
      <c r="A167" s="185">
        <v>215</v>
      </c>
      <c r="B167" s="230" t="s">
        <v>1228</v>
      </c>
      <c r="C167" s="247" t="s">
        <v>1615</v>
      </c>
      <c r="D167" s="199" t="s">
        <v>1881</v>
      </c>
      <c r="E167" s="370" t="s">
        <v>1596</v>
      </c>
      <c r="F167" s="230" t="s">
        <v>1600</v>
      </c>
      <c r="G167" s="368" t="s">
        <v>1604</v>
      </c>
      <c r="H167" s="248" t="s">
        <v>1428</v>
      </c>
      <c r="I167" s="248">
        <v>1</v>
      </c>
      <c r="J167" s="248">
        <v>11.5</v>
      </c>
      <c r="K167" s="248">
        <v>0</v>
      </c>
      <c r="L167" s="212">
        <v>2</v>
      </c>
      <c r="M167" s="212">
        <f t="shared" si="20"/>
        <v>14.5</v>
      </c>
      <c r="N167" s="212">
        <f t="shared" si="21"/>
        <v>8</v>
      </c>
      <c r="O167" s="212">
        <f t="shared" si="22"/>
        <v>46</v>
      </c>
      <c r="P167" s="212">
        <f t="shared" si="23"/>
        <v>0</v>
      </c>
      <c r="Q167" s="212">
        <f t="shared" si="24"/>
        <v>16</v>
      </c>
      <c r="R167" s="212">
        <f t="shared" si="25"/>
        <v>70</v>
      </c>
      <c r="S167" s="373" t="s">
        <v>1239</v>
      </c>
      <c r="T167" s="373" t="s">
        <v>1259</v>
      </c>
      <c r="U167" s="280">
        <v>210</v>
      </c>
      <c r="V167" s="280">
        <v>210</v>
      </c>
      <c r="W167" s="280">
        <v>210</v>
      </c>
      <c r="X167" s="374">
        <v>44089</v>
      </c>
      <c r="Y167" s="374">
        <v>44211</v>
      </c>
      <c r="Z167" s="276">
        <v>44195</v>
      </c>
      <c r="AA167" s="273">
        <f t="shared" si="26"/>
        <v>2020</v>
      </c>
      <c r="AB167" s="273">
        <f t="shared" si="27"/>
        <v>12</v>
      </c>
      <c r="AC167" s="278" t="s">
        <v>920</v>
      </c>
      <c r="AD167" s="278" t="s">
        <v>422</v>
      </c>
      <c r="AE167" s="278" t="s">
        <v>422</v>
      </c>
      <c r="AF167" s="278" t="s">
        <v>422</v>
      </c>
      <c r="AG167" s="278" t="s">
        <v>422</v>
      </c>
      <c r="AH167" s="278" t="s">
        <v>422</v>
      </c>
      <c r="AI167" s="278" t="s">
        <v>423</v>
      </c>
      <c r="AJ167" s="278" t="s">
        <v>422</v>
      </c>
      <c r="AK167" s="278" t="s">
        <v>423</v>
      </c>
      <c r="AL167" s="279" t="s">
        <v>1428</v>
      </c>
      <c r="AM167" s="241"/>
      <c r="AN167" s="241"/>
    </row>
    <row r="168" spans="1:40" ht="15" customHeight="1" x14ac:dyDescent="0.3">
      <c r="A168" s="185">
        <v>236</v>
      </c>
      <c r="B168" s="230" t="s">
        <v>1318</v>
      </c>
      <c r="C168" s="247" t="s">
        <v>1830</v>
      </c>
      <c r="D168" s="199" t="s">
        <v>1881</v>
      </c>
      <c r="E168" s="230"/>
      <c r="F168" s="230"/>
      <c r="G168" s="230" t="s">
        <v>1953</v>
      </c>
      <c r="H168" s="230" t="s">
        <v>1010</v>
      </c>
      <c r="I168" s="359">
        <v>1</v>
      </c>
      <c r="J168" s="230">
        <v>13</v>
      </c>
      <c r="K168" s="360">
        <v>1.5</v>
      </c>
      <c r="L168" s="212">
        <v>1</v>
      </c>
      <c r="M168" s="212">
        <f t="shared" si="20"/>
        <v>16.5</v>
      </c>
      <c r="N168" s="212">
        <f t="shared" si="21"/>
        <v>8</v>
      </c>
      <c r="O168" s="212">
        <f t="shared" si="22"/>
        <v>52</v>
      </c>
      <c r="P168" s="212">
        <f t="shared" si="23"/>
        <v>10</v>
      </c>
      <c r="Q168" s="212">
        <f t="shared" si="24"/>
        <v>8</v>
      </c>
      <c r="R168" s="212">
        <f t="shared" si="25"/>
        <v>78</v>
      </c>
      <c r="S168" s="373" t="s">
        <v>1320</v>
      </c>
      <c r="T168" s="373" t="s">
        <v>1321</v>
      </c>
      <c r="U168" s="375">
        <v>40</v>
      </c>
      <c r="V168" s="280">
        <v>40</v>
      </c>
      <c r="W168" s="280">
        <v>40</v>
      </c>
      <c r="X168" s="374">
        <v>44113</v>
      </c>
      <c r="Y168" s="374">
        <v>44180</v>
      </c>
      <c r="Z168" s="276">
        <v>44168</v>
      </c>
      <c r="AA168" s="273">
        <f t="shared" si="26"/>
        <v>2020</v>
      </c>
      <c r="AB168" s="273">
        <f t="shared" si="27"/>
        <v>12</v>
      </c>
      <c r="AC168" s="278" t="s">
        <v>920</v>
      </c>
      <c r="AD168" s="278" t="s">
        <v>422</v>
      </c>
      <c r="AE168" s="278" t="s">
        <v>422</v>
      </c>
      <c r="AF168" s="278" t="s">
        <v>422</v>
      </c>
      <c r="AG168" s="278" t="s">
        <v>422</v>
      </c>
      <c r="AH168" s="278" t="s">
        <v>449</v>
      </c>
      <c r="AI168" s="278" t="s">
        <v>449</v>
      </c>
      <c r="AJ168" s="278" t="s">
        <v>423</v>
      </c>
      <c r="AK168" s="278" t="s">
        <v>423</v>
      </c>
      <c r="AL168" s="279" t="s">
        <v>140</v>
      </c>
      <c r="AM168" s="241"/>
      <c r="AN168" s="241"/>
    </row>
    <row r="169" spans="1:40" ht="15" customHeight="1" x14ac:dyDescent="0.3">
      <c r="A169" s="185">
        <v>237</v>
      </c>
      <c r="B169" s="230" t="s">
        <v>1319</v>
      </c>
      <c r="C169" s="247" t="s">
        <v>1830</v>
      </c>
      <c r="D169" s="199" t="s">
        <v>1881</v>
      </c>
      <c r="E169" s="230"/>
      <c r="F169" s="230"/>
      <c r="G169" s="230" t="s">
        <v>1953</v>
      </c>
      <c r="H169" s="230" t="s">
        <v>1598</v>
      </c>
      <c r="I169" s="359">
        <v>1</v>
      </c>
      <c r="J169" s="230">
        <v>13</v>
      </c>
      <c r="K169" s="360">
        <v>1.5</v>
      </c>
      <c r="L169" s="212">
        <v>1</v>
      </c>
      <c r="M169" s="212">
        <f t="shared" si="20"/>
        <v>16.5</v>
      </c>
      <c r="N169" s="212">
        <f t="shared" si="21"/>
        <v>8</v>
      </c>
      <c r="O169" s="212">
        <f t="shared" si="22"/>
        <v>52</v>
      </c>
      <c r="P169" s="212">
        <f t="shared" si="23"/>
        <v>10</v>
      </c>
      <c r="Q169" s="212">
        <f t="shared" si="24"/>
        <v>8</v>
      </c>
      <c r="R169" s="212">
        <f t="shared" si="25"/>
        <v>78</v>
      </c>
      <c r="S169" s="373" t="s">
        <v>1322</v>
      </c>
      <c r="T169" s="373" t="s">
        <v>1321</v>
      </c>
      <c r="U169" s="375">
        <v>100</v>
      </c>
      <c r="V169" s="280">
        <v>100</v>
      </c>
      <c r="W169" s="280">
        <v>100</v>
      </c>
      <c r="X169" s="374">
        <v>44113</v>
      </c>
      <c r="Y169" s="374">
        <v>44180</v>
      </c>
      <c r="Z169" s="276">
        <v>44168</v>
      </c>
      <c r="AA169" s="273">
        <f t="shared" si="26"/>
        <v>2020</v>
      </c>
      <c r="AB169" s="273">
        <f t="shared" si="27"/>
        <v>12</v>
      </c>
      <c r="AC169" s="278" t="s">
        <v>920</v>
      </c>
      <c r="AD169" s="278" t="s">
        <v>422</v>
      </c>
      <c r="AE169" s="278" t="s">
        <v>422</v>
      </c>
      <c r="AF169" s="278" t="s">
        <v>422</v>
      </c>
      <c r="AG169" s="278" t="s">
        <v>422</v>
      </c>
      <c r="AH169" s="278" t="s">
        <v>449</v>
      </c>
      <c r="AI169" s="278" t="s">
        <v>449</v>
      </c>
      <c r="AJ169" s="278" t="s">
        <v>423</v>
      </c>
      <c r="AK169" s="278" t="s">
        <v>423</v>
      </c>
      <c r="AL169" s="279" t="s">
        <v>1430</v>
      </c>
      <c r="AM169" s="241"/>
      <c r="AN169" s="241"/>
    </row>
    <row r="170" spans="1:40" ht="15" customHeight="1" x14ac:dyDescent="0.3">
      <c r="A170" s="185">
        <v>242</v>
      </c>
      <c r="B170" s="230" t="s">
        <v>1335</v>
      </c>
      <c r="C170" s="247" t="s">
        <v>1616</v>
      </c>
      <c r="D170" s="199" t="s">
        <v>1848</v>
      </c>
      <c r="E170" s="230"/>
      <c r="F170" s="230"/>
      <c r="G170" s="230" t="s">
        <v>1953</v>
      </c>
      <c r="H170" s="230"/>
      <c r="I170" s="359">
        <v>2</v>
      </c>
      <c r="J170" s="360">
        <v>15</v>
      </c>
      <c r="K170" s="230">
        <v>9</v>
      </c>
      <c r="L170" s="212">
        <v>1</v>
      </c>
      <c r="M170" s="212">
        <f t="shared" si="20"/>
        <v>27</v>
      </c>
      <c r="N170" s="212">
        <f t="shared" si="21"/>
        <v>16</v>
      </c>
      <c r="O170" s="212">
        <f t="shared" si="22"/>
        <v>60</v>
      </c>
      <c r="P170" s="212">
        <f t="shared" si="23"/>
        <v>60</v>
      </c>
      <c r="Q170" s="212">
        <f t="shared" si="24"/>
        <v>8</v>
      </c>
      <c r="R170" s="212">
        <f t="shared" si="25"/>
        <v>144</v>
      </c>
      <c r="S170" s="234" t="s">
        <v>1350</v>
      </c>
      <c r="T170" s="373" t="s">
        <v>1365</v>
      </c>
      <c r="U170" s="280">
        <v>6</v>
      </c>
      <c r="V170" s="280">
        <v>7</v>
      </c>
      <c r="W170" s="280">
        <v>7</v>
      </c>
      <c r="X170" s="374">
        <v>44123</v>
      </c>
      <c r="Y170" s="374">
        <v>44151</v>
      </c>
      <c r="Z170" s="276">
        <v>44176</v>
      </c>
      <c r="AA170" s="273">
        <f t="shared" si="26"/>
        <v>2020</v>
      </c>
      <c r="AB170" s="273">
        <f t="shared" si="27"/>
        <v>12</v>
      </c>
      <c r="AC170" s="278" t="s">
        <v>920</v>
      </c>
      <c r="AD170" s="278" t="s">
        <v>422</v>
      </c>
      <c r="AE170" s="278" t="s">
        <v>422</v>
      </c>
      <c r="AF170" s="278" t="s">
        <v>422</v>
      </c>
      <c r="AG170" s="278" t="s">
        <v>422</v>
      </c>
      <c r="AH170" s="278" t="s">
        <v>422</v>
      </c>
      <c r="AI170" s="278" t="s">
        <v>422</v>
      </c>
      <c r="AJ170" s="278" t="s">
        <v>423</v>
      </c>
      <c r="AK170" s="278" t="s">
        <v>423</v>
      </c>
      <c r="AL170" s="279" t="s">
        <v>140</v>
      </c>
      <c r="AM170" s="241"/>
      <c r="AN170" s="242" t="s">
        <v>1429</v>
      </c>
    </row>
    <row r="171" spans="1:40" ht="15" customHeight="1" x14ac:dyDescent="0.3">
      <c r="A171" s="185">
        <v>243</v>
      </c>
      <c r="B171" s="230" t="s">
        <v>1336</v>
      </c>
      <c r="C171" s="247" t="s">
        <v>1616</v>
      </c>
      <c r="D171" s="199" t="s">
        <v>1848</v>
      </c>
      <c r="E171" s="230"/>
      <c r="F171" s="230"/>
      <c r="G171" s="230" t="s">
        <v>1953</v>
      </c>
      <c r="H171" s="230"/>
      <c r="I171" s="359">
        <v>2</v>
      </c>
      <c r="J171" s="360">
        <v>15</v>
      </c>
      <c r="K171" s="230">
        <v>15</v>
      </c>
      <c r="L171" s="212">
        <v>1</v>
      </c>
      <c r="M171" s="212">
        <f t="shared" si="20"/>
        <v>33</v>
      </c>
      <c r="N171" s="212">
        <f t="shared" si="21"/>
        <v>16</v>
      </c>
      <c r="O171" s="212">
        <f t="shared" si="22"/>
        <v>60</v>
      </c>
      <c r="P171" s="212">
        <f t="shared" si="23"/>
        <v>100</v>
      </c>
      <c r="Q171" s="212">
        <f t="shared" si="24"/>
        <v>8</v>
      </c>
      <c r="R171" s="212">
        <f t="shared" si="25"/>
        <v>184</v>
      </c>
      <c r="S171" s="234" t="s">
        <v>1351</v>
      </c>
      <c r="T171" s="373" t="s">
        <v>1365</v>
      </c>
      <c r="U171" s="280">
        <v>7</v>
      </c>
      <c r="V171" s="280">
        <v>8</v>
      </c>
      <c r="W171" s="280">
        <v>8</v>
      </c>
      <c r="X171" s="374">
        <v>44123</v>
      </c>
      <c r="Y171" s="374">
        <v>44151</v>
      </c>
      <c r="Z171" s="276">
        <v>44176</v>
      </c>
      <c r="AA171" s="273">
        <f t="shared" si="26"/>
        <v>2020</v>
      </c>
      <c r="AB171" s="273">
        <f t="shared" si="27"/>
        <v>12</v>
      </c>
      <c r="AC171" s="278" t="s">
        <v>920</v>
      </c>
      <c r="AD171" s="278" t="s">
        <v>422</v>
      </c>
      <c r="AE171" s="278" t="s">
        <v>422</v>
      </c>
      <c r="AF171" s="278" t="s">
        <v>422</v>
      </c>
      <c r="AG171" s="278" t="s">
        <v>422</v>
      </c>
      <c r="AH171" s="278" t="s">
        <v>422</v>
      </c>
      <c r="AI171" s="278" t="s">
        <v>422</v>
      </c>
      <c r="AJ171" s="278" t="s">
        <v>423</v>
      </c>
      <c r="AK171" s="278" t="s">
        <v>423</v>
      </c>
      <c r="AL171" s="279" t="s">
        <v>140</v>
      </c>
      <c r="AM171" s="241"/>
      <c r="AN171" s="242" t="s">
        <v>1429</v>
      </c>
    </row>
    <row r="172" spans="1:40" ht="15" customHeight="1" x14ac:dyDescent="0.3">
      <c r="A172" s="185">
        <v>244</v>
      </c>
      <c r="B172" s="230" t="s">
        <v>1337</v>
      </c>
      <c r="C172" s="247" t="s">
        <v>1616</v>
      </c>
      <c r="D172" s="199" t="s">
        <v>1848</v>
      </c>
      <c r="E172" s="230"/>
      <c r="F172" s="230"/>
      <c r="G172" s="230" t="s">
        <v>1953</v>
      </c>
      <c r="H172" s="230"/>
      <c r="I172" s="359">
        <v>2</v>
      </c>
      <c r="J172" s="360">
        <v>12</v>
      </c>
      <c r="K172" s="360">
        <v>12</v>
      </c>
      <c r="L172" s="212">
        <v>1</v>
      </c>
      <c r="M172" s="212">
        <f t="shared" si="20"/>
        <v>27</v>
      </c>
      <c r="N172" s="212">
        <f t="shared" si="21"/>
        <v>16</v>
      </c>
      <c r="O172" s="212">
        <f t="shared" si="22"/>
        <v>48</v>
      </c>
      <c r="P172" s="212">
        <f t="shared" si="23"/>
        <v>80</v>
      </c>
      <c r="Q172" s="212">
        <f t="shared" si="24"/>
        <v>8</v>
      </c>
      <c r="R172" s="212">
        <f t="shared" si="25"/>
        <v>152</v>
      </c>
      <c r="S172" s="234" t="s">
        <v>1352</v>
      </c>
      <c r="T172" s="373" t="s">
        <v>1366</v>
      </c>
      <c r="U172" s="280">
        <v>6</v>
      </c>
      <c r="V172" s="280">
        <v>7</v>
      </c>
      <c r="W172" s="280">
        <v>7</v>
      </c>
      <c r="X172" s="374">
        <v>44123</v>
      </c>
      <c r="Y172" s="374">
        <v>44151</v>
      </c>
      <c r="Z172" s="276">
        <v>44176</v>
      </c>
      <c r="AA172" s="273">
        <f t="shared" si="26"/>
        <v>2020</v>
      </c>
      <c r="AB172" s="273">
        <f t="shared" si="27"/>
        <v>12</v>
      </c>
      <c r="AC172" s="278" t="s">
        <v>920</v>
      </c>
      <c r="AD172" s="278" t="s">
        <v>422</v>
      </c>
      <c r="AE172" s="278" t="s">
        <v>422</v>
      </c>
      <c r="AF172" s="278" t="s">
        <v>422</v>
      </c>
      <c r="AG172" s="278" t="s">
        <v>422</v>
      </c>
      <c r="AH172" s="278" t="s">
        <v>422</v>
      </c>
      <c r="AI172" s="278" t="s">
        <v>422</v>
      </c>
      <c r="AJ172" s="278" t="s">
        <v>423</v>
      </c>
      <c r="AK172" s="278" t="s">
        <v>423</v>
      </c>
      <c r="AL172" s="279" t="s">
        <v>140</v>
      </c>
      <c r="AM172" s="241"/>
      <c r="AN172" s="242" t="s">
        <v>1429</v>
      </c>
    </row>
    <row r="173" spans="1:40" ht="15" customHeight="1" x14ac:dyDescent="0.3">
      <c r="A173" s="185">
        <v>245</v>
      </c>
      <c r="B173" s="230" t="s">
        <v>1338</v>
      </c>
      <c r="C173" s="247" t="s">
        <v>1616</v>
      </c>
      <c r="D173" s="199" t="s">
        <v>1848</v>
      </c>
      <c r="E173" s="230"/>
      <c r="F173" s="230"/>
      <c r="G173" s="230" t="s">
        <v>1953</v>
      </c>
      <c r="H173" s="230"/>
      <c r="I173" s="359">
        <v>2</v>
      </c>
      <c r="J173" s="360">
        <v>15</v>
      </c>
      <c r="K173" s="360">
        <v>12</v>
      </c>
      <c r="L173" s="212">
        <v>1</v>
      </c>
      <c r="M173" s="212">
        <f t="shared" si="20"/>
        <v>30</v>
      </c>
      <c r="N173" s="212">
        <f t="shared" si="21"/>
        <v>16</v>
      </c>
      <c r="O173" s="212">
        <f t="shared" si="22"/>
        <v>60</v>
      </c>
      <c r="P173" s="212">
        <f t="shared" si="23"/>
        <v>80</v>
      </c>
      <c r="Q173" s="212">
        <f t="shared" si="24"/>
        <v>8</v>
      </c>
      <c r="R173" s="212">
        <f t="shared" si="25"/>
        <v>164</v>
      </c>
      <c r="S173" s="234" t="s">
        <v>1353</v>
      </c>
      <c r="T173" s="373" t="s">
        <v>1367</v>
      </c>
      <c r="U173" s="280">
        <v>6</v>
      </c>
      <c r="V173" s="280">
        <v>7</v>
      </c>
      <c r="W173" s="280">
        <v>7</v>
      </c>
      <c r="X173" s="374">
        <v>44123</v>
      </c>
      <c r="Y173" s="374">
        <v>44151</v>
      </c>
      <c r="Z173" s="276">
        <v>44176</v>
      </c>
      <c r="AA173" s="273">
        <f t="shared" si="26"/>
        <v>2020</v>
      </c>
      <c r="AB173" s="273">
        <f t="shared" si="27"/>
        <v>12</v>
      </c>
      <c r="AC173" s="278" t="s">
        <v>920</v>
      </c>
      <c r="AD173" s="278" t="s">
        <v>422</v>
      </c>
      <c r="AE173" s="278" t="s">
        <v>422</v>
      </c>
      <c r="AF173" s="278" t="s">
        <v>422</v>
      </c>
      <c r="AG173" s="278" t="s">
        <v>422</v>
      </c>
      <c r="AH173" s="278" t="s">
        <v>422</v>
      </c>
      <c r="AI173" s="278" t="s">
        <v>422</v>
      </c>
      <c r="AJ173" s="278" t="s">
        <v>423</v>
      </c>
      <c r="AK173" s="278" t="s">
        <v>423</v>
      </c>
      <c r="AL173" s="279" t="s">
        <v>140</v>
      </c>
      <c r="AM173" s="241"/>
      <c r="AN173" s="242" t="s">
        <v>1429</v>
      </c>
    </row>
    <row r="174" spans="1:40" ht="15" customHeight="1" x14ac:dyDescent="0.3">
      <c r="A174" s="185">
        <v>246</v>
      </c>
      <c r="B174" s="230" t="s">
        <v>1339</v>
      </c>
      <c r="C174" s="247" t="s">
        <v>1616</v>
      </c>
      <c r="D174" s="199" t="s">
        <v>1848</v>
      </c>
      <c r="E174" s="230"/>
      <c r="F174" s="230"/>
      <c r="G174" s="230" t="s">
        <v>1953</v>
      </c>
      <c r="H174" s="230"/>
      <c r="I174" s="359">
        <v>2</v>
      </c>
      <c r="J174" s="360">
        <v>15</v>
      </c>
      <c r="K174" s="360">
        <v>12</v>
      </c>
      <c r="L174" s="212">
        <v>1</v>
      </c>
      <c r="M174" s="212">
        <f t="shared" si="20"/>
        <v>30</v>
      </c>
      <c r="N174" s="212">
        <f t="shared" si="21"/>
        <v>16</v>
      </c>
      <c r="O174" s="212">
        <f t="shared" si="22"/>
        <v>60</v>
      </c>
      <c r="P174" s="212">
        <f t="shared" si="23"/>
        <v>80</v>
      </c>
      <c r="Q174" s="212">
        <f t="shared" si="24"/>
        <v>8</v>
      </c>
      <c r="R174" s="212">
        <f t="shared" si="25"/>
        <v>164</v>
      </c>
      <c r="S174" s="234" t="s">
        <v>1354</v>
      </c>
      <c r="T174" s="373" t="s">
        <v>1368</v>
      </c>
      <c r="U174" s="280">
        <v>6</v>
      </c>
      <c r="V174" s="280">
        <v>7</v>
      </c>
      <c r="W174" s="280">
        <v>7</v>
      </c>
      <c r="X174" s="374">
        <v>44123</v>
      </c>
      <c r="Y174" s="374">
        <v>44151</v>
      </c>
      <c r="Z174" s="276">
        <v>44176</v>
      </c>
      <c r="AA174" s="273">
        <f t="shared" si="26"/>
        <v>2020</v>
      </c>
      <c r="AB174" s="273">
        <f t="shared" si="27"/>
        <v>12</v>
      </c>
      <c r="AC174" s="278" t="s">
        <v>920</v>
      </c>
      <c r="AD174" s="278" t="s">
        <v>422</v>
      </c>
      <c r="AE174" s="278" t="s">
        <v>422</v>
      </c>
      <c r="AF174" s="278" t="s">
        <v>422</v>
      </c>
      <c r="AG174" s="278" t="s">
        <v>422</v>
      </c>
      <c r="AH174" s="278" t="s">
        <v>422</v>
      </c>
      <c r="AI174" s="278" t="s">
        <v>422</v>
      </c>
      <c r="AJ174" s="278" t="s">
        <v>423</v>
      </c>
      <c r="AK174" s="278" t="s">
        <v>423</v>
      </c>
      <c r="AL174" s="279" t="s">
        <v>140</v>
      </c>
      <c r="AM174" s="241"/>
      <c r="AN174" s="242" t="s">
        <v>1429</v>
      </c>
    </row>
    <row r="175" spans="1:40" ht="15" customHeight="1" x14ac:dyDescent="0.3">
      <c r="A175" s="185">
        <v>247</v>
      </c>
      <c r="B175" s="230" t="s">
        <v>1340</v>
      </c>
      <c r="C175" s="247" t="s">
        <v>1616</v>
      </c>
      <c r="D175" s="199" t="s">
        <v>1848</v>
      </c>
      <c r="E175" s="230"/>
      <c r="F175" s="230"/>
      <c r="G175" s="230" t="s">
        <v>1953</v>
      </c>
      <c r="H175" s="230"/>
      <c r="I175" s="359">
        <v>1</v>
      </c>
      <c r="J175" s="360">
        <v>5</v>
      </c>
      <c r="K175" s="230">
        <v>5.5</v>
      </c>
      <c r="L175" s="212">
        <v>0.5</v>
      </c>
      <c r="M175" s="212">
        <f t="shared" si="20"/>
        <v>12</v>
      </c>
      <c r="N175" s="212">
        <f t="shared" si="21"/>
        <v>8</v>
      </c>
      <c r="O175" s="212">
        <f t="shared" si="22"/>
        <v>20</v>
      </c>
      <c r="P175" s="212">
        <f t="shared" si="23"/>
        <v>36.666666666666671</v>
      </c>
      <c r="Q175" s="212">
        <f t="shared" si="24"/>
        <v>4</v>
      </c>
      <c r="R175" s="212">
        <f t="shared" si="25"/>
        <v>68.666666666666671</v>
      </c>
      <c r="S175" s="234" t="s">
        <v>1355</v>
      </c>
      <c r="T175" s="373" t="s">
        <v>1369</v>
      </c>
      <c r="U175" s="280">
        <v>6</v>
      </c>
      <c r="V175" s="280">
        <v>7</v>
      </c>
      <c r="W175" s="280">
        <v>7</v>
      </c>
      <c r="X175" s="374">
        <v>44123</v>
      </c>
      <c r="Y175" s="374">
        <v>44151</v>
      </c>
      <c r="Z175" s="276">
        <v>44176</v>
      </c>
      <c r="AA175" s="273">
        <f t="shared" si="26"/>
        <v>2020</v>
      </c>
      <c r="AB175" s="273">
        <f t="shared" si="27"/>
        <v>12</v>
      </c>
      <c r="AC175" s="278" t="s">
        <v>920</v>
      </c>
      <c r="AD175" s="278" t="s">
        <v>422</v>
      </c>
      <c r="AE175" s="278" t="s">
        <v>422</v>
      </c>
      <c r="AF175" s="278" t="s">
        <v>422</v>
      </c>
      <c r="AG175" s="278" t="s">
        <v>422</v>
      </c>
      <c r="AH175" s="278" t="s">
        <v>423</v>
      </c>
      <c r="AI175" s="278" t="s">
        <v>422</v>
      </c>
      <c r="AJ175" s="278" t="s">
        <v>423</v>
      </c>
      <c r="AK175" s="278" t="s">
        <v>423</v>
      </c>
      <c r="AL175" s="279" t="s">
        <v>140</v>
      </c>
      <c r="AM175" s="241"/>
      <c r="AN175" s="242" t="s">
        <v>1429</v>
      </c>
    </row>
    <row r="176" spans="1:40" ht="15" customHeight="1" x14ac:dyDescent="0.3">
      <c r="A176" s="185">
        <v>248</v>
      </c>
      <c r="B176" s="230" t="s">
        <v>1341</v>
      </c>
      <c r="C176" s="247" t="s">
        <v>1616</v>
      </c>
      <c r="D176" s="199" t="s">
        <v>1848</v>
      </c>
      <c r="E176" s="230"/>
      <c r="F176" s="230"/>
      <c r="G176" s="230" t="s">
        <v>1953</v>
      </c>
      <c r="H176" s="230"/>
      <c r="I176" s="359">
        <v>1</v>
      </c>
      <c r="J176" s="360">
        <v>5</v>
      </c>
      <c r="K176" s="360">
        <v>5.5</v>
      </c>
      <c r="L176" s="212">
        <v>0.5</v>
      </c>
      <c r="M176" s="212">
        <f t="shared" si="20"/>
        <v>12</v>
      </c>
      <c r="N176" s="212">
        <f t="shared" si="21"/>
        <v>8</v>
      </c>
      <c r="O176" s="212">
        <f t="shared" si="22"/>
        <v>20</v>
      </c>
      <c r="P176" s="212">
        <f t="shared" si="23"/>
        <v>36.666666666666671</v>
      </c>
      <c r="Q176" s="212">
        <f t="shared" si="24"/>
        <v>4</v>
      </c>
      <c r="R176" s="212">
        <f t="shared" si="25"/>
        <v>68.666666666666671</v>
      </c>
      <c r="S176" s="234" t="s">
        <v>1356</v>
      </c>
      <c r="T176" s="373" t="s">
        <v>1370</v>
      </c>
      <c r="U176" s="280">
        <f>12+1</f>
        <v>13</v>
      </c>
      <c r="V176" s="280">
        <v>15</v>
      </c>
      <c r="W176" s="280">
        <v>15</v>
      </c>
      <c r="X176" s="374">
        <v>44123</v>
      </c>
      <c r="Y176" s="374">
        <v>44151</v>
      </c>
      <c r="Z176" s="276">
        <v>44176</v>
      </c>
      <c r="AA176" s="273">
        <f t="shared" si="26"/>
        <v>2020</v>
      </c>
      <c r="AB176" s="273">
        <f t="shared" si="27"/>
        <v>12</v>
      </c>
      <c r="AC176" s="278" t="s">
        <v>920</v>
      </c>
      <c r="AD176" s="278" t="s">
        <v>422</v>
      </c>
      <c r="AE176" s="278" t="s">
        <v>422</v>
      </c>
      <c r="AF176" s="278" t="s">
        <v>422</v>
      </c>
      <c r="AG176" s="278" t="s">
        <v>422</v>
      </c>
      <c r="AH176" s="278" t="s">
        <v>423</v>
      </c>
      <c r="AI176" s="278" t="s">
        <v>422</v>
      </c>
      <c r="AJ176" s="278" t="s">
        <v>423</v>
      </c>
      <c r="AK176" s="278" t="s">
        <v>423</v>
      </c>
      <c r="AL176" s="279" t="s">
        <v>140</v>
      </c>
      <c r="AM176" s="241"/>
      <c r="AN176" s="242" t="s">
        <v>1429</v>
      </c>
    </row>
    <row r="177" spans="1:40" ht="15" customHeight="1" x14ac:dyDescent="0.3">
      <c r="A177" s="185">
        <v>249</v>
      </c>
      <c r="B177" s="230" t="s">
        <v>1342</v>
      </c>
      <c r="C177" s="247" t="s">
        <v>1616</v>
      </c>
      <c r="D177" s="199" t="s">
        <v>1848</v>
      </c>
      <c r="E177" s="230"/>
      <c r="F177" s="230"/>
      <c r="G177" s="230" t="s">
        <v>1953</v>
      </c>
      <c r="H177" s="230"/>
      <c r="I177" s="359">
        <v>2</v>
      </c>
      <c r="J177" s="360">
        <v>15</v>
      </c>
      <c r="K177" s="230">
        <v>11</v>
      </c>
      <c r="L177" s="212">
        <v>1</v>
      </c>
      <c r="M177" s="212">
        <f t="shared" si="20"/>
        <v>29</v>
      </c>
      <c r="N177" s="212">
        <f t="shared" si="21"/>
        <v>16</v>
      </c>
      <c r="O177" s="212">
        <f t="shared" si="22"/>
        <v>60</v>
      </c>
      <c r="P177" s="212">
        <f t="shared" si="23"/>
        <v>73.333333333333343</v>
      </c>
      <c r="Q177" s="212">
        <f t="shared" si="24"/>
        <v>8</v>
      </c>
      <c r="R177" s="212">
        <f t="shared" si="25"/>
        <v>157.33333333333334</v>
      </c>
      <c r="S177" s="234" t="s">
        <v>1357</v>
      </c>
      <c r="T177" s="373" t="s">
        <v>1365</v>
      </c>
      <c r="U177" s="280">
        <v>6</v>
      </c>
      <c r="V177" s="280">
        <v>7</v>
      </c>
      <c r="W177" s="280">
        <v>7</v>
      </c>
      <c r="X177" s="374">
        <v>44123</v>
      </c>
      <c r="Y177" s="374">
        <v>44151</v>
      </c>
      <c r="Z177" s="276">
        <v>44176</v>
      </c>
      <c r="AA177" s="273">
        <f t="shared" si="26"/>
        <v>2020</v>
      </c>
      <c r="AB177" s="273">
        <f t="shared" si="27"/>
        <v>12</v>
      </c>
      <c r="AC177" s="278" t="s">
        <v>920</v>
      </c>
      <c r="AD177" s="278" t="s">
        <v>422</v>
      </c>
      <c r="AE177" s="278" t="s">
        <v>422</v>
      </c>
      <c r="AF177" s="278" t="s">
        <v>422</v>
      </c>
      <c r="AG177" s="278" t="s">
        <v>422</v>
      </c>
      <c r="AH177" s="278" t="s">
        <v>422</v>
      </c>
      <c r="AI177" s="278" t="s">
        <v>422</v>
      </c>
      <c r="AJ177" s="278" t="s">
        <v>423</v>
      </c>
      <c r="AK177" s="278" t="s">
        <v>423</v>
      </c>
      <c r="AL177" s="279" t="s">
        <v>140</v>
      </c>
      <c r="AM177" s="241"/>
      <c r="AN177" s="242" t="s">
        <v>1429</v>
      </c>
    </row>
    <row r="178" spans="1:40" ht="15" customHeight="1" x14ac:dyDescent="0.3">
      <c r="A178" s="185">
        <v>250</v>
      </c>
      <c r="B178" s="230" t="s">
        <v>1343</v>
      </c>
      <c r="C178" s="247" t="s">
        <v>1616</v>
      </c>
      <c r="D178" s="199" t="s">
        <v>1848</v>
      </c>
      <c r="E178" s="230"/>
      <c r="F178" s="230"/>
      <c r="G178" s="230" t="s">
        <v>1953</v>
      </c>
      <c r="H178" s="230"/>
      <c r="I178" s="359">
        <v>2</v>
      </c>
      <c r="J178" s="360">
        <v>15</v>
      </c>
      <c r="K178" s="360">
        <v>11</v>
      </c>
      <c r="L178" s="212">
        <v>1</v>
      </c>
      <c r="M178" s="212">
        <f t="shared" si="20"/>
        <v>29</v>
      </c>
      <c r="N178" s="212">
        <f t="shared" si="21"/>
        <v>16</v>
      </c>
      <c r="O178" s="212">
        <f t="shared" si="22"/>
        <v>60</v>
      </c>
      <c r="P178" s="212">
        <f t="shared" si="23"/>
        <v>73.333333333333343</v>
      </c>
      <c r="Q178" s="212">
        <f t="shared" si="24"/>
        <v>8</v>
      </c>
      <c r="R178" s="212">
        <f t="shared" si="25"/>
        <v>157.33333333333334</v>
      </c>
      <c r="S178" s="234" t="s">
        <v>1358</v>
      </c>
      <c r="T178" s="373" t="s">
        <v>1365</v>
      </c>
      <c r="U178" s="280">
        <v>6</v>
      </c>
      <c r="V178" s="280">
        <v>7</v>
      </c>
      <c r="W178" s="280">
        <v>7</v>
      </c>
      <c r="X178" s="374">
        <v>44123</v>
      </c>
      <c r="Y178" s="374">
        <v>44151</v>
      </c>
      <c r="Z178" s="276">
        <v>44176</v>
      </c>
      <c r="AA178" s="273">
        <f t="shared" si="26"/>
        <v>2020</v>
      </c>
      <c r="AB178" s="273">
        <f t="shared" si="27"/>
        <v>12</v>
      </c>
      <c r="AC178" s="278" t="s">
        <v>920</v>
      </c>
      <c r="AD178" s="278" t="s">
        <v>422</v>
      </c>
      <c r="AE178" s="278" t="s">
        <v>422</v>
      </c>
      <c r="AF178" s="278" t="s">
        <v>422</v>
      </c>
      <c r="AG178" s="278" t="s">
        <v>422</v>
      </c>
      <c r="AH178" s="278" t="s">
        <v>422</v>
      </c>
      <c r="AI178" s="278" t="s">
        <v>422</v>
      </c>
      <c r="AJ178" s="278" t="s">
        <v>423</v>
      </c>
      <c r="AK178" s="278" t="s">
        <v>423</v>
      </c>
      <c r="AL178" s="279" t="s">
        <v>140</v>
      </c>
      <c r="AM178" s="241"/>
      <c r="AN178" s="242" t="s">
        <v>1429</v>
      </c>
    </row>
    <row r="179" spans="1:40" ht="15" customHeight="1" x14ac:dyDescent="0.3">
      <c r="A179" s="185">
        <v>251</v>
      </c>
      <c r="B179" s="230" t="s">
        <v>1344</v>
      </c>
      <c r="C179" s="247" t="s">
        <v>1616</v>
      </c>
      <c r="D179" s="199" t="s">
        <v>1848</v>
      </c>
      <c r="E179" s="230"/>
      <c r="F179" s="230"/>
      <c r="G179" s="230" t="s">
        <v>1953</v>
      </c>
      <c r="H179" s="230"/>
      <c r="I179" s="359">
        <v>2</v>
      </c>
      <c r="J179" s="360">
        <v>15</v>
      </c>
      <c r="K179" s="230">
        <v>13</v>
      </c>
      <c r="L179" s="212">
        <v>1</v>
      </c>
      <c r="M179" s="212">
        <f t="shared" si="20"/>
        <v>31</v>
      </c>
      <c r="N179" s="212">
        <f t="shared" si="21"/>
        <v>16</v>
      </c>
      <c r="O179" s="212">
        <f t="shared" si="22"/>
        <v>60</v>
      </c>
      <c r="P179" s="212">
        <f t="shared" si="23"/>
        <v>86.666666666666671</v>
      </c>
      <c r="Q179" s="212">
        <f t="shared" si="24"/>
        <v>8</v>
      </c>
      <c r="R179" s="212">
        <f t="shared" si="25"/>
        <v>170.66666666666669</v>
      </c>
      <c r="S179" s="234" t="s">
        <v>1359</v>
      </c>
      <c r="T179" s="373" t="s">
        <v>1365</v>
      </c>
      <c r="U179" s="280">
        <v>6</v>
      </c>
      <c r="V179" s="280">
        <v>7</v>
      </c>
      <c r="W179" s="280">
        <v>7</v>
      </c>
      <c r="X179" s="374">
        <v>44123</v>
      </c>
      <c r="Y179" s="374">
        <v>44151</v>
      </c>
      <c r="Z179" s="276">
        <v>44176</v>
      </c>
      <c r="AA179" s="273">
        <f t="shared" si="26"/>
        <v>2020</v>
      </c>
      <c r="AB179" s="273">
        <f t="shared" si="27"/>
        <v>12</v>
      </c>
      <c r="AC179" s="278" t="s">
        <v>920</v>
      </c>
      <c r="AD179" s="278" t="s">
        <v>422</v>
      </c>
      <c r="AE179" s="278" t="s">
        <v>422</v>
      </c>
      <c r="AF179" s="278" t="s">
        <v>422</v>
      </c>
      <c r="AG179" s="278" t="s">
        <v>422</v>
      </c>
      <c r="AH179" s="278" t="s">
        <v>422</v>
      </c>
      <c r="AI179" s="278" t="s">
        <v>422</v>
      </c>
      <c r="AJ179" s="278" t="s">
        <v>423</v>
      </c>
      <c r="AK179" s="278" t="s">
        <v>423</v>
      </c>
      <c r="AL179" s="279" t="s">
        <v>140</v>
      </c>
      <c r="AM179" s="241"/>
      <c r="AN179" s="242" t="s">
        <v>1429</v>
      </c>
    </row>
    <row r="180" spans="1:40" ht="15" customHeight="1" x14ac:dyDescent="0.3">
      <c r="A180" s="185">
        <v>252</v>
      </c>
      <c r="B180" s="230" t="s">
        <v>1345</v>
      </c>
      <c r="C180" s="247" t="s">
        <v>1616</v>
      </c>
      <c r="D180" s="199" t="s">
        <v>1848</v>
      </c>
      <c r="E180" s="230"/>
      <c r="F180" s="230"/>
      <c r="G180" s="230" t="s">
        <v>1953</v>
      </c>
      <c r="H180" s="230"/>
      <c r="I180" s="359">
        <v>2</v>
      </c>
      <c r="J180" s="360">
        <v>12</v>
      </c>
      <c r="K180" s="360">
        <v>11</v>
      </c>
      <c r="L180" s="212">
        <v>1</v>
      </c>
      <c r="M180" s="212">
        <f t="shared" si="20"/>
        <v>26</v>
      </c>
      <c r="N180" s="212">
        <f t="shared" si="21"/>
        <v>16</v>
      </c>
      <c r="O180" s="212">
        <f t="shared" si="22"/>
        <v>48</v>
      </c>
      <c r="P180" s="212">
        <f t="shared" si="23"/>
        <v>73.333333333333343</v>
      </c>
      <c r="Q180" s="212">
        <f t="shared" si="24"/>
        <v>8</v>
      </c>
      <c r="R180" s="212">
        <f t="shared" si="25"/>
        <v>145.33333333333334</v>
      </c>
      <c r="S180" s="234" t="s">
        <v>1360</v>
      </c>
      <c r="T180" s="373" t="s">
        <v>1366</v>
      </c>
      <c r="U180" s="280">
        <v>6</v>
      </c>
      <c r="V180" s="280">
        <v>7</v>
      </c>
      <c r="W180" s="280">
        <v>7</v>
      </c>
      <c r="X180" s="374">
        <v>44123</v>
      </c>
      <c r="Y180" s="374">
        <v>44151</v>
      </c>
      <c r="Z180" s="276">
        <v>44176</v>
      </c>
      <c r="AA180" s="273">
        <f t="shared" si="26"/>
        <v>2020</v>
      </c>
      <c r="AB180" s="273">
        <f t="shared" si="27"/>
        <v>12</v>
      </c>
      <c r="AC180" s="278" t="s">
        <v>920</v>
      </c>
      <c r="AD180" s="278" t="s">
        <v>422</v>
      </c>
      <c r="AE180" s="278" t="s">
        <v>422</v>
      </c>
      <c r="AF180" s="278" t="s">
        <v>422</v>
      </c>
      <c r="AG180" s="278" t="s">
        <v>422</v>
      </c>
      <c r="AH180" s="278" t="s">
        <v>422</v>
      </c>
      <c r="AI180" s="278" t="s">
        <v>422</v>
      </c>
      <c r="AJ180" s="278" t="s">
        <v>423</v>
      </c>
      <c r="AK180" s="278" t="s">
        <v>423</v>
      </c>
      <c r="AL180" s="279" t="s">
        <v>140</v>
      </c>
      <c r="AM180" s="241"/>
      <c r="AN180" s="242" t="s">
        <v>1429</v>
      </c>
    </row>
    <row r="181" spans="1:40" ht="15" customHeight="1" x14ac:dyDescent="0.3">
      <c r="A181" s="185">
        <v>253</v>
      </c>
      <c r="B181" s="230" t="s">
        <v>1346</v>
      </c>
      <c r="C181" s="247" t="s">
        <v>1616</v>
      </c>
      <c r="D181" s="199" t="s">
        <v>1848</v>
      </c>
      <c r="E181" s="230"/>
      <c r="F181" s="230"/>
      <c r="G181" s="230" t="s">
        <v>1953</v>
      </c>
      <c r="H181" s="230"/>
      <c r="I181" s="359">
        <v>2</v>
      </c>
      <c r="J181" s="360">
        <v>15</v>
      </c>
      <c r="K181" s="360">
        <v>11</v>
      </c>
      <c r="L181" s="212">
        <v>1</v>
      </c>
      <c r="M181" s="212">
        <f t="shared" si="20"/>
        <v>29</v>
      </c>
      <c r="N181" s="212">
        <f t="shared" si="21"/>
        <v>16</v>
      </c>
      <c r="O181" s="212">
        <f t="shared" si="22"/>
        <v>60</v>
      </c>
      <c r="P181" s="212">
        <f t="shared" si="23"/>
        <v>73.333333333333343</v>
      </c>
      <c r="Q181" s="212">
        <f t="shared" si="24"/>
        <v>8</v>
      </c>
      <c r="R181" s="212">
        <f t="shared" si="25"/>
        <v>157.33333333333334</v>
      </c>
      <c r="S181" s="234" t="s">
        <v>1361</v>
      </c>
      <c r="T181" s="373" t="s">
        <v>1371</v>
      </c>
      <c r="U181" s="280">
        <v>6</v>
      </c>
      <c r="V181" s="280">
        <v>7</v>
      </c>
      <c r="W181" s="280">
        <v>7</v>
      </c>
      <c r="X181" s="374">
        <v>44123</v>
      </c>
      <c r="Y181" s="374">
        <v>44151</v>
      </c>
      <c r="Z181" s="276">
        <v>44176</v>
      </c>
      <c r="AA181" s="273">
        <f t="shared" si="26"/>
        <v>2020</v>
      </c>
      <c r="AB181" s="273">
        <f t="shared" si="27"/>
        <v>12</v>
      </c>
      <c r="AC181" s="278" t="s">
        <v>920</v>
      </c>
      <c r="AD181" s="278" t="s">
        <v>422</v>
      </c>
      <c r="AE181" s="278" t="s">
        <v>422</v>
      </c>
      <c r="AF181" s="278" t="s">
        <v>422</v>
      </c>
      <c r="AG181" s="278" t="s">
        <v>422</v>
      </c>
      <c r="AH181" s="278" t="s">
        <v>422</v>
      </c>
      <c r="AI181" s="278" t="s">
        <v>422</v>
      </c>
      <c r="AJ181" s="278" t="s">
        <v>423</v>
      </c>
      <c r="AK181" s="278" t="s">
        <v>423</v>
      </c>
      <c r="AL181" s="279" t="s">
        <v>140</v>
      </c>
      <c r="AM181" s="241"/>
      <c r="AN181" s="242" t="s">
        <v>1429</v>
      </c>
    </row>
    <row r="182" spans="1:40" ht="15" customHeight="1" x14ac:dyDescent="0.3">
      <c r="A182" s="185">
        <v>254</v>
      </c>
      <c r="B182" s="230" t="s">
        <v>1347</v>
      </c>
      <c r="C182" s="247" t="s">
        <v>1616</v>
      </c>
      <c r="D182" s="199" t="s">
        <v>1848</v>
      </c>
      <c r="E182" s="230"/>
      <c r="F182" s="230"/>
      <c r="G182" s="230" t="s">
        <v>1953</v>
      </c>
      <c r="H182" s="230"/>
      <c r="I182" s="359">
        <v>2</v>
      </c>
      <c r="J182" s="360">
        <v>15</v>
      </c>
      <c r="K182" s="360">
        <v>11</v>
      </c>
      <c r="L182" s="212">
        <v>1</v>
      </c>
      <c r="M182" s="212">
        <f t="shared" si="20"/>
        <v>29</v>
      </c>
      <c r="N182" s="212">
        <f t="shared" si="21"/>
        <v>16</v>
      </c>
      <c r="O182" s="212">
        <f t="shared" si="22"/>
        <v>60</v>
      </c>
      <c r="P182" s="212">
        <f t="shared" si="23"/>
        <v>73.333333333333343</v>
      </c>
      <c r="Q182" s="212">
        <f t="shared" si="24"/>
        <v>8</v>
      </c>
      <c r="R182" s="212">
        <f t="shared" si="25"/>
        <v>157.33333333333334</v>
      </c>
      <c r="S182" s="234" t="s">
        <v>1362</v>
      </c>
      <c r="T182" s="373" t="s">
        <v>1368</v>
      </c>
      <c r="U182" s="280">
        <v>6</v>
      </c>
      <c r="V182" s="280">
        <v>7</v>
      </c>
      <c r="W182" s="280">
        <v>7</v>
      </c>
      <c r="X182" s="374">
        <v>44123</v>
      </c>
      <c r="Y182" s="374">
        <v>44151</v>
      </c>
      <c r="Z182" s="276">
        <v>44176</v>
      </c>
      <c r="AA182" s="273">
        <f t="shared" si="26"/>
        <v>2020</v>
      </c>
      <c r="AB182" s="273">
        <f t="shared" si="27"/>
        <v>12</v>
      </c>
      <c r="AC182" s="278" t="s">
        <v>920</v>
      </c>
      <c r="AD182" s="278" t="s">
        <v>422</v>
      </c>
      <c r="AE182" s="278" t="s">
        <v>422</v>
      </c>
      <c r="AF182" s="278" t="s">
        <v>422</v>
      </c>
      <c r="AG182" s="278" t="s">
        <v>422</v>
      </c>
      <c r="AH182" s="278" t="s">
        <v>422</v>
      </c>
      <c r="AI182" s="278" t="s">
        <v>422</v>
      </c>
      <c r="AJ182" s="278" t="s">
        <v>423</v>
      </c>
      <c r="AK182" s="278" t="s">
        <v>423</v>
      </c>
      <c r="AL182" s="279" t="s">
        <v>140</v>
      </c>
      <c r="AM182" s="241"/>
      <c r="AN182" s="242" t="s">
        <v>1429</v>
      </c>
    </row>
    <row r="183" spans="1:40" ht="15" customHeight="1" x14ac:dyDescent="0.3">
      <c r="A183" s="185">
        <v>255</v>
      </c>
      <c r="B183" s="230" t="s">
        <v>1348</v>
      </c>
      <c r="C183" s="247" t="s">
        <v>1616</v>
      </c>
      <c r="D183" s="199" t="s">
        <v>1848</v>
      </c>
      <c r="E183" s="230"/>
      <c r="F183" s="230"/>
      <c r="G183" s="230" t="s">
        <v>1953</v>
      </c>
      <c r="H183" s="230"/>
      <c r="I183" s="359">
        <v>2</v>
      </c>
      <c r="J183" s="360">
        <v>15</v>
      </c>
      <c r="K183" s="360">
        <v>11</v>
      </c>
      <c r="L183" s="212">
        <v>1</v>
      </c>
      <c r="M183" s="212">
        <f t="shared" si="20"/>
        <v>29</v>
      </c>
      <c r="N183" s="212">
        <f t="shared" si="21"/>
        <v>16</v>
      </c>
      <c r="O183" s="212">
        <f t="shared" si="22"/>
        <v>60</v>
      </c>
      <c r="P183" s="212">
        <f t="shared" si="23"/>
        <v>73.333333333333343</v>
      </c>
      <c r="Q183" s="212">
        <f t="shared" si="24"/>
        <v>8</v>
      </c>
      <c r="R183" s="212">
        <f t="shared" si="25"/>
        <v>157.33333333333334</v>
      </c>
      <c r="S183" s="234" t="s">
        <v>1363</v>
      </c>
      <c r="T183" s="373" t="s">
        <v>1367</v>
      </c>
      <c r="U183" s="280">
        <v>6</v>
      </c>
      <c r="V183" s="280">
        <v>7</v>
      </c>
      <c r="W183" s="280">
        <v>7</v>
      </c>
      <c r="X183" s="374">
        <v>44123</v>
      </c>
      <c r="Y183" s="374">
        <v>44151</v>
      </c>
      <c r="Z183" s="276">
        <v>44176</v>
      </c>
      <c r="AA183" s="273">
        <f t="shared" si="26"/>
        <v>2020</v>
      </c>
      <c r="AB183" s="273">
        <f t="shared" si="27"/>
        <v>12</v>
      </c>
      <c r="AC183" s="278" t="s">
        <v>920</v>
      </c>
      <c r="AD183" s="278" t="s">
        <v>422</v>
      </c>
      <c r="AE183" s="278" t="s">
        <v>422</v>
      </c>
      <c r="AF183" s="278" t="s">
        <v>422</v>
      </c>
      <c r="AG183" s="278" t="s">
        <v>422</v>
      </c>
      <c r="AH183" s="278" t="s">
        <v>422</v>
      </c>
      <c r="AI183" s="278" t="s">
        <v>422</v>
      </c>
      <c r="AJ183" s="278" t="s">
        <v>423</v>
      </c>
      <c r="AK183" s="278" t="s">
        <v>423</v>
      </c>
      <c r="AL183" s="279" t="s">
        <v>140</v>
      </c>
      <c r="AM183" s="241"/>
      <c r="AN183" s="242" t="s">
        <v>1429</v>
      </c>
    </row>
    <row r="184" spans="1:40" ht="15" customHeight="1" x14ac:dyDescent="0.3">
      <c r="A184" s="185">
        <v>256</v>
      </c>
      <c r="B184" s="230" t="s">
        <v>1349</v>
      </c>
      <c r="C184" s="247" t="s">
        <v>1616</v>
      </c>
      <c r="D184" s="199" t="s">
        <v>1848</v>
      </c>
      <c r="E184" s="230"/>
      <c r="F184" s="230"/>
      <c r="G184" s="230" t="s">
        <v>1953</v>
      </c>
      <c r="H184" s="230"/>
      <c r="I184" s="359">
        <v>2</v>
      </c>
      <c r="J184" s="360">
        <v>5</v>
      </c>
      <c r="K184" s="360">
        <v>5.5</v>
      </c>
      <c r="L184" s="212">
        <v>0.5</v>
      </c>
      <c r="M184" s="212">
        <f t="shared" si="20"/>
        <v>13</v>
      </c>
      <c r="N184" s="212">
        <f t="shared" si="21"/>
        <v>16</v>
      </c>
      <c r="O184" s="212">
        <f t="shared" si="22"/>
        <v>20</v>
      </c>
      <c r="P184" s="212">
        <f t="shared" si="23"/>
        <v>36.666666666666671</v>
      </c>
      <c r="Q184" s="212">
        <f t="shared" si="24"/>
        <v>4</v>
      </c>
      <c r="R184" s="212">
        <f t="shared" si="25"/>
        <v>76.666666666666671</v>
      </c>
      <c r="S184" s="234" t="s">
        <v>1364</v>
      </c>
      <c r="T184" s="373" t="s">
        <v>1369</v>
      </c>
      <c r="U184" s="280">
        <v>12</v>
      </c>
      <c r="V184" s="280">
        <v>14</v>
      </c>
      <c r="W184" s="280">
        <v>14</v>
      </c>
      <c r="X184" s="374">
        <v>44123</v>
      </c>
      <c r="Y184" s="374">
        <v>44151</v>
      </c>
      <c r="Z184" s="276">
        <v>44176</v>
      </c>
      <c r="AA184" s="273">
        <f t="shared" si="26"/>
        <v>2020</v>
      </c>
      <c r="AB184" s="273">
        <f t="shared" si="27"/>
        <v>12</v>
      </c>
      <c r="AC184" s="278" t="s">
        <v>920</v>
      </c>
      <c r="AD184" s="278" t="s">
        <v>422</v>
      </c>
      <c r="AE184" s="278" t="s">
        <v>422</v>
      </c>
      <c r="AF184" s="278" t="s">
        <v>422</v>
      </c>
      <c r="AG184" s="278" t="s">
        <v>422</v>
      </c>
      <c r="AH184" s="278" t="s">
        <v>423</v>
      </c>
      <c r="AI184" s="278" t="s">
        <v>422</v>
      </c>
      <c r="AJ184" s="278" t="s">
        <v>423</v>
      </c>
      <c r="AK184" s="278" t="s">
        <v>423</v>
      </c>
      <c r="AL184" s="279" t="s">
        <v>140</v>
      </c>
      <c r="AM184" s="241"/>
      <c r="AN184" s="242" t="s">
        <v>1429</v>
      </c>
    </row>
    <row r="185" spans="1:40" ht="15" customHeight="1" x14ac:dyDescent="0.3">
      <c r="A185" s="185">
        <v>269</v>
      </c>
      <c r="B185" s="230" t="s">
        <v>1404</v>
      </c>
      <c r="C185" s="247" t="s">
        <v>1621</v>
      </c>
      <c r="D185" s="200" t="s">
        <v>1881</v>
      </c>
      <c r="E185" s="230"/>
      <c r="F185" s="230"/>
      <c r="G185" s="368" t="s">
        <v>1604</v>
      </c>
      <c r="H185" s="248" t="s">
        <v>1956</v>
      </c>
      <c r="I185" s="359">
        <v>2</v>
      </c>
      <c r="J185" s="230">
        <v>5</v>
      </c>
      <c r="K185" s="230">
        <v>0</v>
      </c>
      <c r="L185" s="212">
        <v>1</v>
      </c>
      <c r="M185" s="212">
        <f t="shared" si="20"/>
        <v>8</v>
      </c>
      <c r="N185" s="212">
        <f t="shared" si="21"/>
        <v>16</v>
      </c>
      <c r="O185" s="212">
        <f t="shared" si="22"/>
        <v>20</v>
      </c>
      <c r="P185" s="212">
        <f t="shared" si="23"/>
        <v>0</v>
      </c>
      <c r="Q185" s="212">
        <f t="shared" si="24"/>
        <v>8</v>
      </c>
      <c r="R185" s="212">
        <f t="shared" si="25"/>
        <v>44</v>
      </c>
      <c r="S185" s="373" t="s">
        <v>1412</v>
      </c>
      <c r="T185" s="373" t="s">
        <v>1426</v>
      </c>
      <c r="U185" s="280">
        <v>30</v>
      </c>
      <c r="V185" s="280">
        <v>30</v>
      </c>
      <c r="W185" s="280">
        <v>30</v>
      </c>
      <c r="X185" s="374">
        <v>44156</v>
      </c>
      <c r="Y185" s="374">
        <v>44170</v>
      </c>
      <c r="Z185" s="276">
        <v>44179</v>
      </c>
      <c r="AA185" s="273">
        <f t="shared" si="26"/>
        <v>2020</v>
      </c>
      <c r="AB185" s="273">
        <f t="shared" si="27"/>
        <v>12</v>
      </c>
      <c r="AC185" s="278" t="s">
        <v>920</v>
      </c>
      <c r="AD185" s="278" t="s">
        <v>422</v>
      </c>
      <c r="AE185" s="278" t="s">
        <v>423</v>
      </c>
      <c r="AF185" s="278" t="s">
        <v>422</v>
      </c>
      <c r="AG185" s="278" t="s">
        <v>422</v>
      </c>
      <c r="AH185" s="278" t="s">
        <v>423</v>
      </c>
      <c r="AI185" s="278" t="s">
        <v>423</v>
      </c>
      <c r="AJ185" s="278" t="s">
        <v>423</v>
      </c>
      <c r="AK185" s="278" t="s">
        <v>423</v>
      </c>
      <c r="AL185" s="279" t="s">
        <v>1240</v>
      </c>
      <c r="AM185" s="241"/>
      <c r="AN185" s="241"/>
    </row>
    <row r="186" spans="1:40" ht="15" customHeight="1" x14ac:dyDescent="0.3">
      <c r="A186" s="185">
        <v>270</v>
      </c>
      <c r="B186" s="230" t="s">
        <v>1405</v>
      </c>
      <c r="C186" s="247" t="s">
        <v>1621</v>
      </c>
      <c r="D186" s="200" t="s">
        <v>1881</v>
      </c>
      <c r="E186" s="230"/>
      <c r="F186" s="230"/>
      <c r="G186" s="368" t="s">
        <v>1604</v>
      </c>
      <c r="H186" s="248" t="s">
        <v>1956</v>
      </c>
      <c r="I186" s="359">
        <v>2</v>
      </c>
      <c r="J186" s="230">
        <f>6+1.2</f>
        <v>7.2</v>
      </c>
      <c r="K186" s="230">
        <v>0</v>
      </c>
      <c r="L186" s="212">
        <v>1</v>
      </c>
      <c r="M186" s="212">
        <f t="shared" si="20"/>
        <v>10.199999999999999</v>
      </c>
      <c r="N186" s="212">
        <f t="shared" si="21"/>
        <v>16</v>
      </c>
      <c r="O186" s="212">
        <f t="shared" si="22"/>
        <v>28.8</v>
      </c>
      <c r="P186" s="212">
        <f t="shared" si="23"/>
        <v>0</v>
      </c>
      <c r="Q186" s="212">
        <f t="shared" si="24"/>
        <v>8</v>
      </c>
      <c r="R186" s="212">
        <f t="shared" si="25"/>
        <v>52.8</v>
      </c>
      <c r="S186" s="373" t="s">
        <v>1413</v>
      </c>
      <c r="T186" s="373" t="s">
        <v>1414</v>
      </c>
      <c r="U186" s="280">
        <v>60</v>
      </c>
      <c r="V186" s="280">
        <v>60</v>
      </c>
      <c r="W186" s="280">
        <v>60</v>
      </c>
      <c r="X186" s="374">
        <v>44156</v>
      </c>
      <c r="Y186" s="374">
        <v>44170</v>
      </c>
      <c r="Z186" s="276">
        <v>44179</v>
      </c>
      <c r="AA186" s="273">
        <f t="shared" si="26"/>
        <v>2020</v>
      </c>
      <c r="AB186" s="273">
        <f t="shared" si="27"/>
        <v>12</v>
      </c>
      <c r="AC186" s="278" t="s">
        <v>920</v>
      </c>
      <c r="AD186" s="278" t="s">
        <v>422</v>
      </c>
      <c r="AE186" s="278" t="s">
        <v>423</v>
      </c>
      <c r="AF186" s="278" t="s">
        <v>422</v>
      </c>
      <c r="AG186" s="278" t="s">
        <v>422</v>
      </c>
      <c r="AH186" s="278" t="s">
        <v>423</v>
      </c>
      <c r="AI186" s="278" t="s">
        <v>423</v>
      </c>
      <c r="AJ186" s="278" t="s">
        <v>423</v>
      </c>
      <c r="AK186" s="278" t="s">
        <v>423</v>
      </c>
      <c r="AL186" s="279" t="s">
        <v>1240</v>
      </c>
      <c r="AM186" s="241"/>
      <c r="AN186" s="241"/>
    </row>
    <row r="187" spans="1:40" ht="15" customHeight="1" x14ac:dyDescent="0.3">
      <c r="A187" s="185">
        <v>271</v>
      </c>
      <c r="B187" s="230" t="s">
        <v>1406</v>
      </c>
      <c r="C187" s="247" t="s">
        <v>1621</v>
      </c>
      <c r="D187" s="200" t="s">
        <v>1881</v>
      </c>
      <c r="E187" s="230"/>
      <c r="F187" s="230"/>
      <c r="G187" s="368" t="s">
        <v>1604</v>
      </c>
      <c r="H187" s="230" t="s">
        <v>1955</v>
      </c>
      <c r="I187" s="359">
        <v>2</v>
      </c>
      <c r="J187" s="230">
        <v>8</v>
      </c>
      <c r="K187" s="230">
        <v>0</v>
      </c>
      <c r="L187" s="212">
        <v>1.5</v>
      </c>
      <c r="M187" s="212">
        <f t="shared" si="20"/>
        <v>11.5</v>
      </c>
      <c r="N187" s="212">
        <f t="shared" si="21"/>
        <v>16</v>
      </c>
      <c r="O187" s="212">
        <f t="shared" si="22"/>
        <v>32</v>
      </c>
      <c r="P187" s="212">
        <f t="shared" si="23"/>
        <v>0</v>
      </c>
      <c r="Q187" s="212">
        <f t="shared" si="24"/>
        <v>12</v>
      </c>
      <c r="R187" s="212">
        <f t="shared" si="25"/>
        <v>60</v>
      </c>
      <c r="S187" s="373" t="s">
        <v>1415</v>
      </c>
      <c r="T187" s="373" t="s">
        <v>1416</v>
      </c>
      <c r="U187" s="280">
        <v>42</v>
      </c>
      <c r="V187" s="280">
        <v>42</v>
      </c>
      <c r="W187" s="280">
        <v>42</v>
      </c>
      <c r="X187" s="374">
        <v>44156</v>
      </c>
      <c r="Y187" s="374">
        <v>44170</v>
      </c>
      <c r="Z187" s="276">
        <v>44179</v>
      </c>
      <c r="AA187" s="273">
        <f t="shared" si="26"/>
        <v>2020</v>
      </c>
      <c r="AB187" s="273">
        <f t="shared" si="27"/>
        <v>12</v>
      </c>
      <c r="AC187" s="278" t="s">
        <v>920</v>
      </c>
      <c r="AD187" s="278" t="s">
        <v>422</v>
      </c>
      <c r="AE187" s="278" t="s">
        <v>423</v>
      </c>
      <c r="AF187" s="278" t="s">
        <v>422</v>
      </c>
      <c r="AG187" s="278" t="s">
        <v>422</v>
      </c>
      <c r="AH187" s="278" t="s">
        <v>423</v>
      </c>
      <c r="AI187" s="278" t="s">
        <v>423</v>
      </c>
      <c r="AJ187" s="278" t="s">
        <v>423</v>
      </c>
      <c r="AK187" s="278" t="s">
        <v>423</v>
      </c>
      <c r="AL187" s="279" t="s">
        <v>1240</v>
      </c>
      <c r="AM187" s="241"/>
      <c r="AN187" s="241"/>
    </row>
    <row r="188" spans="1:40" ht="15" customHeight="1" x14ac:dyDescent="0.3">
      <c r="A188" s="185">
        <v>137</v>
      </c>
      <c r="B188" s="247" t="s">
        <v>1061</v>
      </c>
      <c r="C188" s="247" t="s">
        <v>1615</v>
      </c>
      <c r="D188" s="200" t="s">
        <v>1881</v>
      </c>
      <c r="E188" s="247"/>
      <c r="F188" s="247"/>
      <c r="G188" s="368" t="s">
        <v>1604</v>
      </c>
      <c r="H188" s="248" t="s">
        <v>1943</v>
      </c>
      <c r="I188" s="359">
        <v>2</v>
      </c>
      <c r="J188" s="248">
        <v>10</v>
      </c>
      <c r="K188" s="248">
        <v>0</v>
      </c>
      <c r="L188" s="212">
        <v>1</v>
      </c>
      <c r="M188" s="212">
        <f t="shared" si="20"/>
        <v>13</v>
      </c>
      <c r="N188" s="212">
        <f t="shared" si="21"/>
        <v>16</v>
      </c>
      <c r="O188" s="212">
        <f t="shared" si="22"/>
        <v>40</v>
      </c>
      <c r="P188" s="212">
        <f t="shared" si="23"/>
        <v>0</v>
      </c>
      <c r="Q188" s="212">
        <f t="shared" si="24"/>
        <v>8</v>
      </c>
      <c r="R188" s="212">
        <f t="shared" si="25"/>
        <v>64</v>
      </c>
      <c r="S188" s="369" t="s">
        <v>1074</v>
      </c>
      <c r="T188" s="275" t="s">
        <v>1087</v>
      </c>
      <c r="U188" s="280">
        <v>104</v>
      </c>
      <c r="V188" s="280">
        <v>106</v>
      </c>
      <c r="W188" s="280">
        <v>106</v>
      </c>
      <c r="X188" s="276">
        <v>44039</v>
      </c>
      <c r="Y188" s="277">
        <v>44075</v>
      </c>
      <c r="Z188" s="277">
        <v>44211</v>
      </c>
      <c r="AA188" s="273">
        <f t="shared" si="26"/>
        <v>2021</v>
      </c>
      <c r="AB188" s="273">
        <f t="shared" si="27"/>
        <v>1</v>
      </c>
      <c r="AC188" s="278" t="s">
        <v>920</v>
      </c>
      <c r="AD188" s="278" t="s">
        <v>422</v>
      </c>
      <c r="AE188" s="278" t="s">
        <v>422</v>
      </c>
      <c r="AF188" s="278" t="s">
        <v>422</v>
      </c>
      <c r="AG188" s="278" t="s">
        <v>422</v>
      </c>
      <c r="AH188" s="278" t="s">
        <v>422</v>
      </c>
      <c r="AI188" s="278" t="s">
        <v>422</v>
      </c>
      <c r="AJ188" s="278" t="s">
        <v>422</v>
      </c>
      <c r="AK188" s="278" t="s">
        <v>423</v>
      </c>
      <c r="AL188" s="279" t="s">
        <v>1372</v>
      </c>
      <c r="AM188" s="241"/>
      <c r="AN188" s="241"/>
    </row>
    <row r="189" spans="1:40" ht="15" customHeight="1" x14ac:dyDescent="0.3">
      <c r="A189" s="185">
        <v>139</v>
      </c>
      <c r="B189" s="247" t="s">
        <v>1063</v>
      </c>
      <c r="C189" s="247" t="s">
        <v>1615</v>
      </c>
      <c r="D189" s="200" t="s">
        <v>1881</v>
      </c>
      <c r="E189" s="247"/>
      <c r="F189" s="247"/>
      <c r="G189" s="248" t="s">
        <v>1939</v>
      </c>
      <c r="H189" s="248" t="s">
        <v>1010</v>
      </c>
      <c r="I189" s="359">
        <v>2</v>
      </c>
      <c r="J189" s="398">
        <v>11</v>
      </c>
      <c r="K189" s="248">
        <v>32</v>
      </c>
      <c r="L189" s="212">
        <v>1</v>
      </c>
      <c r="M189" s="212">
        <f t="shared" si="20"/>
        <v>46</v>
      </c>
      <c r="N189" s="212">
        <f t="shared" si="21"/>
        <v>16</v>
      </c>
      <c r="O189" s="212">
        <f t="shared" si="22"/>
        <v>44</v>
      </c>
      <c r="P189" s="212">
        <f t="shared" si="23"/>
        <v>213.33333333333334</v>
      </c>
      <c r="Q189" s="212">
        <f t="shared" si="24"/>
        <v>8</v>
      </c>
      <c r="R189" s="212">
        <f t="shared" si="25"/>
        <v>281.33333333333337</v>
      </c>
      <c r="S189" s="369" t="s">
        <v>1076</v>
      </c>
      <c r="T189" s="275" t="s">
        <v>1088</v>
      </c>
      <c r="U189" s="280">
        <v>88</v>
      </c>
      <c r="V189" s="280">
        <v>90</v>
      </c>
      <c r="W189" s="280">
        <v>90</v>
      </c>
      <c r="X189" s="276">
        <v>44039</v>
      </c>
      <c r="Y189" s="277">
        <v>44075</v>
      </c>
      <c r="Z189" s="277">
        <v>44211</v>
      </c>
      <c r="AA189" s="273">
        <f t="shared" si="26"/>
        <v>2021</v>
      </c>
      <c r="AB189" s="273">
        <f t="shared" si="27"/>
        <v>1</v>
      </c>
      <c r="AC189" s="278" t="s">
        <v>920</v>
      </c>
      <c r="AD189" s="278" t="s">
        <v>422</v>
      </c>
      <c r="AE189" s="278" t="s">
        <v>422</v>
      </c>
      <c r="AF189" s="278" t="s">
        <v>422</v>
      </c>
      <c r="AG189" s="278" t="s">
        <v>422</v>
      </c>
      <c r="AH189" s="278" t="s">
        <v>422</v>
      </c>
      <c r="AI189" s="278" t="s">
        <v>422</v>
      </c>
      <c r="AJ189" s="278" t="s">
        <v>422</v>
      </c>
      <c r="AK189" s="278" t="s">
        <v>423</v>
      </c>
      <c r="AL189" s="279" t="s">
        <v>140</v>
      </c>
      <c r="AM189" s="241"/>
      <c r="AN189" s="242" t="s">
        <v>1432</v>
      </c>
    </row>
    <row r="190" spans="1:40" ht="15" customHeight="1" x14ac:dyDescent="0.3">
      <c r="A190" s="185">
        <v>148</v>
      </c>
      <c r="B190" s="247" t="s">
        <v>1100</v>
      </c>
      <c r="C190" s="247" t="s">
        <v>1616</v>
      </c>
      <c r="D190" s="200" t="s">
        <v>1848</v>
      </c>
      <c r="E190" s="370" t="s">
        <v>1596</v>
      </c>
      <c r="F190" s="247"/>
      <c r="G190" s="248" t="s">
        <v>355</v>
      </c>
      <c r="H190" s="248" t="s">
        <v>1010</v>
      </c>
      <c r="I190" s="359">
        <v>1</v>
      </c>
      <c r="J190" s="248">
        <v>2.5</v>
      </c>
      <c r="K190" s="248">
        <v>5.5</v>
      </c>
      <c r="L190" s="212">
        <v>0.5</v>
      </c>
      <c r="M190" s="212">
        <f t="shared" si="20"/>
        <v>9.5</v>
      </c>
      <c r="N190" s="212">
        <f t="shared" si="21"/>
        <v>8</v>
      </c>
      <c r="O190" s="212">
        <f t="shared" si="22"/>
        <v>10</v>
      </c>
      <c r="P190" s="212">
        <f t="shared" si="23"/>
        <v>36.666666666666671</v>
      </c>
      <c r="Q190" s="212">
        <f t="shared" si="24"/>
        <v>4</v>
      </c>
      <c r="R190" s="212">
        <f t="shared" si="25"/>
        <v>58.666666666666671</v>
      </c>
      <c r="S190" s="369" t="s">
        <v>714</v>
      </c>
      <c r="T190" s="372" t="s">
        <v>1112</v>
      </c>
      <c r="U190" s="280">
        <f>32+76</f>
        <v>108</v>
      </c>
      <c r="V190" s="280">
        <f t="shared" ref="V190:W194" si="30">+U190</f>
        <v>108</v>
      </c>
      <c r="W190" s="280">
        <f t="shared" si="30"/>
        <v>108</v>
      </c>
      <c r="X190" s="276">
        <v>44063</v>
      </c>
      <c r="Y190" s="276">
        <v>44180</v>
      </c>
      <c r="Z190" s="276">
        <v>44211</v>
      </c>
      <c r="AA190" s="273">
        <f t="shared" si="26"/>
        <v>2021</v>
      </c>
      <c r="AB190" s="273">
        <f t="shared" si="27"/>
        <v>1</v>
      </c>
      <c r="AC190" s="278" t="s">
        <v>920</v>
      </c>
      <c r="AD190" s="278" t="s">
        <v>422</v>
      </c>
      <c r="AE190" s="278" t="s">
        <v>423</v>
      </c>
      <c r="AF190" s="278" t="s">
        <v>422</v>
      </c>
      <c r="AG190" s="278" t="s">
        <v>422</v>
      </c>
      <c r="AH190" s="278" t="s">
        <v>423</v>
      </c>
      <c r="AI190" s="278" t="s">
        <v>422</v>
      </c>
      <c r="AJ190" s="278" t="s">
        <v>423</v>
      </c>
      <c r="AK190" s="278" t="s">
        <v>423</v>
      </c>
      <c r="AL190" s="279" t="s">
        <v>140</v>
      </c>
      <c r="AM190" s="241"/>
      <c r="AN190" s="242" t="s">
        <v>1602</v>
      </c>
    </row>
    <row r="191" spans="1:40" ht="15" customHeight="1" x14ac:dyDescent="0.3">
      <c r="A191" s="185">
        <v>149</v>
      </c>
      <c r="B191" s="247" t="s">
        <v>1101</v>
      </c>
      <c r="C191" s="247" t="s">
        <v>1616</v>
      </c>
      <c r="D191" s="200" t="s">
        <v>1848</v>
      </c>
      <c r="E191" s="370" t="s">
        <v>1596</v>
      </c>
      <c r="F191" s="247"/>
      <c r="G191" s="248" t="s">
        <v>355</v>
      </c>
      <c r="H191" s="248" t="s">
        <v>1010</v>
      </c>
      <c r="I191" s="359">
        <v>1</v>
      </c>
      <c r="J191" s="248">
        <v>2.5</v>
      </c>
      <c r="K191" s="248">
        <v>5.5</v>
      </c>
      <c r="L191" s="212">
        <v>0.5</v>
      </c>
      <c r="M191" s="212">
        <f t="shared" si="20"/>
        <v>9.5</v>
      </c>
      <c r="N191" s="212">
        <f t="shared" si="21"/>
        <v>8</v>
      </c>
      <c r="O191" s="212">
        <f t="shared" si="22"/>
        <v>10</v>
      </c>
      <c r="P191" s="212">
        <f t="shared" si="23"/>
        <v>36.666666666666671</v>
      </c>
      <c r="Q191" s="212">
        <f t="shared" si="24"/>
        <v>4</v>
      </c>
      <c r="R191" s="212">
        <f t="shared" si="25"/>
        <v>58.666666666666671</v>
      </c>
      <c r="S191" s="369" t="s">
        <v>716</v>
      </c>
      <c r="T191" s="372" t="s">
        <v>1113</v>
      </c>
      <c r="U191" s="280">
        <f>50+120</f>
        <v>170</v>
      </c>
      <c r="V191" s="280">
        <f t="shared" si="30"/>
        <v>170</v>
      </c>
      <c r="W191" s="280">
        <f t="shared" si="30"/>
        <v>170</v>
      </c>
      <c r="X191" s="276">
        <v>44063</v>
      </c>
      <c r="Y191" s="276">
        <v>44180</v>
      </c>
      <c r="Z191" s="276">
        <v>44211</v>
      </c>
      <c r="AA191" s="273">
        <f t="shared" si="26"/>
        <v>2021</v>
      </c>
      <c r="AB191" s="273">
        <f t="shared" si="27"/>
        <v>1</v>
      </c>
      <c r="AC191" s="278" t="s">
        <v>920</v>
      </c>
      <c r="AD191" s="278" t="s">
        <v>422</v>
      </c>
      <c r="AE191" s="278" t="s">
        <v>423</v>
      </c>
      <c r="AF191" s="278" t="s">
        <v>422</v>
      </c>
      <c r="AG191" s="278" t="s">
        <v>422</v>
      </c>
      <c r="AH191" s="278" t="s">
        <v>423</v>
      </c>
      <c r="AI191" s="278" t="s">
        <v>422</v>
      </c>
      <c r="AJ191" s="278" t="s">
        <v>423</v>
      </c>
      <c r="AK191" s="278" t="s">
        <v>423</v>
      </c>
      <c r="AL191" s="279" t="s">
        <v>140</v>
      </c>
      <c r="AM191" s="241"/>
      <c r="AN191" s="242" t="s">
        <v>1602</v>
      </c>
    </row>
    <row r="192" spans="1:40" ht="15" customHeight="1" x14ac:dyDescent="0.3">
      <c r="A192" s="185">
        <v>150</v>
      </c>
      <c r="B192" s="247" t="s">
        <v>1102</v>
      </c>
      <c r="C192" s="247" t="s">
        <v>1616</v>
      </c>
      <c r="D192" s="200" t="s">
        <v>1848</v>
      </c>
      <c r="E192" s="370" t="s">
        <v>1596</v>
      </c>
      <c r="F192" s="247"/>
      <c r="G192" s="248" t="s">
        <v>355</v>
      </c>
      <c r="H192" s="248" t="s">
        <v>1945</v>
      </c>
      <c r="I192" s="359">
        <v>1</v>
      </c>
      <c r="J192" s="248">
        <v>4</v>
      </c>
      <c r="K192" s="248">
        <v>5.5</v>
      </c>
      <c r="L192" s="212">
        <v>0.5</v>
      </c>
      <c r="M192" s="212">
        <f t="shared" si="20"/>
        <v>11</v>
      </c>
      <c r="N192" s="212">
        <f t="shared" si="21"/>
        <v>8</v>
      </c>
      <c r="O192" s="212">
        <f t="shared" si="22"/>
        <v>16</v>
      </c>
      <c r="P192" s="212">
        <f t="shared" si="23"/>
        <v>36.666666666666671</v>
      </c>
      <c r="Q192" s="212">
        <f t="shared" si="24"/>
        <v>4</v>
      </c>
      <c r="R192" s="212">
        <f t="shared" si="25"/>
        <v>64.666666666666671</v>
      </c>
      <c r="S192" s="369" t="s">
        <v>736</v>
      </c>
      <c r="T192" s="372" t="s">
        <v>1114</v>
      </c>
      <c r="U192" s="280">
        <f>62+90</f>
        <v>152</v>
      </c>
      <c r="V192" s="280">
        <f t="shared" si="30"/>
        <v>152</v>
      </c>
      <c r="W192" s="280">
        <f t="shared" si="30"/>
        <v>152</v>
      </c>
      <c r="X192" s="276">
        <v>44063</v>
      </c>
      <c r="Y192" s="276">
        <v>44180</v>
      </c>
      <c r="Z192" s="276">
        <v>44211</v>
      </c>
      <c r="AA192" s="273">
        <f t="shared" si="26"/>
        <v>2021</v>
      </c>
      <c r="AB192" s="273">
        <f t="shared" si="27"/>
        <v>1</v>
      </c>
      <c r="AC192" s="278" t="s">
        <v>920</v>
      </c>
      <c r="AD192" s="278" t="s">
        <v>422</v>
      </c>
      <c r="AE192" s="278" t="s">
        <v>423</v>
      </c>
      <c r="AF192" s="278" t="s">
        <v>422</v>
      </c>
      <c r="AG192" s="278" t="s">
        <v>422</v>
      </c>
      <c r="AH192" s="278" t="s">
        <v>423</v>
      </c>
      <c r="AI192" s="278" t="s">
        <v>422</v>
      </c>
      <c r="AJ192" s="278" t="s">
        <v>423</v>
      </c>
      <c r="AK192" s="278" t="s">
        <v>423</v>
      </c>
      <c r="AL192" s="279" t="s">
        <v>1372</v>
      </c>
      <c r="AM192" s="241"/>
      <c r="AN192" s="242" t="s">
        <v>1602</v>
      </c>
    </row>
    <row r="193" spans="1:40" ht="15" customHeight="1" x14ac:dyDescent="0.3">
      <c r="A193" s="185">
        <v>151</v>
      </c>
      <c r="B193" s="264" t="s">
        <v>1103</v>
      </c>
      <c r="C193" s="247" t="s">
        <v>1616</v>
      </c>
      <c r="D193" s="200" t="s">
        <v>1848</v>
      </c>
      <c r="E193" s="376" t="s">
        <v>1596</v>
      </c>
      <c r="F193" s="264"/>
      <c r="G193" s="248" t="s">
        <v>355</v>
      </c>
      <c r="H193" s="248" t="s">
        <v>1010</v>
      </c>
      <c r="I193" s="359">
        <v>2</v>
      </c>
      <c r="J193" s="316">
        <v>4.7</v>
      </c>
      <c r="K193" s="316">
        <v>6</v>
      </c>
      <c r="L193" s="212">
        <v>1</v>
      </c>
      <c r="M193" s="212">
        <f t="shared" si="20"/>
        <v>13.7</v>
      </c>
      <c r="N193" s="212">
        <f t="shared" si="21"/>
        <v>16</v>
      </c>
      <c r="O193" s="212">
        <f t="shared" si="22"/>
        <v>18.8</v>
      </c>
      <c r="P193" s="212">
        <f t="shared" si="23"/>
        <v>40</v>
      </c>
      <c r="Q193" s="212">
        <f t="shared" si="24"/>
        <v>8</v>
      </c>
      <c r="R193" s="212">
        <f t="shared" si="25"/>
        <v>82.8</v>
      </c>
      <c r="S193" s="377" t="s">
        <v>718</v>
      </c>
      <c r="T193" s="378" t="s">
        <v>1115</v>
      </c>
      <c r="U193" s="280">
        <f>76+62</f>
        <v>138</v>
      </c>
      <c r="V193" s="280">
        <f t="shared" si="30"/>
        <v>138</v>
      </c>
      <c r="W193" s="280">
        <f t="shared" si="30"/>
        <v>138</v>
      </c>
      <c r="X193" s="276">
        <v>44063</v>
      </c>
      <c r="Y193" s="276">
        <v>44180</v>
      </c>
      <c r="Z193" s="276">
        <v>44211</v>
      </c>
      <c r="AA193" s="273">
        <f t="shared" si="26"/>
        <v>2021</v>
      </c>
      <c r="AB193" s="273">
        <f t="shared" si="27"/>
        <v>1</v>
      </c>
      <c r="AC193" s="278" t="s">
        <v>920</v>
      </c>
      <c r="AD193" s="278" t="s">
        <v>422</v>
      </c>
      <c r="AE193" s="278" t="s">
        <v>423</v>
      </c>
      <c r="AF193" s="278" t="s">
        <v>422</v>
      </c>
      <c r="AG193" s="278" t="s">
        <v>422</v>
      </c>
      <c r="AH193" s="278" t="s">
        <v>423</v>
      </c>
      <c r="AI193" s="278" t="s">
        <v>422</v>
      </c>
      <c r="AJ193" s="278" t="s">
        <v>423</v>
      </c>
      <c r="AK193" s="278" t="s">
        <v>423</v>
      </c>
      <c r="AL193" s="279" t="s">
        <v>140</v>
      </c>
      <c r="AM193" s="241"/>
      <c r="AN193" s="242" t="s">
        <v>1602</v>
      </c>
    </row>
    <row r="194" spans="1:40" ht="15" customHeight="1" x14ac:dyDescent="0.3">
      <c r="A194" s="185">
        <v>152</v>
      </c>
      <c r="B194" s="247" t="s">
        <v>1104</v>
      </c>
      <c r="C194" s="247" t="s">
        <v>1616</v>
      </c>
      <c r="D194" s="199" t="s">
        <v>1848</v>
      </c>
      <c r="E194" s="370" t="s">
        <v>1596</v>
      </c>
      <c r="F194" s="247"/>
      <c r="G194" s="248" t="s">
        <v>1596</v>
      </c>
      <c r="H194" s="248" t="s">
        <v>1943</v>
      </c>
      <c r="I194" s="359">
        <v>2</v>
      </c>
      <c r="J194" s="248">
        <v>10</v>
      </c>
      <c r="K194" s="248">
        <v>8.5</v>
      </c>
      <c r="L194" s="212">
        <v>1</v>
      </c>
      <c r="M194" s="212">
        <f t="shared" si="20"/>
        <v>21.5</v>
      </c>
      <c r="N194" s="212">
        <f t="shared" si="21"/>
        <v>16</v>
      </c>
      <c r="O194" s="212">
        <f t="shared" si="22"/>
        <v>40</v>
      </c>
      <c r="P194" s="212">
        <f t="shared" si="23"/>
        <v>56.666666666666671</v>
      </c>
      <c r="Q194" s="212">
        <f t="shared" si="24"/>
        <v>8</v>
      </c>
      <c r="R194" s="212">
        <f t="shared" si="25"/>
        <v>120.66666666666667</v>
      </c>
      <c r="S194" s="369" t="s">
        <v>1116</v>
      </c>
      <c r="T194" s="372" t="s">
        <v>1117</v>
      </c>
      <c r="U194" s="280">
        <v>212</v>
      </c>
      <c r="V194" s="280">
        <f t="shared" si="30"/>
        <v>212</v>
      </c>
      <c r="W194" s="280">
        <f t="shared" si="30"/>
        <v>212</v>
      </c>
      <c r="X194" s="276">
        <v>44063</v>
      </c>
      <c r="Y194" s="276">
        <v>44180</v>
      </c>
      <c r="Z194" s="276">
        <v>44211</v>
      </c>
      <c r="AA194" s="273">
        <f t="shared" si="26"/>
        <v>2021</v>
      </c>
      <c r="AB194" s="273">
        <f t="shared" si="27"/>
        <v>1</v>
      </c>
      <c r="AC194" s="278" t="s">
        <v>920</v>
      </c>
      <c r="AD194" s="278" t="s">
        <v>422</v>
      </c>
      <c r="AE194" s="278" t="s">
        <v>422</v>
      </c>
      <c r="AF194" s="278" t="s">
        <v>422</v>
      </c>
      <c r="AG194" s="278" t="s">
        <v>422</v>
      </c>
      <c r="AH194" s="278" t="s">
        <v>422</v>
      </c>
      <c r="AI194" s="278" t="s">
        <v>422</v>
      </c>
      <c r="AJ194" s="278" t="s">
        <v>423</v>
      </c>
      <c r="AK194" s="278" t="s">
        <v>423</v>
      </c>
      <c r="AL194" s="279" t="s">
        <v>1372</v>
      </c>
      <c r="AM194" s="241"/>
      <c r="AN194" s="243" t="s">
        <v>1433</v>
      </c>
    </row>
    <row r="195" spans="1:40" ht="15" customHeight="1" x14ac:dyDescent="0.3">
      <c r="A195" s="185">
        <v>153</v>
      </c>
      <c r="B195" s="247" t="s">
        <v>1105</v>
      </c>
      <c r="C195" s="247" t="s">
        <v>1616</v>
      </c>
      <c r="D195" s="199" t="s">
        <v>1848</v>
      </c>
      <c r="E195" s="370" t="s">
        <v>1596</v>
      </c>
      <c r="F195" s="247"/>
      <c r="G195" s="248" t="s">
        <v>355</v>
      </c>
      <c r="H195" s="248" t="s">
        <v>1596</v>
      </c>
      <c r="I195" s="359">
        <v>2</v>
      </c>
      <c r="J195" s="359">
        <v>10</v>
      </c>
      <c r="K195" s="248">
        <v>8.1999999999999993</v>
      </c>
      <c r="L195" s="212">
        <v>1</v>
      </c>
      <c r="M195" s="212">
        <f t="shared" si="20"/>
        <v>21.2</v>
      </c>
      <c r="N195" s="212">
        <f t="shared" si="21"/>
        <v>16</v>
      </c>
      <c r="O195" s="212">
        <f t="shared" si="22"/>
        <v>40</v>
      </c>
      <c r="P195" s="212">
        <f t="shared" si="23"/>
        <v>54.666666666666664</v>
      </c>
      <c r="Q195" s="212">
        <f t="shared" si="24"/>
        <v>8</v>
      </c>
      <c r="R195" s="212">
        <f t="shared" si="25"/>
        <v>118.66666666666666</v>
      </c>
      <c r="S195" s="369" t="s">
        <v>1116</v>
      </c>
      <c r="T195" s="372" t="s">
        <v>1117</v>
      </c>
      <c r="U195" s="280">
        <v>220</v>
      </c>
      <c r="V195" s="280">
        <v>220</v>
      </c>
      <c r="W195" s="280">
        <v>220</v>
      </c>
      <c r="X195" s="276">
        <v>44063</v>
      </c>
      <c r="Y195" s="276">
        <v>44180</v>
      </c>
      <c r="Z195" s="276">
        <v>44211</v>
      </c>
      <c r="AA195" s="273">
        <f t="shared" si="26"/>
        <v>2021</v>
      </c>
      <c r="AB195" s="273">
        <f t="shared" si="27"/>
        <v>1</v>
      </c>
      <c r="AC195" s="278" t="s">
        <v>920</v>
      </c>
      <c r="AD195" s="278" t="s">
        <v>422</v>
      </c>
      <c r="AE195" s="278" t="s">
        <v>422</v>
      </c>
      <c r="AF195" s="278" t="s">
        <v>422</v>
      </c>
      <c r="AG195" s="278" t="s">
        <v>422</v>
      </c>
      <c r="AH195" s="278" t="s">
        <v>422</v>
      </c>
      <c r="AI195" s="278" t="s">
        <v>422</v>
      </c>
      <c r="AJ195" s="278" t="s">
        <v>423</v>
      </c>
      <c r="AK195" s="278" t="s">
        <v>423</v>
      </c>
      <c r="AL195" s="279" t="s">
        <v>1372</v>
      </c>
      <c r="AM195" s="241"/>
      <c r="AN195" s="242" t="s">
        <v>1432</v>
      </c>
    </row>
    <row r="196" spans="1:40" ht="15" customHeight="1" x14ac:dyDescent="0.3">
      <c r="A196" s="185">
        <v>154</v>
      </c>
      <c r="B196" s="247" t="s">
        <v>1106</v>
      </c>
      <c r="C196" s="247" t="s">
        <v>1616</v>
      </c>
      <c r="D196" s="199" t="s">
        <v>1848</v>
      </c>
      <c r="E196" s="370" t="s">
        <v>1596</v>
      </c>
      <c r="F196" s="247"/>
      <c r="G196" s="248" t="s">
        <v>355</v>
      </c>
      <c r="H196" s="248" t="s">
        <v>1943</v>
      </c>
      <c r="I196" s="359">
        <v>2</v>
      </c>
      <c r="J196" s="248">
        <v>9</v>
      </c>
      <c r="K196" s="248">
        <v>8.1999999999999993</v>
      </c>
      <c r="L196" s="212">
        <v>1</v>
      </c>
      <c r="M196" s="212">
        <f t="shared" ref="M196:M259" si="31">SUM((I196:L196))</f>
        <v>20.2</v>
      </c>
      <c r="N196" s="212">
        <f t="shared" ref="N196:N259" si="32">+I196/0.125</f>
        <v>16</v>
      </c>
      <c r="O196" s="212">
        <f t="shared" ref="O196:O259" si="33">+J196/0.25</f>
        <v>36</v>
      </c>
      <c r="P196" s="212">
        <f t="shared" ref="P196:P259" si="34">+K196/0.15</f>
        <v>54.666666666666664</v>
      </c>
      <c r="Q196" s="212">
        <f t="shared" ref="Q196:Q259" si="35">+L196/0.125</f>
        <v>8</v>
      </c>
      <c r="R196" s="212">
        <f t="shared" ref="R196:R259" si="36">SUM(N196:Q196)</f>
        <v>114.66666666666666</v>
      </c>
      <c r="S196" s="369" t="s">
        <v>1118</v>
      </c>
      <c r="T196" s="372" t="s">
        <v>1119</v>
      </c>
      <c r="U196" s="280">
        <v>204</v>
      </c>
      <c r="V196" s="280">
        <f>+U196</f>
        <v>204</v>
      </c>
      <c r="W196" s="280">
        <f>+V196</f>
        <v>204</v>
      </c>
      <c r="X196" s="276">
        <v>44063</v>
      </c>
      <c r="Y196" s="276">
        <v>44180</v>
      </c>
      <c r="Z196" s="276">
        <v>44211</v>
      </c>
      <c r="AA196" s="273">
        <f t="shared" ref="AA196:AA259" si="37">IF(YEAR(Z196)&gt;2000,YEAR(Z196),YEAR(Y196))</f>
        <v>2021</v>
      </c>
      <c r="AB196" s="273">
        <f t="shared" ref="AB196:AB259" si="38">MONTH(Z196)</f>
        <v>1</v>
      </c>
      <c r="AC196" s="278" t="s">
        <v>920</v>
      </c>
      <c r="AD196" s="278" t="s">
        <v>422</v>
      </c>
      <c r="AE196" s="278" t="s">
        <v>422</v>
      </c>
      <c r="AF196" s="278" t="s">
        <v>422</v>
      </c>
      <c r="AG196" s="278" t="s">
        <v>422</v>
      </c>
      <c r="AH196" s="278" t="s">
        <v>422</v>
      </c>
      <c r="AI196" s="278" t="s">
        <v>422</v>
      </c>
      <c r="AJ196" s="278" t="s">
        <v>423</v>
      </c>
      <c r="AK196" s="278" t="s">
        <v>423</v>
      </c>
      <c r="AL196" s="279" t="s">
        <v>1372</v>
      </c>
      <c r="AM196" s="241"/>
      <c r="AN196" s="242" t="s">
        <v>1432</v>
      </c>
    </row>
    <row r="197" spans="1:40" ht="15" customHeight="1" x14ac:dyDescent="0.3">
      <c r="A197" s="185">
        <v>155</v>
      </c>
      <c r="B197" s="247" t="s">
        <v>1107</v>
      </c>
      <c r="C197" s="247" t="s">
        <v>1616</v>
      </c>
      <c r="D197" s="199" t="s">
        <v>1848</v>
      </c>
      <c r="E197" s="370" t="s">
        <v>1596</v>
      </c>
      <c r="F197" s="247"/>
      <c r="G197" s="248" t="s">
        <v>355</v>
      </c>
      <c r="H197" s="248" t="s">
        <v>1943</v>
      </c>
      <c r="I197" s="359">
        <v>2</v>
      </c>
      <c r="J197" s="248">
        <v>9</v>
      </c>
      <c r="K197" s="248">
        <v>16</v>
      </c>
      <c r="L197" s="212">
        <v>1</v>
      </c>
      <c r="M197" s="212">
        <f t="shared" si="31"/>
        <v>28</v>
      </c>
      <c r="N197" s="212">
        <f t="shared" si="32"/>
        <v>16</v>
      </c>
      <c r="O197" s="212">
        <f t="shared" si="33"/>
        <v>36</v>
      </c>
      <c r="P197" s="212">
        <f t="shared" si="34"/>
        <v>106.66666666666667</v>
      </c>
      <c r="Q197" s="212">
        <f t="shared" si="35"/>
        <v>8</v>
      </c>
      <c r="R197" s="212">
        <f t="shared" si="36"/>
        <v>166.66666666666669</v>
      </c>
      <c r="S197" s="369" t="s">
        <v>1120</v>
      </c>
      <c r="T197" s="372" t="s">
        <v>1119</v>
      </c>
      <c r="U197" s="280">
        <v>188</v>
      </c>
      <c r="V197" s="280">
        <v>189</v>
      </c>
      <c r="W197" s="280">
        <v>189</v>
      </c>
      <c r="X197" s="276">
        <v>44063</v>
      </c>
      <c r="Y197" s="276">
        <v>44180</v>
      </c>
      <c r="Z197" s="276">
        <v>44211</v>
      </c>
      <c r="AA197" s="273">
        <f t="shared" si="37"/>
        <v>2021</v>
      </c>
      <c r="AB197" s="273">
        <f t="shared" si="38"/>
        <v>1</v>
      </c>
      <c r="AC197" s="278" t="s">
        <v>920</v>
      </c>
      <c r="AD197" s="278" t="s">
        <v>422</v>
      </c>
      <c r="AE197" s="278" t="s">
        <v>422</v>
      </c>
      <c r="AF197" s="278" t="s">
        <v>422</v>
      </c>
      <c r="AG197" s="278" t="s">
        <v>422</v>
      </c>
      <c r="AH197" s="278" t="s">
        <v>422</v>
      </c>
      <c r="AI197" s="278" t="s">
        <v>422</v>
      </c>
      <c r="AJ197" s="278" t="s">
        <v>423</v>
      </c>
      <c r="AK197" s="278" t="s">
        <v>423</v>
      </c>
      <c r="AL197" s="279" t="s">
        <v>1372</v>
      </c>
      <c r="AM197" s="241"/>
      <c r="AN197" s="243" t="s">
        <v>1433</v>
      </c>
    </row>
    <row r="198" spans="1:40" ht="15" customHeight="1" x14ac:dyDescent="0.3">
      <c r="A198" s="185">
        <v>156</v>
      </c>
      <c r="B198" s="247" t="s">
        <v>1108</v>
      </c>
      <c r="C198" s="247" t="s">
        <v>1616</v>
      </c>
      <c r="D198" s="199" t="s">
        <v>1848</v>
      </c>
      <c r="E198" s="370" t="s">
        <v>1596</v>
      </c>
      <c r="F198" s="247"/>
      <c r="G198" s="248" t="s">
        <v>355</v>
      </c>
      <c r="H198" s="248" t="s">
        <v>1943</v>
      </c>
      <c r="I198" s="359">
        <v>2</v>
      </c>
      <c r="J198" s="248">
        <v>9</v>
      </c>
      <c r="K198" s="248">
        <v>8.1999999999999993</v>
      </c>
      <c r="L198" s="212">
        <v>1</v>
      </c>
      <c r="M198" s="212">
        <f t="shared" si="31"/>
        <v>20.2</v>
      </c>
      <c r="N198" s="212">
        <f t="shared" si="32"/>
        <v>16</v>
      </c>
      <c r="O198" s="212">
        <f t="shared" si="33"/>
        <v>36</v>
      </c>
      <c r="P198" s="212">
        <f t="shared" si="34"/>
        <v>54.666666666666664</v>
      </c>
      <c r="Q198" s="212">
        <f t="shared" si="35"/>
        <v>8</v>
      </c>
      <c r="R198" s="212">
        <f t="shared" si="36"/>
        <v>114.66666666666666</v>
      </c>
      <c r="S198" s="369" t="s">
        <v>1121</v>
      </c>
      <c r="T198" s="372" t="s">
        <v>1122</v>
      </c>
      <c r="U198" s="280">
        <v>224</v>
      </c>
      <c r="V198" s="280">
        <f>+U198</f>
        <v>224</v>
      </c>
      <c r="W198" s="280">
        <f>+V198</f>
        <v>224</v>
      </c>
      <c r="X198" s="276">
        <v>44063</v>
      </c>
      <c r="Y198" s="276">
        <v>44180</v>
      </c>
      <c r="Z198" s="276">
        <v>44211</v>
      </c>
      <c r="AA198" s="273">
        <f t="shared" si="37"/>
        <v>2021</v>
      </c>
      <c r="AB198" s="273">
        <f t="shared" si="38"/>
        <v>1</v>
      </c>
      <c r="AC198" s="278" t="s">
        <v>920</v>
      </c>
      <c r="AD198" s="278" t="s">
        <v>422</v>
      </c>
      <c r="AE198" s="278" t="s">
        <v>422</v>
      </c>
      <c r="AF198" s="278" t="s">
        <v>422</v>
      </c>
      <c r="AG198" s="278" t="s">
        <v>422</v>
      </c>
      <c r="AH198" s="278" t="s">
        <v>422</v>
      </c>
      <c r="AI198" s="278" t="s">
        <v>422</v>
      </c>
      <c r="AJ198" s="278" t="s">
        <v>423</v>
      </c>
      <c r="AK198" s="278" t="s">
        <v>423</v>
      </c>
      <c r="AL198" s="279" t="s">
        <v>1372</v>
      </c>
      <c r="AM198" s="241"/>
      <c r="AN198" s="242" t="s">
        <v>1432</v>
      </c>
    </row>
    <row r="199" spans="1:40" ht="15" customHeight="1" x14ac:dyDescent="0.3">
      <c r="A199" s="185">
        <v>157</v>
      </c>
      <c r="B199" s="247" t="s">
        <v>1109</v>
      </c>
      <c r="C199" s="247" t="s">
        <v>1616</v>
      </c>
      <c r="D199" s="199" t="s">
        <v>1848</v>
      </c>
      <c r="E199" s="370" t="s">
        <v>1596</v>
      </c>
      <c r="F199" s="247"/>
      <c r="G199" s="248" t="s">
        <v>355</v>
      </c>
      <c r="H199" s="248" t="s">
        <v>1943</v>
      </c>
      <c r="I199" s="359">
        <v>2</v>
      </c>
      <c r="J199" s="248">
        <v>8.5</v>
      </c>
      <c r="K199" s="248">
        <v>16</v>
      </c>
      <c r="L199" s="212">
        <v>1</v>
      </c>
      <c r="M199" s="212">
        <f t="shared" si="31"/>
        <v>27.5</v>
      </c>
      <c r="N199" s="212">
        <f t="shared" si="32"/>
        <v>16</v>
      </c>
      <c r="O199" s="212">
        <f t="shared" si="33"/>
        <v>34</v>
      </c>
      <c r="P199" s="212">
        <f t="shared" si="34"/>
        <v>106.66666666666667</v>
      </c>
      <c r="Q199" s="212">
        <f t="shared" si="35"/>
        <v>8</v>
      </c>
      <c r="R199" s="212">
        <f t="shared" si="36"/>
        <v>164.66666666666669</v>
      </c>
      <c r="S199" s="369" t="s">
        <v>1123</v>
      </c>
      <c r="T199" s="372" t="s">
        <v>1122</v>
      </c>
      <c r="U199" s="280">
        <v>200</v>
      </c>
      <c r="V199" s="280">
        <v>189</v>
      </c>
      <c r="W199" s="280">
        <v>189</v>
      </c>
      <c r="X199" s="276">
        <v>44063</v>
      </c>
      <c r="Y199" s="276">
        <v>44180</v>
      </c>
      <c r="Z199" s="276">
        <v>44211</v>
      </c>
      <c r="AA199" s="273">
        <f t="shared" si="37"/>
        <v>2021</v>
      </c>
      <c r="AB199" s="273">
        <f t="shared" si="38"/>
        <v>1</v>
      </c>
      <c r="AC199" s="278" t="s">
        <v>920</v>
      </c>
      <c r="AD199" s="278" t="s">
        <v>422</v>
      </c>
      <c r="AE199" s="278" t="s">
        <v>422</v>
      </c>
      <c r="AF199" s="278" t="s">
        <v>422</v>
      </c>
      <c r="AG199" s="278" t="s">
        <v>422</v>
      </c>
      <c r="AH199" s="278" t="s">
        <v>422</v>
      </c>
      <c r="AI199" s="278" t="s">
        <v>422</v>
      </c>
      <c r="AJ199" s="278" t="s">
        <v>423</v>
      </c>
      <c r="AK199" s="278" t="s">
        <v>423</v>
      </c>
      <c r="AL199" s="279" t="s">
        <v>1372</v>
      </c>
      <c r="AM199" s="241"/>
      <c r="AN199" s="243" t="s">
        <v>1433</v>
      </c>
    </row>
    <row r="200" spans="1:40" ht="15" customHeight="1" x14ac:dyDescent="0.3">
      <c r="A200" s="185">
        <v>158</v>
      </c>
      <c r="B200" s="247" t="s">
        <v>1110</v>
      </c>
      <c r="C200" s="247" t="s">
        <v>1616</v>
      </c>
      <c r="D200" s="199" t="s">
        <v>1848</v>
      </c>
      <c r="E200" s="370" t="s">
        <v>1596</v>
      </c>
      <c r="F200" s="247"/>
      <c r="G200" s="248" t="s">
        <v>355</v>
      </c>
      <c r="H200" s="248" t="s">
        <v>1943</v>
      </c>
      <c r="I200" s="359">
        <v>2</v>
      </c>
      <c r="J200" s="248">
        <v>8.5</v>
      </c>
      <c r="K200" s="248">
        <v>8.5</v>
      </c>
      <c r="L200" s="212">
        <v>1</v>
      </c>
      <c r="M200" s="212">
        <f t="shared" si="31"/>
        <v>20</v>
      </c>
      <c r="N200" s="212">
        <f t="shared" si="32"/>
        <v>16</v>
      </c>
      <c r="O200" s="212">
        <f t="shared" si="33"/>
        <v>34</v>
      </c>
      <c r="P200" s="212">
        <f t="shared" si="34"/>
        <v>56.666666666666671</v>
      </c>
      <c r="Q200" s="212">
        <f t="shared" si="35"/>
        <v>8</v>
      </c>
      <c r="R200" s="212">
        <f t="shared" si="36"/>
        <v>114.66666666666667</v>
      </c>
      <c r="S200" s="369" t="s">
        <v>1124</v>
      </c>
      <c r="T200" s="372" t="s">
        <v>1125</v>
      </c>
      <c r="U200" s="280">
        <v>114</v>
      </c>
      <c r="V200" s="280">
        <v>115</v>
      </c>
      <c r="W200" s="280">
        <v>115</v>
      </c>
      <c r="X200" s="276">
        <v>44063</v>
      </c>
      <c r="Y200" s="276">
        <v>44180</v>
      </c>
      <c r="Z200" s="26">
        <v>44211</v>
      </c>
      <c r="AA200" s="273">
        <f t="shared" si="37"/>
        <v>2021</v>
      </c>
      <c r="AB200" s="273">
        <f t="shared" si="38"/>
        <v>1</v>
      </c>
      <c r="AC200" s="278" t="s">
        <v>920</v>
      </c>
      <c r="AD200" s="278" t="s">
        <v>422</v>
      </c>
      <c r="AE200" s="278" t="s">
        <v>422</v>
      </c>
      <c r="AF200" s="278" t="s">
        <v>422</v>
      </c>
      <c r="AG200" s="278" t="s">
        <v>422</v>
      </c>
      <c r="AH200" s="278" t="s">
        <v>422</v>
      </c>
      <c r="AI200" s="278" t="s">
        <v>422</v>
      </c>
      <c r="AJ200" s="278" t="s">
        <v>423</v>
      </c>
      <c r="AK200" s="278" t="s">
        <v>423</v>
      </c>
      <c r="AL200" s="279" t="s">
        <v>1372</v>
      </c>
      <c r="AM200" s="241"/>
      <c r="AN200" s="243" t="s">
        <v>1433</v>
      </c>
    </row>
    <row r="201" spans="1:40" ht="15" customHeight="1" x14ac:dyDescent="0.3">
      <c r="A201" s="185">
        <v>159</v>
      </c>
      <c r="B201" s="247" t="s">
        <v>1111</v>
      </c>
      <c r="C201" s="247" t="s">
        <v>1616</v>
      </c>
      <c r="D201" s="199" t="s">
        <v>1848</v>
      </c>
      <c r="E201" s="370" t="s">
        <v>1596</v>
      </c>
      <c r="F201" s="247"/>
      <c r="G201" s="248" t="s">
        <v>355</v>
      </c>
      <c r="H201" s="248" t="s">
        <v>1943</v>
      </c>
      <c r="I201" s="359">
        <v>2</v>
      </c>
      <c r="J201" s="248">
        <v>8.5</v>
      </c>
      <c r="K201" s="248">
        <v>8.1999999999999993</v>
      </c>
      <c r="L201" s="212">
        <v>1</v>
      </c>
      <c r="M201" s="212">
        <f t="shared" si="31"/>
        <v>19.7</v>
      </c>
      <c r="N201" s="212">
        <f t="shared" si="32"/>
        <v>16</v>
      </c>
      <c r="O201" s="212">
        <f t="shared" si="33"/>
        <v>34</v>
      </c>
      <c r="P201" s="212">
        <f t="shared" si="34"/>
        <v>54.666666666666664</v>
      </c>
      <c r="Q201" s="212">
        <f t="shared" si="35"/>
        <v>8</v>
      </c>
      <c r="R201" s="212">
        <f t="shared" si="36"/>
        <v>112.66666666666666</v>
      </c>
      <c r="S201" s="369" t="s">
        <v>1124</v>
      </c>
      <c r="T201" s="372" t="s">
        <v>1125</v>
      </c>
      <c r="U201" s="280">
        <v>174</v>
      </c>
      <c r="V201" s="280">
        <f>+U201</f>
        <v>174</v>
      </c>
      <c r="W201" s="280">
        <f>+V201</f>
        <v>174</v>
      </c>
      <c r="X201" s="276">
        <v>44063</v>
      </c>
      <c r="Y201" s="276">
        <v>44180</v>
      </c>
      <c r="Z201" s="26">
        <v>44211</v>
      </c>
      <c r="AA201" s="273">
        <f t="shared" si="37"/>
        <v>2021</v>
      </c>
      <c r="AB201" s="273">
        <f t="shared" si="38"/>
        <v>1</v>
      </c>
      <c r="AC201" s="278" t="s">
        <v>920</v>
      </c>
      <c r="AD201" s="278" t="s">
        <v>422</v>
      </c>
      <c r="AE201" s="278" t="s">
        <v>422</v>
      </c>
      <c r="AF201" s="278" t="s">
        <v>422</v>
      </c>
      <c r="AG201" s="278" t="s">
        <v>422</v>
      </c>
      <c r="AH201" s="278" t="s">
        <v>422</v>
      </c>
      <c r="AI201" s="278" t="s">
        <v>422</v>
      </c>
      <c r="AJ201" s="278" t="s">
        <v>423</v>
      </c>
      <c r="AK201" s="278" t="s">
        <v>423</v>
      </c>
      <c r="AL201" s="279" t="s">
        <v>1372</v>
      </c>
      <c r="AM201" s="241"/>
      <c r="AN201" s="242" t="s">
        <v>1432</v>
      </c>
    </row>
    <row r="202" spans="1:40" ht="15" customHeight="1" x14ac:dyDescent="0.3">
      <c r="A202" s="185">
        <v>163</v>
      </c>
      <c r="B202" s="247" t="s">
        <v>1132</v>
      </c>
      <c r="C202" s="247" t="s">
        <v>1623</v>
      </c>
      <c r="D202" s="199" t="s">
        <v>1848</v>
      </c>
      <c r="E202" s="247"/>
      <c r="F202" s="247"/>
      <c r="G202" s="281" t="s">
        <v>1953</v>
      </c>
      <c r="H202" s="248" t="s">
        <v>1956</v>
      </c>
      <c r="I202" s="359">
        <v>2</v>
      </c>
      <c r="J202" s="248">
        <v>10</v>
      </c>
      <c r="K202" s="248">
        <v>8.5</v>
      </c>
      <c r="L202" s="212">
        <v>1</v>
      </c>
      <c r="M202" s="212">
        <f t="shared" si="31"/>
        <v>21.5</v>
      </c>
      <c r="N202" s="212">
        <f t="shared" si="32"/>
        <v>16</v>
      </c>
      <c r="O202" s="212">
        <f t="shared" si="33"/>
        <v>40</v>
      </c>
      <c r="P202" s="212">
        <f t="shared" si="34"/>
        <v>56.666666666666671</v>
      </c>
      <c r="Q202" s="212">
        <f t="shared" si="35"/>
        <v>8</v>
      </c>
      <c r="R202" s="212">
        <f t="shared" si="36"/>
        <v>120.66666666666667</v>
      </c>
      <c r="S202" s="369" t="s">
        <v>1243</v>
      </c>
      <c r="T202" s="369" t="s">
        <v>1245</v>
      </c>
      <c r="U202" s="280">
        <v>102</v>
      </c>
      <c r="V202" s="280">
        <v>102</v>
      </c>
      <c r="W202" s="280">
        <v>102</v>
      </c>
      <c r="X202" s="276">
        <v>44074</v>
      </c>
      <c r="Y202" s="276">
        <v>44145</v>
      </c>
      <c r="Z202" s="26">
        <v>44215</v>
      </c>
      <c r="AA202" s="273">
        <f t="shared" si="37"/>
        <v>2021</v>
      </c>
      <c r="AB202" s="273">
        <f t="shared" si="38"/>
        <v>1</v>
      </c>
      <c r="AC202" s="278" t="s">
        <v>920</v>
      </c>
      <c r="AD202" s="278" t="s">
        <v>449</v>
      </c>
      <c r="AE202" s="278" t="s">
        <v>422</v>
      </c>
      <c r="AF202" s="278" t="s">
        <v>422</v>
      </c>
      <c r="AG202" s="278" t="s">
        <v>422</v>
      </c>
      <c r="AH202" s="278" t="s">
        <v>422</v>
      </c>
      <c r="AI202" s="278" t="s">
        <v>422</v>
      </c>
      <c r="AJ202" s="278" t="s">
        <v>423</v>
      </c>
      <c r="AK202" s="278" t="s">
        <v>423</v>
      </c>
      <c r="AL202" s="279" t="s">
        <v>1240</v>
      </c>
      <c r="AM202" s="241"/>
      <c r="AN202" s="241"/>
    </row>
    <row r="203" spans="1:40" ht="15" customHeight="1" x14ac:dyDescent="0.3">
      <c r="A203" s="185">
        <v>164</v>
      </c>
      <c r="B203" s="247" t="s">
        <v>1133</v>
      </c>
      <c r="C203" s="247" t="s">
        <v>1623</v>
      </c>
      <c r="D203" s="199" t="s">
        <v>1848</v>
      </c>
      <c r="E203" s="247"/>
      <c r="F203" s="247"/>
      <c r="G203" s="281" t="s">
        <v>1953</v>
      </c>
      <c r="H203" s="248" t="s">
        <v>1956</v>
      </c>
      <c r="I203" s="359">
        <v>2</v>
      </c>
      <c r="J203" s="248">
        <v>10</v>
      </c>
      <c r="K203" s="248">
        <v>13</v>
      </c>
      <c r="L203" s="212">
        <v>1</v>
      </c>
      <c r="M203" s="212">
        <f t="shared" si="31"/>
        <v>26</v>
      </c>
      <c r="N203" s="212">
        <f t="shared" si="32"/>
        <v>16</v>
      </c>
      <c r="O203" s="212">
        <f t="shared" si="33"/>
        <v>40</v>
      </c>
      <c r="P203" s="212">
        <f t="shared" si="34"/>
        <v>86.666666666666671</v>
      </c>
      <c r="Q203" s="212">
        <f t="shared" si="35"/>
        <v>8</v>
      </c>
      <c r="R203" s="212">
        <f t="shared" si="36"/>
        <v>150.66666666666669</v>
      </c>
      <c r="S203" s="369" t="s">
        <v>1244</v>
      </c>
      <c r="T203" s="369" t="s">
        <v>1246</v>
      </c>
      <c r="U203" s="280">
        <f>24+24+30</f>
        <v>78</v>
      </c>
      <c r="V203" s="280">
        <f>24+24+30</f>
        <v>78</v>
      </c>
      <c r="W203" s="280">
        <f>24+24+30</f>
        <v>78</v>
      </c>
      <c r="X203" s="276">
        <v>44074</v>
      </c>
      <c r="Y203" s="276">
        <v>44145</v>
      </c>
      <c r="Z203" s="26">
        <v>44215</v>
      </c>
      <c r="AA203" s="273">
        <f t="shared" si="37"/>
        <v>2021</v>
      </c>
      <c r="AB203" s="273">
        <f t="shared" si="38"/>
        <v>1</v>
      </c>
      <c r="AC203" s="278" t="s">
        <v>920</v>
      </c>
      <c r="AD203" s="278" t="s">
        <v>449</v>
      </c>
      <c r="AE203" s="278" t="s">
        <v>422</v>
      </c>
      <c r="AF203" s="278" t="s">
        <v>422</v>
      </c>
      <c r="AG203" s="278" t="s">
        <v>422</v>
      </c>
      <c r="AH203" s="278" t="s">
        <v>422</v>
      </c>
      <c r="AI203" s="278" t="s">
        <v>422</v>
      </c>
      <c r="AJ203" s="278" t="s">
        <v>423</v>
      </c>
      <c r="AK203" s="278" t="s">
        <v>423</v>
      </c>
      <c r="AL203" s="279" t="s">
        <v>1240</v>
      </c>
      <c r="AM203" s="241"/>
      <c r="AN203" s="241"/>
    </row>
    <row r="204" spans="1:40" ht="15" customHeight="1" x14ac:dyDescent="0.3">
      <c r="A204" s="185">
        <v>165</v>
      </c>
      <c r="B204" s="247" t="s">
        <v>1134</v>
      </c>
      <c r="C204" s="247" t="s">
        <v>1623</v>
      </c>
      <c r="D204" s="199" t="s">
        <v>1848</v>
      </c>
      <c r="E204" s="247"/>
      <c r="F204" s="247"/>
      <c r="G204" s="281" t="s">
        <v>1953</v>
      </c>
      <c r="H204" s="248" t="s">
        <v>1956</v>
      </c>
      <c r="I204" s="359">
        <v>2</v>
      </c>
      <c r="J204" s="248">
        <v>10</v>
      </c>
      <c r="K204" s="359">
        <v>13</v>
      </c>
      <c r="L204" s="212">
        <v>1</v>
      </c>
      <c r="M204" s="212">
        <f t="shared" si="31"/>
        <v>26</v>
      </c>
      <c r="N204" s="212">
        <f t="shared" si="32"/>
        <v>16</v>
      </c>
      <c r="O204" s="212">
        <f t="shared" si="33"/>
        <v>40</v>
      </c>
      <c r="P204" s="212">
        <f t="shared" si="34"/>
        <v>86.666666666666671</v>
      </c>
      <c r="Q204" s="212">
        <f t="shared" si="35"/>
        <v>8</v>
      </c>
      <c r="R204" s="212">
        <f t="shared" si="36"/>
        <v>150.66666666666669</v>
      </c>
      <c r="S204" s="369" t="s">
        <v>1247</v>
      </c>
      <c r="T204" s="369" t="s">
        <v>1251</v>
      </c>
      <c r="U204" s="280">
        <v>12</v>
      </c>
      <c r="V204" s="280">
        <v>12</v>
      </c>
      <c r="W204" s="280">
        <v>12</v>
      </c>
      <c r="X204" s="276">
        <v>44074</v>
      </c>
      <c r="Y204" s="276">
        <v>44175</v>
      </c>
      <c r="Z204" s="26">
        <v>44215</v>
      </c>
      <c r="AA204" s="273">
        <f t="shared" si="37"/>
        <v>2021</v>
      </c>
      <c r="AB204" s="273">
        <f t="shared" si="38"/>
        <v>1</v>
      </c>
      <c r="AC204" s="278" t="s">
        <v>920</v>
      </c>
      <c r="AD204" s="278" t="s">
        <v>449</v>
      </c>
      <c r="AE204" s="278" t="s">
        <v>422</v>
      </c>
      <c r="AF204" s="278" t="s">
        <v>422</v>
      </c>
      <c r="AG204" s="278" t="s">
        <v>422</v>
      </c>
      <c r="AH204" s="278" t="s">
        <v>422</v>
      </c>
      <c r="AI204" s="278" t="s">
        <v>422</v>
      </c>
      <c r="AJ204" s="278" t="s">
        <v>423</v>
      </c>
      <c r="AK204" s="278" t="s">
        <v>423</v>
      </c>
      <c r="AL204" s="279" t="s">
        <v>1240</v>
      </c>
      <c r="AM204" s="241"/>
      <c r="AN204" s="241"/>
    </row>
    <row r="205" spans="1:40" ht="15" customHeight="1" x14ac:dyDescent="0.3">
      <c r="A205" s="185">
        <v>166</v>
      </c>
      <c r="B205" s="247" t="s">
        <v>1135</v>
      </c>
      <c r="C205" s="247" t="s">
        <v>1623</v>
      </c>
      <c r="D205" s="199" t="s">
        <v>1848</v>
      </c>
      <c r="E205" s="247"/>
      <c r="F205" s="247"/>
      <c r="G205" s="281" t="s">
        <v>1953</v>
      </c>
      <c r="H205" s="248" t="s">
        <v>1956</v>
      </c>
      <c r="I205" s="359">
        <v>1</v>
      </c>
      <c r="J205" s="248">
        <v>2.5</v>
      </c>
      <c r="K205" s="248">
        <v>5.5</v>
      </c>
      <c r="L205" s="212">
        <v>0.5</v>
      </c>
      <c r="M205" s="212">
        <f t="shared" si="31"/>
        <v>9.5</v>
      </c>
      <c r="N205" s="212">
        <f t="shared" si="32"/>
        <v>8</v>
      </c>
      <c r="O205" s="212">
        <f t="shared" si="33"/>
        <v>10</v>
      </c>
      <c r="P205" s="212">
        <f t="shared" si="34"/>
        <v>36.666666666666671</v>
      </c>
      <c r="Q205" s="212">
        <f t="shared" si="35"/>
        <v>4</v>
      </c>
      <c r="R205" s="212">
        <f t="shared" si="36"/>
        <v>58.666666666666671</v>
      </c>
      <c r="S205" s="369" t="s">
        <v>1248</v>
      </c>
      <c r="T205" s="369" t="s">
        <v>1248</v>
      </c>
      <c r="U205" s="280">
        <v>12</v>
      </c>
      <c r="V205" s="280">
        <v>12</v>
      </c>
      <c r="W205" s="280">
        <v>12</v>
      </c>
      <c r="X205" s="276">
        <v>44074</v>
      </c>
      <c r="Y205" s="276">
        <v>44177</v>
      </c>
      <c r="Z205" s="26">
        <v>44215</v>
      </c>
      <c r="AA205" s="273">
        <f t="shared" si="37"/>
        <v>2021</v>
      </c>
      <c r="AB205" s="273">
        <f t="shared" si="38"/>
        <v>1</v>
      </c>
      <c r="AC205" s="278" t="s">
        <v>920</v>
      </c>
      <c r="AD205" s="278" t="s">
        <v>449</v>
      </c>
      <c r="AE205" s="278" t="s">
        <v>422</v>
      </c>
      <c r="AF205" s="278" t="s">
        <v>422</v>
      </c>
      <c r="AG205" s="278" t="s">
        <v>422</v>
      </c>
      <c r="AH205" s="278" t="s">
        <v>423</v>
      </c>
      <c r="AI205" s="278" t="s">
        <v>422</v>
      </c>
      <c r="AJ205" s="278" t="s">
        <v>423</v>
      </c>
      <c r="AK205" s="278" t="s">
        <v>423</v>
      </c>
      <c r="AL205" s="279" t="s">
        <v>1240</v>
      </c>
      <c r="AM205" s="241"/>
      <c r="AN205" s="241"/>
    </row>
    <row r="206" spans="1:40" ht="15" customHeight="1" x14ac:dyDescent="0.3">
      <c r="A206" s="185">
        <v>167</v>
      </c>
      <c r="B206" s="281" t="s">
        <v>1136</v>
      </c>
      <c r="C206" s="247" t="s">
        <v>1623</v>
      </c>
      <c r="D206" s="199" t="s">
        <v>1848</v>
      </c>
      <c r="E206" s="247"/>
      <c r="F206" s="281"/>
      <c r="G206" s="281" t="s">
        <v>1953</v>
      </c>
      <c r="H206" s="248" t="s">
        <v>1956</v>
      </c>
      <c r="I206" s="359">
        <v>2</v>
      </c>
      <c r="J206" s="317">
        <v>9</v>
      </c>
      <c r="K206" s="317">
        <v>10</v>
      </c>
      <c r="L206" s="212">
        <v>1</v>
      </c>
      <c r="M206" s="212">
        <f t="shared" si="31"/>
        <v>22</v>
      </c>
      <c r="N206" s="212">
        <f t="shared" si="32"/>
        <v>16</v>
      </c>
      <c r="O206" s="212">
        <f t="shared" si="33"/>
        <v>36</v>
      </c>
      <c r="P206" s="212">
        <f t="shared" si="34"/>
        <v>66.666666666666671</v>
      </c>
      <c r="Q206" s="212">
        <f t="shared" si="35"/>
        <v>8</v>
      </c>
      <c r="R206" s="212">
        <f t="shared" si="36"/>
        <v>126.66666666666667</v>
      </c>
      <c r="S206" s="379" t="s">
        <v>1137</v>
      </c>
      <c r="T206" s="379" t="s">
        <v>1252</v>
      </c>
      <c r="U206" s="280">
        <f>4+8+8</f>
        <v>20</v>
      </c>
      <c r="V206" s="280">
        <f>4+8+8</f>
        <v>20</v>
      </c>
      <c r="W206" s="280">
        <f>4+8+8</f>
        <v>20</v>
      </c>
      <c r="X206" s="276">
        <v>44074</v>
      </c>
      <c r="Y206" s="276">
        <v>44145</v>
      </c>
      <c r="Z206" s="277">
        <v>44215</v>
      </c>
      <c r="AA206" s="273">
        <f t="shared" si="37"/>
        <v>2021</v>
      </c>
      <c r="AB206" s="273">
        <f t="shared" si="38"/>
        <v>1</v>
      </c>
      <c r="AC206" s="278" t="s">
        <v>920</v>
      </c>
      <c r="AD206" s="278" t="s">
        <v>449</v>
      </c>
      <c r="AE206" s="278" t="s">
        <v>422</v>
      </c>
      <c r="AF206" s="278" t="s">
        <v>422</v>
      </c>
      <c r="AG206" s="278" t="s">
        <v>422</v>
      </c>
      <c r="AH206" s="278" t="s">
        <v>422</v>
      </c>
      <c r="AI206" s="278" t="s">
        <v>422</v>
      </c>
      <c r="AJ206" s="278" t="s">
        <v>423</v>
      </c>
      <c r="AK206" s="278" t="s">
        <v>423</v>
      </c>
      <c r="AL206" s="279" t="s">
        <v>1240</v>
      </c>
      <c r="AM206" s="241"/>
      <c r="AN206" s="241"/>
    </row>
    <row r="207" spans="1:40" ht="15" customHeight="1" x14ac:dyDescent="0.3">
      <c r="A207" s="185">
        <v>168</v>
      </c>
      <c r="B207" s="247" t="s">
        <v>1151</v>
      </c>
      <c r="C207" s="247" t="s">
        <v>1616</v>
      </c>
      <c r="D207" s="199" t="s">
        <v>1848</v>
      </c>
      <c r="E207" s="370" t="s">
        <v>1596</v>
      </c>
      <c r="F207" s="281"/>
      <c r="G207" s="317" t="s">
        <v>355</v>
      </c>
      <c r="H207" s="248" t="s">
        <v>1010</v>
      </c>
      <c r="I207" s="359">
        <v>1</v>
      </c>
      <c r="J207" s="317">
        <v>2.5</v>
      </c>
      <c r="K207" s="317">
        <v>5.5</v>
      </c>
      <c r="L207" s="212">
        <v>0.5</v>
      </c>
      <c r="M207" s="212">
        <f t="shared" si="31"/>
        <v>9.5</v>
      </c>
      <c r="N207" s="212">
        <f t="shared" si="32"/>
        <v>8</v>
      </c>
      <c r="O207" s="212">
        <f t="shared" si="33"/>
        <v>10</v>
      </c>
      <c r="P207" s="212">
        <f t="shared" si="34"/>
        <v>36.666666666666671</v>
      </c>
      <c r="Q207" s="212">
        <f t="shared" si="35"/>
        <v>4</v>
      </c>
      <c r="R207" s="212">
        <f t="shared" si="36"/>
        <v>58.666666666666671</v>
      </c>
      <c r="S207" s="379" t="s">
        <v>731</v>
      </c>
      <c r="T207" s="380" t="s">
        <v>1112</v>
      </c>
      <c r="U207" s="280">
        <f>52+18</f>
        <v>70</v>
      </c>
      <c r="V207" s="280">
        <f t="shared" ref="V207:W215" si="39">+U207</f>
        <v>70</v>
      </c>
      <c r="W207" s="280">
        <f t="shared" si="39"/>
        <v>70</v>
      </c>
      <c r="X207" s="276">
        <v>44063</v>
      </c>
      <c r="Y207" s="276">
        <v>44180</v>
      </c>
      <c r="Z207" s="277">
        <v>44211</v>
      </c>
      <c r="AA207" s="273">
        <f t="shared" si="37"/>
        <v>2021</v>
      </c>
      <c r="AB207" s="273">
        <f t="shared" si="38"/>
        <v>1</v>
      </c>
      <c r="AC207" s="278" t="s">
        <v>920</v>
      </c>
      <c r="AD207" s="278" t="s">
        <v>422</v>
      </c>
      <c r="AE207" s="278" t="s">
        <v>423</v>
      </c>
      <c r="AF207" s="278" t="s">
        <v>422</v>
      </c>
      <c r="AG207" s="278" t="s">
        <v>422</v>
      </c>
      <c r="AH207" s="278" t="s">
        <v>423</v>
      </c>
      <c r="AI207" s="278" t="s">
        <v>422</v>
      </c>
      <c r="AJ207" s="278" t="s">
        <v>423</v>
      </c>
      <c r="AK207" s="278" t="s">
        <v>423</v>
      </c>
      <c r="AL207" s="279" t="s">
        <v>140</v>
      </c>
      <c r="AM207" s="241"/>
      <c r="AN207" s="243" t="s">
        <v>1433</v>
      </c>
    </row>
    <row r="208" spans="1:40" ht="15" customHeight="1" x14ac:dyDescent="0.3">
      <c r="A208" s="185">
        <v>169</v>
      </c>
      <c r="B208" s="247" t="s">
        <v>1152</v>
      </c>
      <c r="C208" s="247" t="s">
        <v>1616</v>
      </c>
      <c r="D208" s="199" t="s">
        <v>1848</v>
      </c>
      <c r="E208" s="370" t="s">
        <v>1596</v>
      </c>
      <c r="F208" s="281"/>
      <c r="G208" s="317" t="s">
        <v>1596</v>
      </c>
      <c r="H208" s="248" t="s">
        <v>1010</v>
      </c>
      <c r="I208" s="359">
        <v>1</v>
      </c>
      <c r="J208" s="317">
        <v>2.5</v>
      </c>
      <c r="K208" s="359">
        <v>5.5</v>
      </c>
      <c r="L208" s="212">
        <v>0.5</v>
      </c>
      <c r="M208" s="212">
        <f t="shared" si="31"/>
        <v>9.5</v>
      </c>
      <c r="N208" s="212">
        <f t="shared" si="32"/>
        <v>8</v>
      </c>
      <c r="O208" s="212">
        <f t="shared" si="33"/>
        <v>10</v>
      </c>
      <c r="P208" s="212">
        <f t="shared" si="34"/>
        <v>36.666666666666671</v>
      </c>
      <c r="Q208" s="212">
        <f t="shared" si="35"/>
        <v>4</v>
      </c>
      <c r="R208" s="212">
        <f t="shared" si="36"/>
        <v>58.666666666666671</v>
      </c>
      <c r="S208" s="379" t="s">
        <v>732</v>
      </c>
      <c r="T208" s="380" t="s">
        <v>1113</v>
      </c>
      <c r="U208" s="280">
        <f>84+56</f>
        <v>140</v>
      </c>
      <c r="V208" s="280">
        <f t="shared" si="39"/>
        <v>140</v>
      </c>
      <c r="W208" s="280">
        <f t="shared" si="39"/>
        <v>140</v>
      </c>
      <c r="X208" s="276">
        <v>44063</v>
      </c>
      <c r="Y208" s="276">
        <v>44180</v>
      </c>
      <c r="Z208" s="277">
        <v>44211</v>
      </c>
      <c r="AA208" s="273">
        <f t="shared" si="37"/>
        <v>2021</v>
      </c>
      <c r="AB208" s="273">
        <f t="shared" si="38"/>
        <v>1</v>
      </c>
      <c r="AC208" s="278" t="s">
        <v>920</v>
      </c>
      <c r="AD208" s="278" t="s">
        <v>422</v>
      </c>
      <c r="AE208" s="278" t="s">
        <v>423</v>
      </c>
      <c r="AF208" s="278" t="s">
        <v>422</v>
      </c>
      <c r="AG208" s="278" t="s">
        <v>422</v>
      </c>
      <c r="AH208" s="278" t="s">
        <v>423</v>
      </c>
      <c r="AI208" s="278" t="s">
        <v>422</v>
      </c>
      <c r="AJ208" s="278" t="s">
        <v>423</v>
      </c>
      <c r="AK208" s="278" t="s">
        <v>423</v>
      </c>
      <c r="AL208" s="279" t="s">
        <v>140</v>
      </c>
      <c r="AM208" s="241"/>
      <c r="AN208" s="243" t="s">
        <v>1433</v>
      </c>
    </row>
    <row r="209" spans="1:46" ht="15" customHeight="1" x14ac:dyDescent="0.3">
      <c r="A209" s="185">
        <v>170</v>
      </c>
      <c r="B209" s="247" t="s">
        <v>1153</v>
      </c>
      <c r="C209" s="247" t="s">
        <v>1616</v>
      </c>
      <c r="D209" s="200" t="s">
        <v>1848</v>
      </c>
      <c r="E209" s="381" t="s">
        <v>1596</v>
      </c>
      <c r="F209" s="281" t="s">
        <v>1600</v>
      </c>
      <c r="G209" s="317" t="s">
        <v>355</v>
      </c>
      <c r="H209" s="248" t="s">
        <v>1010</v>
      </c>
      <c r="I209" s="317">
        <v>1</v>
      </c>
      <c r="J209" s="317">
        <v>2.5</v>
      </c>
      <c r="K209" s="317">
        <v>6.5</v>
      </c>
      <c r="L209" s="212">
        <v>1</v>
      </c>
      <c r="M209" s="212">
        <f t="shared" si="31"/>
        <v>11</v>
      </c>
      <c r="N209" s="212">
        <f t="shared" si="32"/>
        <v>8</v>
      </c>
      <c r="O209" s="212">
        <f t="shared" si="33"/>
        <v>10</v>
      </c>
      <c r="P209" s="212">
        <f t="shared" si="34"/>
        <v>43.333333333333336</v>
      </c>
      <c r="Q209" s="212">
        <f t="shared" si="35"/>
        <v>8</v>
      </c>
      <c r="R209" s="212">
        <f t="shared" si="36"/>
        <v>69.333333333333343</v>
      </c>
      <c r="S209" s="379" t="s">
        <v>734</v>
      </c>
      <c r="T209" s="380" t="s">
        <v>1115</v>
      </c>
      <c r="U209" s="280">
        <f>50+28</f>
        <v>78</v>
      </c>
      <c r="V209" s="280">
        <f t="shared" si="39"/>
        <v>78</v>
      </c>
      <c r="W209" s="280">
        <f t="shared" si="39"/>
        <v>78</v>
      </c>
      <c r="X209" s="276">
        <v>44063</v>
      </c>
      <c r="Y209" s="276">
        <v>44180</v>
      </c>
      <c r="Z209" s="277">
        <v>44211</v>
      </c>
      <c r="AA209" s="273">
        <f t="shared" si="37"/>
        <v>2021</v>
      </c>
      <c r="AB209" s="273">
        <f t="shared" si="38"/>
        <v>1</v>
      </c>
      <c r="AC209" s="278" t="s">
        <v>920</v>
      </c>
      <c r="AD209" s="278" t="s">
        <v>422</v>
      </c>
      <c r="AE209" s="278" t="s">
        <v>423</v>
      </c>
      <c r="AF209" s="278" t="s">
        <v>422</v>
      </c>
      <c r="AG209" s="278" t="s">
        <v>422</v>
      </c>
      <c r="AH209" s="278" t="s">
        <v>423</v>
      </c>
      <c r="AI209" s="278" t="s">
        <v>422</v>
      </c>
      <c r="AJ209" s="278" t="s">
        <v>423</v>
      </c>
      <c r="AK209" s="278" t="s">
        <v>423</v>
      </c>
      <c r="AL209" s="279" t="s">
        <v>140</v>
      </c>
      <c r="AM209" s="241"/>
      <c r="AN209" s="243" t="s">
        <v>1433</v>
      </c>
    </row>
    <row r="210" spans="1:46" ht="15" customHeight="1" x14ac:dyDescent="0.3">
      <c r="A210" s="185">
        <v>171</v>
      </c>
      <c r="B210" s="247" t="s">
        <v>1154</v>
      </c>
      <c r="C210" s="247" t="s">
        <v>1616</v>
      </c>
      <c r="D210" s="200" t="s">
        <v>1848</v>
      </c>
      <c r="E210" s="381" t="s">
        <v>1596</v>
      </c>
      <c r="F210" s="281" t="s">
        <v>1600</v>
      </c>
      <c r="G210" s="248" t="s">
        <v>355</v>
      </c>
      <c r="H210" s="248" t="s">
        <v>1010</v>
      </c>
      <c r="I210" s="317">
        <v>1</v>
      </c>
      <c r="J210" s="317">
        <v>9</v>
      </c>
      <c r="K210" s="317">
        <v>9</v>
      </c>
      <c r="L210" s="212">
        <v>1</v>
      </c>
      <c r="M210" s="212">
        <f t="shared" si="31"/>
        <v>20</v>
      </c>
      <c r="N210" s="212">
        <f t="shared" si="32"/>
        <v>8</v>
      </c>
      <c r="O210" s="212">
        <f t="shared" si="33"/>
        <v>36</v>
      </c>
      <c r="P210" s="212">
        <f t="shared" si="34"/>
        <v>60</v>
      </c>
      <c r="Q210" s="212">
        <f t="shared" si="35"/>
        <v>8</v>
      </c>
      <c r="R210" s="212">
        <f t="shared" si="36"/>
        <v>112</v>
      </c>
      <c r="S210" s="379" t="s">
        <v>1162</v>
      </c>
      <c r="T210" s="380" t="s">
        <v>1160</v>
      </c>
      <c r="U210" s="280">
        <v>232</v>
      </c>
      <c r="V210" s="280">
        <f t="shared" si="39"/>
        <v>232</v>
      </c>
      <c r="W210" s="280">
        <f t="shared" si="39"/>
        <v>232</v>
      </c>
      <c r="X210" s="276">
        <v>44063</v>
      </c>
      <c r="Y210" s="276">
        <v>44180</v>
      </c>
      <c r="Z210" s="277">
        <v>44211</v>
      </c>
      <c r="AA210" s="273">
        <f t="shared" si="37"/>
        <v>2021</v>
      </c>
      <c r="AB210" s="273">
        <f t="shared" si="38"/>
        <v>1</v>
      </c>
      <c r="AC210" s="278" t="s">
        <v>920</v>
      </c>
      <c r="AD210" s="278" t="s">
        <v>422</v>
      </c>
      <c r="AE210" s="278" t="s">
        <v>422</v>
      </c>
      <c r="AF210" s="278" t="s">
        <v>422</v>
      </c>
      <c r="AG210" s="278" t="s">
        <v>422</v>
      </c>
      <c r="AH210" s="278" t="s">
        <v>422</v>
      </c>
      <c r="AI210" s="278" t="s">
        <v>422</v>
      </c>
      <c r="AJ210" s="278" t="s">
        <v>423</v>
      </c>
      <c r="AK210" s="278" t="s">
        <v>423</v>
      </c>
      <c r="AL210" s="279" t="s">
        <v>140</v>
      </c>
      <c r="AM210" s="241"/>
      <c r="AN210" s="243" t="s">
        <v>1433</v>
      </c>
    </row>
    <row r="211" spans="1:46" ht="15" customHeight="1" x14ac:dyDescent="0.3">
      <c r="A211" s="185">
        <v>172</v>
      </c>
      <c r="B211" s="247" t="s">
        <v>1155</v>
      </c>
      <c r="C211" s="247" t="s">
        <v>1616</v>
      </c>
      <c r="D211" s="200" t="s">
        <v>1848</v>
      </c>
      <c r="E211" s="381" t="s">
        <v>1596</v>
      </c>
      <c r="F211" s="281" t="s">
        <v>1600</v>
      </c>
      <c r="G211" s="248" t="s">
        <v>1596</v>
      </c>
      <c r="H211" s="248" t="s">
        <v>1010</v>
      </c>
      <c r="I211" s="317">
        <v>1</v>
      </c>
      <c r="J211" s="317">
        <v>9</v>
      </c>
      <c r="K211" s="356">
        <v>9</v>
      </c>
      <c r="L211" s="212">
        <v>1</v>
      </c>
      <c r="M211" s="212">
        <f t="shared" si="31"/>
        <v>20</v>
      </c>
      <c r="N211" s="212">
        <f t="shared" si="32"/>
        <v>8</v>
      </c>
      <c r="O211" s="212">
        <f t="shared" si="33"/>
        <v>36</v>
      </c>
      <c r="P211" s="212">
        <f t="shared" si="34"/>
        <v>60</v>
      </c>
      <c r="Q211" s="212">
        <f t="shared" si="35"/>
        <v>8</v>
      </c>
      <c r="R211" s="212">
        <f t="shared" si="36"/>
        <v>112</v>
      </c>
      <c r="S211" s="379" t="s">
        <v>1163</v>
      </c>
      <c r="T211" s="380" t="s">
        <v>1117</v>
      </c>
      <c r="U211" s="280">
        <v>140</v>
      </c>
      <c r="V211" s="280">
        <f t="shared" si="39"/>
        <v>140</v>
      </c>
      <c r="W211" s="280">
        <f t="shared" si="39"/>
        <v>140</v>
      </c>
      <c r="X211" s="276">
        <v>44063</v>
      </c>
      <c r="Y211" s="276">
        <v>44180</v>
      </c>
      <c r="Z211" s="277">
        <v>44211</v>
      </c>
      <c r="AA211" s="273">
        <f t="shared" si="37"/>
        <v>2021</v>
      </c>
      <c r="AB211" s="273">
        <f t="shared" si="38"/>
        <v>1</v>
      </c>
      <c r="AC211" s="278" t="s">
        <v>920</v>
      </c>
      <c r="AD211" s="278" t="s">
        <v>422</v>
      </c>
      <c r="AE211" s="278" t="s">
        <v>422</v>
      </c>
      <c r="AF211" s="278" t="s">
        <v>422</v>
      </c>
      <c r="AG211" s="278" t="s">
        <v>422</v>
      </c>
      <c r="AH211" s="278" t="s">
        <v>422</v>
      </c>
      <c r="AI211" s="278" t="s">
        <v>422</v>
      </c>
      <c r="AJ211" s="278" t="s">
        <v>423</v>
      </c>
      <c r="AK211" s="278" t="s">
        <v>423</v>
      </c>
      <c r="AL211" s="279" t="s">
        <v>140</v>
      </c>
      <c r="AM211" s="241"/>
      <c r="AN211" s="243" t="s">
        <v>1433</v>
      </c>
    </row>
    <row r="212" spans="1:46" ht="15" customHeight="1" x14ac:dyDescent="0.3">
      <c r="A212" s="185">
        <v>173</v>
      </c>
      <c r="B212" s="247" t="s">
        <v>1156</v>
      </c>
      <c r="C212" s="247" t="s">
        <v>1616</v>
      </c>
      <c r="D212" s="200" t="s">
        <v>1848</v>
      </c>
      <c r="E212" s="381" t="s">
        <v>1596</v>
      </c>
      <c r="F212" s="281" t="s">
        <v>1600</v>
      </c>
      <c r="G212" s="248" t="s">
        <v>1596</v>
      </c>
      <c r="H212" s="248" t="s">
        <v>1010</v>
      </c>
      <c r="I212" s="317">
        <v>1</v>
      </c>
      <c r="J212" s="317">
        <v>9</v>
      </c>
      <c r="K212" s="356">
        <v>9</v>
      </c>
      <c r="L212" s="212">
        <v>1</v>
      </c>
      <c r="M212" s="212">
        <f t="shared" si="31"/>
        <v>20</v>
      </c>
      <c r="N212" s="212">
        <f t="shared" si="32"/>
        <v>8</v>
      </c>
      <c r="O212" s="212">
        <f t="shared" si="33"/>
        <v>36</v>
      </c>
      <c r="P212" s="212">
        <f t="shared" si="34"/>
        <v>60</v>
      </c>
      <c r="Q212" s="212">
        <f t="shared" si="35"/>
        <v>8</v>
      </c>
      <c r="R212" s="212">
        <f t="shared" si="36"/>
        <v>112</v>
      </c>
      <c r="S212" s="379" t="s">
        <v>1164</v>
      </c>
      <c r="T212" s="380" t="s">
        <v>1161</v>
      </c>
      <c r="U212" s="280">
        <v>82</v>
      </c>
      <c r="V212" s="280">
        <f t="shared" si="39"/>
        <v>82</v>
      </c>
      <c r="W212" s="280">
        <f t="shared" si="39"/>
        <v>82</v>
      </c>
      <c r="X212" s="276">
        <v>44063</v>
      </c>
      <c r="Y212" s="276">
        <v>44180</v>
      </c>
      <c r="Z212" s="277">
        <v>44211</v>
      </c>
      <c r="AA212" s="273">
        <f t="shared" si="37"/>
        <v>2021</v>
      </c>
      <c r="AB212" s="273">
        <f t="shared" si="38"/>
        <v>1</v>
      </c>
      <c r="AC212" s="278" t="s">
        <v>920</v>
      </c>
      <c r="AD212" s="278" t="s">
        <v>422</v>
      </c>
      <c r="AE212" s="278" t="s">
        <v>422</v>
      </c>
      <c r="AF212" s="278" t="s">
        <v>422</v>
      </c>
      <c r="AG212" s="278" t="s">
        <v>422</v>
      </c>
      <c r="AH212" s="278" t="s">
        <v>422</v>
      </c>
      <c r="AI212" s="278" t="s">
        <v>422</v>
      </c>
      <c r="AJ212" s="278" t="s">
        <v>423</v>
      </c>
      <c r="AK212" s="278" t="s">
        <v>423</v>
      </c>
      <c r="AL212" s="279" t="s">
        <v>140</v>
      </c>
      <c r="AM212" s="241"/>
      <c r="AN212" s="243" t="s">
        <v>1433</v>
      </c>
    </row>
    <row r="213" spans="1:46" ht="15" customHeight="1" x14ac:dyDescent="0.3">
      <c r="A213" s="185">
        <v>174</v>
      </c>
      <c r="B213" s="247" t="s">
        <v>1157</v>
      </c>
      <c r="C213" s="247" t="s">
        <v>1616</v>
      </c>
      <c r="D213" s="200" t="s">
        <v>1848</v>
      </c>
      <c r="E213" s="381" t="s">
        <v>1596</v>
      </c>
      <c r="F213" s="281" t="s">
        <v>1600</v>
      </c>
      <c r="G213" s="248" t="s">
        <v>1596</v>
      </c>
      <c r="H213" s="248" t="s">
        <v>1010</v>
      </c>
      <c r="I213" s="317">
        <v>1</v>
      </c>
      <c r="J213" s="317">
        <v>9</v>
      </c>
      <c r="K213" s="356">
        <v>9</v>
      </c>
      <c r="L213" s="212">
        <v>1</v>
      </c>
      <c r="M213" s="212">
        <f t="shared" si="31"/>
        <v>20</v>
      </c>
      <c r="N213" s="212">
        <f t="shared" si="32"/>
        <v>8</v>
      </c>
      <c r="O213" s="212">
        <f t="shared" si="33"/>
        <v>36</v>
      </c>
      <c r="P213" s="212">
        <f t="shared" si="34"/>
        <v>60</v>
      </c>
      <c r="Q213" s="212">
        <f t="shared" si="35"/>
        <v>8</v>
      </c>
      <c r="R213" s="212">
        <f t="shared" si="36"/>
        <v>112</v>
      </c>
      <c r="S213" s="379" t="s">
        <v>1164</v>
      </c>
      <c r="T213" s="380" t="s">
        <v>1161</v>
      </c>
      <c r="U213" s="280">
        <v>92</v>
      </c>
      <c r="V213" s="280">
        <f t="shared" si="39"/>
        <v>92</v>
      </c>
      <c r="W213" s="280">
        <f t="shared" si="39"/>
        <v>92</v>
      </c>
      <c r="X213" s="276">
        <v>44063</v>
      </c>
      <c r="Y213" s="276">
        <v>44180</v>
      </c>
      <c r="Z213" s="277">
        <v>44211</v>
      </c>
      <c r="AA213" s="273">
        <f t="shared" si="37"/>
        <v>2021</v>
      </c>
      <c r="AB213" s="273">
        <f t="shared" si="38"/>
        <v>1</v>
      </c>
      <c r="AC213" s="278" t="s">
        <v>920</v>
      </c>
      <c r="AD213" s="278" t="s">
        <v>422</v>
      </c>
      <c r="AE213" s="278" t="s">
        <v>422</v>
      </c>
      <c r="AF213" s="278" t="s">
        <v>422</v>
      </c>
      <c r="AG213" s="278" t="s">
        <v>422</v>
      </c>
      <c r="AH213" s="278" t="s">
        <v>422</v>
      </c>
      <c r="AI213" s="278" t="s">
        <v>422</v>
      </c>
      <c r="AJ213" s="278" t="s">
        <v>423</v>
      </c>
      <c r="AK213" s="278" t="s">
        <v>423</v>
      </c>
      <c r="AL213" s="279" t="s">
        <v>140</v>
      </c>
      <c r="AM213" s="241"/>
      <c r="AN213" s="243" t="s">
        <v>1433</v>
      </c>
    </row>
    <row r="214" spans="1:46" ht="15" customHeight="1" x14ac:dyDescent="0.3">
      <c r="A214" s="185">
        <v>175</v>
      </c>
      <c r="B214" s="247" t="s">
        <v>1158</v>
      </c>
      <c r="C214" s="247" t="s">
        <v>1616</v>
      </c>
      <c r="D214" s="200" t="s">
        <v>1848</v>
      </c>
      <c r="E214" s="381" t="s">
        <v>1596</v>
      </c>
      <c r="F214" s="281" t="s">
        <v>1600</v>
      </c>
      <c r="G214" s="248" t="s">
        <v>1596</v>
      </c>
      <c r="H214" s="248" t="s">
        <v>1010</v>
      </c>
      <c r="I214" s="317">
        <v>1</v>
      </c>
      <c r="J214" s="317">
        <v>9</v>
      </c>
      <c r="K214" s="356">
        <v>9</v>
      </c>
      <c r="L214" s="212">
        <v>1</v>
      </c>
      <c r="M214" s="212">
        <f t="shared" si="31"/>
        <v>20</v>
      </c>
      <c r="N214" s="212">
        <f t="shared" si="32"/>
        <v>8</v>
      </c>
      <c r="O214" s="212">
        <f t="shared" si="33"/>
        <v>36</v>
      </c>
      <c r="P214" s="212">
        <f t="shared" si="34"/>
        <v>60</v>
      </c>
      <c r="Q214" s="212">
        <f t="shared" si="35"/>
        <v>8</v>
      </c>
      <c r="R214" s="212">
        <f t="shared" si="36"/>
        <v>112</v>
      </c>
      <c r="S214" s="379" t="s">
        <v>1165</v>
      </c>
      <c r="T214" s="380" t="s">
        <v>1119</v>
      </c>
      <c r="U214" s="280">
        <v>110</v>
      </c>
      <c r="V214" s="280">
        <f t="shared" si="39"/>
        <v>110</v>
      </c>
      <c r="W214" s="280">
        <f t="shared" si="39"/>
        <v>110</v>
      </c>
      <c r="X214" s="276">
        <v>44063</v>
      </c>
      <c r="Y214" s="276">
        <v>44180</v>
      </c>
      <c r="Z214" s="277">
        <v>44211</v>
      </c>
      <c r="AA214" s="273">
        <f t="shared" si="37"/>
        <v>2021</v>
      </c>
      <c r="AB214" s="273">
        <f t="shared" si="38"/>
        <v>1</v>
      </c>
      <c r="AC214" s="278" t="s">
        <v>920</v>
      </c>
      <c r="AD214" s="278" t="s">
        <v>422</v>
      </c>
      <c r="AE214" s="278" t="s">
        <v>422</v>
      </c>
      <c r="AF214" s="278" t="s">
        <v>422</v>
      </c>
      <c r="AG214" s="278" t="s">
        <v>422</v>
      </c>
      <c r="AH214" s="278" t="s">
        <v>422</v>
      </c>
      <c r="AI214" s="278" t="s">
        <v>422</v>
      </c>
      <c r="AJ214" s="278" t="s">
        <v>423</v>
      </c>
      <c r="AK214" s="278" t="s">
        <v>423</v>
      </c>
      <c r="AL214" s="279" t="s">
        <v>140</v>
      </c>
      <c r="AM214" s="241"/>
      <c r="AN214" s="243" t="s">
        <v>1433</v>
      </c>
    </row>
    <row r="215" spans="1:46" ht="15" customHeight="1" x14ac:dyDescent="0.3">
      <c r="A215" s="185">
        <v>176</v>
      </c>
      <c r="B215" s="247" t="s">
        <v>1159</v>
      </c>
      <c r="C215" s="247" t="s">
        <v>1616</v>
      </c>
      <c r="D215" s="200" t="s">
        <v>1848</v>
      </c>
      <c r="E215" s="370" t="s">
        <v>1596</v>
      </c>
      <c r="F215" s="281" t="s">
        <v>1600</v>
      </c>
      <c r="G215" s="317" t="s">
        <v>1596</v>
      </c>
      <c r="H215" s="248" t="s">
        <v>1010</v>
      </c>
      <c r="I215" s="317">
        <v>1</v>
      </c>
      <c r="J215" s="317">
        <v>7</v>
      </c>
      <c r="K215" s="356">
        <v>9</v>
      </c>
      <c r="L215" s="212">
        <v>1</v>
      </c>
      <c r="M215" s="212">
        <f t="shared" si="31"/>
        <v>18</v>
      </c>
      <c r="N215" s="212">
        <f t="shared" si="32"/>
        <v>8</v>
      </c>
      <c r="O215" s="212">
        <f t="shared" si="33"/>
        <v>28</v>
      </c>
      <c r="P215" s="212">
        <f t="shared" si="34"/>
        <v>60</v>
      </c>
      <c r="Q215" s="212">
        <f t="shared" si="35"/>
        <v>8</v>
      </c>
      <c r="R215" s="212">
        <f t="shared" si="36"/>
        <v>104</v>
      </c>
      <c r="S215" s="379" t="s">
        <v>729</v>
      </c>
      <c r="T215" s="380" t="s">
        <v>1125</v>
      </c>
      <c r="U215" s="280">
        <f>60+84</f>
        <v>144</v>
      </c>
      <c r="V215" s="280">
        <f t="shared" si="39"/>
        <v>144</v>
      </c>
      <c r="W215" s="280">
        <f t="shared" si="39"/>
        <v>144</v>
      </c>
      <c r="X215" s="276">
        <v>44063</v>
      </c>
      <c r="Y215" s="276">
        <v>44180</v>
      </c>
      <c r="Z215" s="277">
        <v>44211</v>
      </c>
      <c r="AA215" s="273">
        <f t="shared" si="37"/>
        <v>2021</v>
      </c>
      <c r="AB215" s="273">
        <f t="shared" si="38"/>
        <v>1</v>
      </c>
      <c r="AC215" s="278" t="s">
        <v>920</v>
      </c>
      <c r="AD215" s="278" t="s">
        <v>422</v>
      </c>
      <c r="AE215" s="278" t="s">
        <v>422</v>
      </c>
      <c r="AF215" s="278" t="s">
        <v>422</v>
      </c>
      <c r="AG215" s="278" t="s">
        <v>422</v>
      </c>
      <c r="AH215" s="278" t="s">
        <v>422</v>
      </c>
      <c r="AI215" s="278" t="s">
        <v>422</v>
      </c>
      <c r="AJ215" s="278" t="s">
        <v>423</v>
      </c>
      <c r="AK215" s="278" t="s">
        <v>423</v>
      </c>
      <c r="AL215" s="279" t="s">
        <v>140</v>
      </c>
      <c r="AM215" s="241"/>
      <c r="AN215" s="243" t="s">
        <v>1433</v>
      </c>
    </row>
    <row r="216" spans="1:46" ht="15" customHeight="1" x14ac:dyDescent="0.3">
      <c r="A216" s="185">
        <v>187</v>
      </c>
      <c r="B216" s="247" t="s">
        <v>1199</v>
      </c>
      <c r="C216" s="247" t="s">
        <v>1618</v>
      </c>
      <c r="D216" s="200" t="s">
        <v>1881</v>
      </c>
      <c r="E216" s="247"/>
      <c r="F216" s="281" t="s">
        <v>1598</v>
      </c>
      <c r="G216" s="317" t="s">
        <v>1596</v>
      </c>
      <c r="H216" s="248" t="s">
        <v>1010</v>
      </c>
      <c r="I216" s="317">
        <v>1.2</v>
      </c>
      <c r="J216" s="361">
        <v>8</v>
      </c>
      <c r="K216" s="317">
        <v>15</v>
      </c>
      <c r="L216" s="212">
        <v>1</v>
      </c>
      <c r="M216" s="212">
        <f t="shared" si="31"/>
        <v>25.2</v>
      </c>
      <c r="N216" s="212">
        <f t="shared" si="32"/>
        <v>9.6</v>
      </c>
      <c r="O216" s="212">
        <f t="shared" si="33"/>
        <v>32</v>
      </c>
      <c r="P216" s="212">
        <f t="shared" si="34"/>
        <v>100</v>
      </c>
      <c r="Q216" s="212">
        <f t="shared" si="35"/>
        <v>8</v>
      </c>
      <c r="R216" s="212">
        <f t="shared" si="36"/>
        <v>149.6</v>
      </c>
      <c r="S216" s="379" t="s">
        <v>1264</v>
      </c>
      <c r="T216" s="380" t="s">
        <v>1187</v>
      </c>
      <c r="U216" s="280">
        <v>89</v>
      </c>
      <c r="V216" s="280">
        <v>89</v>
      </c>
      <c r="W216" s="280">
        <v>89</v>
      </c>
      <c r="X216" s="276">
        <v>44073</v>
      </c>
      <c r="Y216" s="276">
        <v>44166</v>
      </c>
      <c r="Z216" s="276">
        <v>44223</v>
      </c>
      <c r="AA216" s="273">
        <f t="shared" si="37"/>
        <v>2021</v>
      </c>
      <c r="AB216" s="273">
        <f t="shared" si="38"/>
        <v>1</v>
      </c>
      <c r="AC216" s="278" t="s">
        <v>920</v>
      </c>
      <c r="AD216" s="278" t="s">
        <v>422</v>
      </c>
      <c r="AE216" s="278" t="s">
        <v>423</v>
      </c>
      <c r="AF216" s="278" t="s">
        <v>422</v>
      </c>
      <c r="AG216" s="278" t="s">
        <v>422</v>
      </c>
      <c r="AH216" s="278" t="s">
        <v>423</v>
      </c>
      <c r="AI216" s="278" t="s">
        <v>422</v>
      </c>
      <c r="AJ216" s="278" t="s">
        <v>423</v>
      </c>
      <c r="AK216" s="278" t="s">
        <v>423</v>
      </c>
      <c r="AL216" s="279" t="s">
        <v>140</v>
      </c>
      <c r="AM216" s="241"/>
      <c r="AN216" s="242" t="s">
        <v>1594</v>
      </c>
    </row>
    <row r="217" spans="1:46" ht="15" customHeight="1" x14ac:dyDescent="0.3">
      <c r="A217" s="185">
        <v>188</v>
      </c>
      <c r="B217" s="247" t="s">
        <v>1200</v>
      </c>
      <c r="C217" s="247" t="s">
        <v>1618</v>
      </c>
      <c r="D217" s="200" t="s">
        <v>1881</v>
      </c>
      <c r="E217" s="281"/>
      <c r="F217" s="281" t="s">
        <v>1598</v>
      </c>
      <c r="G217" s="317" t="s">
        <v>1596</v>
      </c>
      <c r="H217" s="248" t="s">
        <v>1010</v>
      </c>
      <c r="I217" s="317">
        <v>0.8</v>
      </c>
      <c r="J217" s="361">
        <v>8</v>
      </c>
      <c r="K217" s="317">
        <v>15</v>
      </c>
      <c r="L217" s="212">
        <v>1</v>
      </c>
      <c r="M217" s="212">
        <f t="shared" si="31"/>
        <v>24.8</v>
      </c>
      <c r="N217" s="212">
        <f t="shared" si="32"/>
        <v>6.4</v>
      </c>
      <c r="O217" s="212">
        <f t="shared" si="33"/>
        <v>32</v>
      </c>
      <c r="P217" s="212">
        <f t="shared" si="34"/>
        <v>100</v>
      </c>
      <c r="Q217" s="212">
        <f t="shared" si="35"/>
        <v>8</v>
      </c>
      <c r="R217" s="212">
        <f t="shared" si="36"/>
        <v>146.4</v>
      </c>
      <c r="S217" s="379" t="s">
        <v>1264</v>
      </c>
      <c r="T217" s="380" t="s">
        <v>1188</v>
      </c>
      <c r="U217" s="280">
        <v>86</v>
      </c>
      <c r="V217" s="280">
        <v>86</v>
      </c>
      <c r="W217" s="280">
        <v>86</v>
      </c>
      <c r="X217" s="276">
        <v>44073</v>
      </c>
      <c r="Y217" s="276">
        <v>44166</v>
      </c>
      <c r="Z217" s="276">
        <v>44223</v>
      </c>
      <c r="AA217" s="273">
        <f t="shared" si="37"/>
        <v>2021</v>
      </c>
      <c r="AB217" s="273">
        <f t="shared" si="38"/>
        <v>1</v>
      </c>
      <c r="AC217" s="278" t="s">
        <v>920</v>
      </c>
      <c r="AD217" s="278" t="s">
        <v>422</v>
      </c>
      <c r="AE217" s="278" t="s">
        <v>423</v>
      </c>
      <c r="AF217" s="278" t="s">
        <v>422</v>
      </c>
      <c r="AG217" s="278" t="s">
        <v>422</v>
      </c>
      <c r="AH217" s="278" t="s">
        <v>423</v>
      </c>
      <c r="AI217" s="278" t="s">
        <v>422</v>
      </c>
      <c r="AJ217" s="278" t="s">
        <v>423</v>
      </c>
      <c r="AK217" s="278" t="s">
        <v>423</v>
      </c>
      <c r="AL217" s="279" t="s">
        <v>140</v>
      </c>
      <c r="AM217" s="241"/>
      <c r="AN217" s="242" t="s">
        <v>1594</v>
      </c>
    </row>
    <row r="218" spans="1:46" ht="15" customHeight="1" x14ac:dyDescent="0.3">
      <c r="A218" s="185">
        <v>189</v>
      </c>
      <c r="B218" s="247" t="s">
        <v>1201</v>
      </c>
      <c r="C218" s="247" t="s">
        <v>1618</v>
      </c>
      <c r="D218" s="200" t="s">
        <v>1881</v>
      </c>
      <c r="E218" s="281"/>
      <c r="F218" s="281" t="s">
        <v>1598</v>
      </c>
      <c r="G218" s="317" t="s">
        <v>1596</v>
      </c>
      <c r="H218" s="317" t="s">
        <v>1010</v>
      </c>
      <c r="I218" s="317">
        <v>0.9</v>
      </c>
      <c r="J218" s="361">
        <v>8</v>
      </c>
      <c r="K218" s="317">
        <v>12</v>
      </c>
      <c r="L218" s="212">
        <v>1</v>
      </c>
      <c r="M218" s="212">
        <f t="shared" si="31"/>
        <v>21.9</v>
      </c>
      <c r="N218" s="212">
        <f t="shared" si="32"/>
        <v>7.2</v>
      </c>
      <c r="O218" s="212">
        <f t="shared" si="33"/>
        <v>32</v>
      </c>
      <c r="P218" s="212">
        <f t="shared" si="34"/>
        <v>80</v>
      </c>
      <c r="Q218" s="212">
        <f t="shared" si="35"/>
        <v>8</v>
      </c>
      <c r="R218" s="212">
        <f t="shared" si="36"/>
        <v>127.2</v>
      </c>
      <c r="S218" s="379" t="s">
        <v>1265</v>
      </c>
      <c r="T218" s="380" t="s">
        <v>1189</v>
      </c>
      <c r="U218" s="280">
        <v>45</v>
      </c>
      <c r="V218" s="280">
        <v>46</v>
      </c>
      <c r="W218" s="280">
        <v>46</v>
      </c>
      <c r="X218" s="276">
        <v>44073</v>
      </c>
      <c r="Y218" s="276">
        <v>44166</v>
      </c>
      <c r="Z218" s="276">
        <v>44223</v>
      </c>
      <c r="AA218" s="273">
        <f t="shared" si="37"/>
        <v>2021</v>
      </c>
      <c r="AB218" s="273">
        <f t="shared" si="38"/>
        <v>1</v>
      </c>
      <c r="AC218" s="278" t="s">
        <v>920</v>
      </c>
      <c r="AD218" s="278" t="s">
        <v>422</v>
      </c>
      <c r="AE218" s="278" t="s">
        <v>423</v>
      </c>
      <c r="AF218" s="278" t="s">
        <v>422</v>
      </c>
      <c r="AG218" s="278" t="s">
        <v>422</v>
      </c>
      <c r="AH218" s="278" t="s">
        <v>423</v>
      </c>
      <c r="AI218" s="278" t="s">
        <v>422</v>
      </c>
      <c r="AJ218" s="278" t="s">
        <v>423</v>
      </c>
      <c r="AK218" s="278" t="s">
        <v>423</v>
      </c>
      <c r="AL218" s="279" t="s">
        <v>140</v>
      </c>
      <c r="AM218" s="241"/>
      <c r="AN218" s="242" t="s">
        <v>1594</v>
      </c>
      <c r="AO218" s="188"/>
      <c r="AP218" s="188"/>
      <c r="AQ218" s="188"/>
      <c r="AR218" s="188"/>
      <c r="AS218" s="188"/>
      <c r="AT218" s="188"/>
    </row>
    <row r="219" spans="1:46" ht="15" customHeight="1" x14ac:dyDescent="0.3">
      <c r="A219" s="185">
        <v>191</v>
      </c>
      <c r="B219" s="247" t="s">
        <v>1203</v>
      </c>
      <c r="C219" s="247" t="s">
        <v>1618</v>
      </c>
      <c r="D219" s="200" t="s">
        <v>1881</v>
      </c>
      <c r="E219" s="281"/>
      <c r="F219" s="281"/>
      <c r="G219" s="382" t="s">
        <v>1604</v>
      </c>
      <c r="H219" s="317" t="s">
        <v>1956</v>
      </c>
      <c r="I219" s="356">
        <v>2</v>
      </c>
      <c r="J219" s="317">
        <v>7.5</v>
      </c>
      <c r="K219" s="317">
        <v>0</v>
      </c>
      <c r="L219" s="212">
        <v>1</v>
      </c>
      <c r="M219" s="212">
        <f t="shared" si="31"/>
        <v>10.5</v>
      </c>
      <c r="N219" s="212">
        <f t="shared" si="32"/>
        <v>16</v>
      </c>
      <c r="O219" s="212">
        <f t="shared" si="33"/>
        <v>30</v>
      </c>
      <c r="P219" s="212">
        <f t="shared" si="34"/>
        <v>0</v>
      </c>
      <c r="Q219" s="212">
        <f t="shared" si="35"/>
        <v>8</v>
      </c>
      <c r="R219" s="212">
        <f t="shared" si="36"/>
        <v>54</v>
      </c>
      <c r="S219" s="379" t="s">
        <v>1268</v>
      </c>
      <c r="T219" s="380" t="s">
        <v>1190</v>
      </c>
      <c r="U219" s="280">
        <v>210</v>
      </c>
      <c r="V219" s="280">
        <v>210</v>
      </c>
      <c r="W219" s="280">
        <v>210</v>
      </c>
      <c r="X219" s="276">
        <v>44073</v>
      </c>
      <c r="Y219" s="276">
        <v>44166</v>
      </c>
      <c r="Z219" s="276">
        <v>44223</v>
      </c>
      <c r="AA219" s="273">
        <f t="shared" si="37"/>
        <v>2021</v>
      </c>
      <c r="AB219" s="273">
        <f t="shared" si="38"/>
        <v>1</v>
      </c>
      <c r="AC219" s="278" t="s">
        <v>920</v>
      </c>
      <c r="AD219" s="278" t="s">
        <v>422</v>
      </c>
      <c r="AE219" s="278" t="s">
        <v>423</v>
      </c>
      <c r="AF219" s="278" t="s">
        <v>422</v>
      </c>
      <c r="AG219" s="278" t="s">
        <v>422</v>
      </c>
      <c r="AH219" s="278" t="s">
        <v>423</v>
      </c>
      <c r="AI219" s="278" t="s">
        <v>422</v>
      </c>
      <c r="AJ219" s="278" t="s">
        <v>423</v>
      </c>
      <c r="AK219" s="278" t="s">
        <v>423</v>
      </c>
      <c r="AL219" s="279" t="s">
        <v>1240</v>
      </c>
      <c r="AM219" s="241"/>
      <c r="AN219" s="241"/>
      <c r="AO219" s="188"/>
      <c r="AP219" s="188"/>
      <c r="AQ219" s="188"/>
      <c r="AR219" s="188"/>
      <c r="AS219" s="188"/>
      <c r="AT219" s="188"/>
    </row>
    <row r="220" spans="1:46" ht="15" customHeight="1" x14ac:dyDescent="0.3">
      <c r="A220" s="185">
        <v>192</v>
      </c>
      <c r="B220" s="247" t="s">
        <v>1204</v>
      </c>
      <c r="C220" s="247" t="s">
        <v>1618</v>
      </c>
      <c r="D220" s="200" t="s">
        <v>1881</v>
      </c>
      <c r="E220" s="247"/>
      <c r="F220" s="281"/>
      <c r="G220" s="382" t="s">
        <v>1604</v>
      </c>
      <c r="H220" s="248" t="s">
        <v>1956</v>
      </c>
      <c r="I220" s="317">
        <v>5.5</v>
      </c>
      <c r="J220" s="361">
        <v>10</v>
      </c>
      <c r="K220" s="317">
        <v>0</v>
      </c>
      <c r="L220" s="212">
        <v>1</v>
      </c>
      <c r="M220" s="212">
        <f t="shared" si="31"/>
        <v>16.5</v>
      </c>
      <c r="N220" s="212">
        <f t="shared" si="32"/>
        <v>44</v>
      </c>
      <c r="O220" s="212">
        <f t="shared" si="33"/>
        <v>40</v>
      </c>
      <c r="P220" s="212">
        <f t="shared" si="34"/>
        <v>0</v>
      </c>
      <c r="Q220" s="212">
        <f t="shared" si="35"/>
        <v>8</v>
      </c>
      <c r="R220" s="212">
        <f t="shared" si="36"/>
        <v>92</v>
      </c>
      <c r="S220" s="379" t="s">
        <v>1269</v>
      </c>
      <c r="T220" s="380" t="s">
        <v>1191</v>
      </c>
      <c r="U220" s="280">
        <v>210</v>
      </c>
      <c r="V220" s="280">
        <v>210</v>
      </c>
      <c r="W220" s="280">
        <v>210</v>
      </c>
      <c r="X220" s="276">
        <v>44073</v>
      </c>
      <c r="Y220" s="276">
        <v>44166</v>
      </c>
      <c r="Z220" s="276">
        <v>44223</v>
      </c>
      <c r="AA220" s="273">
        <f t="shared" si="37"/>
        <v>2021</v>
      </c>
      <c r="AB220" s="273">
        <f t="shared" si="38"/>
        <v>1</v>
      </c>
      <c r="AC220" s="278" t="s">
        <v>920</v>
      </c>
      <c r="AD220" s="278" t="s">
        <v>422</v>
      </c>
      <c r="AE220" s="278" t="s">
        <v>423</v>
      </c>
      <c r="AF220" s="278" t="s">
        <v>422</v>
      </c>
      <c r="AG220" s="278" t="s">
        <v>422</v>
      </c>
      <c r="AH220" s="278" t="s">
        <v>423</v>
      </c>
      <c r="AI220" s="278" t="s">
        <v>422</v>
      </c>
      <c r="AJ220" s="278" t="s">
        <v>423</v>
      </c>
      <c r="AK220" s="278" t="s">
        <v>423</v>
      </c>
      <c r="AL220" s="279" t="s">
        <v>1240</v>
      </c>
      <c r="AM220" s="241"/>
      <c r="AN220" s="241"/>
    </row>
    <row r="221" spans="1:46" ht="15" customHeight="1" x14ac:dyDescent="0.3">
      <c r="A221" s="185">
        <v>193</v>
      </c>
      <c r="B221" s="247" t="s">
        <v>1205</v>
      </c>
      <c r="C221" s="247" t="s">
        <v>1618</v>
      </c>
      <c r="D221" s="200" t="s">
        <v>1881</v>
      </c>
      <c r="E221" s="247"/>
      <c r="F221" s="383" t="s">
        <v>1598</v>
      </c>
      <c r="G221" s="382" t="s">
        <v>1604</v>
      </c>
      <c r="H221" s="248" t="s">
        <v>1956</v>
      </c>
      <c r="I221" s="317">
        <v>1.8</v>
      </c>
      <c r="J221" s="317">
        <v>13</v>
      </c>
      <c r="K221" s="317">
        <v>0</v>
      </c>
      <c r="L221" s="212">
        <v>1</v>
      </c>
      <c r="M221" s="212">
        <f t="shared" si="31"/>
        <v>15.8</v>
      </c>
      <c r="N221" s="212">
        <f t="shared" si="32"/>
        <v>14.4</v>
      </c>
      <c r="O221" s="212">
        <f t="shared" si="33"/>
        <v>52</v>
      </c>
      <c r="P221" s="212">
        <f t="shared" si="34"/>
        <v>0</v>
      </c>
      <c r="Q221" s="212">
        <f t="shared" si="35"/>
        <v>8</v>
      </c>
      <c r="R221" s="212">
        <f t="shared" si="36"/>
        <v>74.400000000000006</v>
      </c>
      <c r="S221" s="379" t="s">
        <v>1270</v>
      </c>
      <c r="T221" s="380" t="s">
        <v>1192</v>
      </c>
      <c r="U221" s="280">
        <v>90</v>
      </c>
      <c r="V221" s="280">
        <v>90</v>
      </c>
      <c r="W221" s="280">
        <v>90</v>
      </c>
      <c r="X221" s="276">
        <v>44073</v>
      </c>
      <c r="Y221" s="276">
        <v>44166</v>
      </c>
      <c r="Z221" s="276">
        <v>44223</v>
      </c>
      <c r="AA221" s="273">
        <f t="shared" si="37"/>
        <v>2021</v>
      </c>
      <c r="AB221" s="273">
        <f t="shared" si="38"/>
        <v>1</v>
      </c>
      <c r="AC221" s="278" t="s">
        <v>920</v>
      </c>
      <c r="AD221" s="278" t="s">
        <v>422</v>
      </c>
      <c r="AE221" s="278" t="s">
        <v>422</v>
      </c>
      <c r="AF221" s="278" t="s">
        <v>422</v>
      </c>
      <c r="AG221" s="278" t="s">
        <v>422</v>
      </c>
      <c r="AH221" s="278" t="s">
        <v>422</v>
      </c>
      <c r="AI221" s="278" t="s">
        <v>422</v>
      </c>
      <c r="AJ221" s="278" t="s">
        <v>423</v>
      </c>
      <c r="AK221" s="278" t="s">
        <v>423</v>
      </c>
      <c r="AL221" s="279" t="s">
        <v>1240</v>
      </c>
      <c r="AM221" s="241"/>
      <c r="AN221" s="241"/>
    </row>
    <row r="222" spans="1:46" ht="15" customHeight="1" x14ac:dyDescent="0.3">
      <c r="A222" s="185">
        <v>211</v>
      </c>
      <c r="B222" s="230" t="s">
        <v>1224</v>
      </c>
      <c r="C222" s="247" t="s">
        <v>1615</v>
      </c>
      <c r="D222" s="200" t="s">
        <v>1881</v>
      </c>
      <c r="E222" s="230"/>
      <c r="F222" s="383" t="s">
        <v>1598</v>
      </c>
      <c r="G222" s="382" t="s">
        <v>1604</v>
      </c>
      <c r="H222" s="248" t="s">
        <v>422</v>
      </c>
      <c r="I222" s="317">
        <v>1.8</v>
      </c>
      <c r="J222" s="317">
        <v>10.5</v>
      </c>
      <c r="K222" s="317">
        <v>0</v>
      </c>
      <c r="L222" s="212">
        <v>1</v>
      </c>
      <c r="M222" s="212">
        <f t="shared" si="31"/>
        <v>13.3</v>
      </c>
      <c r="N222" s="212">
        <f t="shared" si="32"/>
        <v>14.4</v>
      </c>
      <c r="O222" s="212">
        <f t="shared" si="33"/>
        <v>42</v>
      </c>
      <c r="P222" s="212">
        <f t="shared" si="34"/>
        <v>0</v>
      </c>
      <c r="Q222" s="212">
        <f t="shared" si="35"/>
        <v>8</v>
      </c>
      <c r="R222" s="212">
        <f t="shared" si="36"/>
        <v>64.400000000000006</v>
      </c>
      <c r="S222" s="384" t="s">
        <v>1235</v>
      </c>
      <c r="T222" s="384" t="s">
        <v>1255</v>
      </c>
      <c r="U222" s="280">
        <v>70</v>
      </c>
      <c r="V222" s="280">
        <v>72</v>
      </c>
      <c r="W222" s="280">
        <v>72</v>
      </c>
      <c r="X222" s="374">
        <v>44089</v>
      </c>
      <c r="Y222" s="374">
        <v>44211</v>
      </c>
      <c r="Z222" s="276">
        <v>44211</v>
      </c>
      <c r="AA222" s="273">
        <f t="shared" si="37"/>
        <v>2021</v>
      </c>
      <c r="AB222" s="273">
        <f t="shared" si="38"/>
        <v>1</v>
      </c>
      <c r="AC222" s="278" t="s">
        <v>920</v>
      </c>
      <c r="AD222" s="278" t="s">
        <v>422</v>
      </c>
      <c r="AE222" s="278" t="s">
        <v>422</v>
      </c>
      <c r="AF222" s="278" t="s">
        <v>422</v>
      </c>
      <c r="AG222" s="278" t="s">
        <v>422</v>
      </c>
      <c r="AH222" s="278" t="s">
        <v>422</v>
      </c>
      <c r="AI222" s="278" t="s">
        <v>423</v>
      </c>
      <c r="AJ222" s="278" t="s">
        <v>423</v>
      </c>
      <c r="AK222" s="278" t="s">
        <v>423</v>
      </c>
      <c r="AL222" s="279" t="s">
        <v>138</v>
      </c>
      <c r="AM222" s="241"/>
      <c r="AN222" s="241"/>
    </row>
    <row r="223" spans="1:46" ht="15" customHeight="1" x14ac:dyDescent="0.3">
      <c r="A223" s="185">
        <v>216</v>
      </c>
      <c r="B223" s="230" t="s">
        <v>1229</v>
      </c>
      <c r="C223" s="247" t="s">
        <v>1615</v>
      </c>
      <c r="D223" s="200" t="s">
        <v>1881</v>
      </c>
      <c r="E223" s="370" t="s">
        <v>1596</v>
      </c>
      <c r="F223" s="383" t="s">
        <v>1600</v>
      </c>
      <c r="G223" s="382" t="s">
        <v>1604</v>
      </c>
      <c r="H223" s="248" t="s">
        <v>1943</v>
      </c>
      <c r="I223" s="356">
        <v>1</v>
      </c>
      <c r="J223" s="317">
        <v>10</v>
      </c>
      <c r="K223" s="317">
        <v>0</v>
      </c>
      <c r="L223" s="212">
        <v>1</v>
      </c>
      <c r="M223" s="212">
        <f t="shared" si="31"/>
        <v>12</v>
      </c>
      <c r="N223" s="212">
        <f t="shared" si="32"/>
        <v>8</v>
      </c>
      <c r="O223" s="212">
        <f t="shared" si="33"/>
        <v>40</v>
      </c>
      <c r="P223" s="212">
        <f t="shared" si="34"/>
        <v>0</v>
      </c>
      <c r="Q223" s="212">
        <f t="shared" si="35"/>
        <v>8</v>
      </c>
      <c r="R223" s="212">
        <f t="shared" si="36"/>
        <v>56</v>
      </c>
      <c r="S223" s="384" t="s">
        <v>1233</v>
      </c>
      <c r="T223" s="384" t="s">
        <v>1260</v>
      </c>
      <c r="U223" s="280">
        <v>112</v>
      </c>
      <c r="V223" s="280">
        <v>112</v>
      </c>
      <c r="W223" s="280">
        <v>112</v>
      </c>
      <c r="X223" s="374">
        <v>44089</v>
      </c>
      <c r="Y223" s="374">
        <v>44211</v>
      </c>
      <c r="Z223" s="276">
        <v>44211</v>
      </c>
      <c r="AA223" s="273">
        <f t="shared" si="37"/>
        <v>2021</v>
      </c>
      <c r="AB223" s="273">
        <f t="shared" si="38"/>
        <v>1</v>
      </c>
      <c r="AC223" s="278" t="s">
        <v>920</v>
      </c>
      <c r="AD223" s="278" t="s">
        <v>422</v>
      </c>
      <c r="AE223" s="278" t="s">
        <v>422</v>
      </c>
      <c r="AF223" s="278" t="s">
        <v>422</v>
      </c>
      <c r="AG223" s="278" t="s">
        <v>422</v>
      </c>
      <c r="AH223" s="278" t="s">
        <v>422</v>
      </c>
      <c r="AI223" s="278" t="s">
        <v>423</v>
      </c>
      <c r="AJ223" s="278" t="s">
        <v>422</v>
      </c>
      <c r="AK223" s="278" t="s">
        <v>423</v>
      </c>
      <c r="AL223" s="279" t="s">
        <v>1372</v>
      </c>
      <c r="AM223" s="241"/>
      <c r="AN223" s="241"/>
    </row>
    <row r="224" spans="1:46" ht="15" customHeight="1" x14ac:dyDescent="0.3">
      <c r="A224" s="185">
        <v>257</v>
      </c>
      <c r="B224" s="230" t="s">
        <v>1374</v>
      </c>
      <c r="C224" s="247" t="s">
        <v>1618</v>
      </c>
      <c r="D224" s="200" t="s">
        <v>1881</v>
      </c>
      <c r="E224" s="383"/>
      <c r="F224" s="383"/>
      <c r="G224" s="368" t="s">
        <v>1604</v>
      </c>
      <c r="H224" s="248" t="s">
        <v>422</v>
      </c>
      <c r="I224" s="356">
        <v>2</v>
      </c>
      <c r="J224" s="317">
        <v>7.5</v>
      </c>
      <c r="K224" s="317">
        <v>0</v>
      </c>
      <c r="L224" s="212">
        <v>1.5</v>
      </c>
      <c r="M224" s="212">
        <f t="shared" si="31"/>
        <v>11</v>
      </c>
      <c r="N224" s="212">
        <f t="shared" si="32"/>
        <v>16</v>
      </c>
      <c r="O224" s="212">
        <f t="shared" si="33"/>
        <v>30</v>
      </c>
      <c r="P224" s="212">
        <f t="shared" si="34"/>
        <v>0</v>
      </c>
      <c r="Q224" s="212">
        <f t="shared" si="35"/>
        <v>12</v>
      </c>
      <c r="R224" s="212">
        <f t="shared" si="36"/>
        <v>58</v>
      </c>
      <c r="S224" s="384" t="s">
        <v>1380</v>
      </c>
      <c r="T224" s="384" t="s">
        <v>1380</v>
      </c>
      <c r="U224" s="280">
        <v>80</v>
      </c>
      <c r="V224" s="280">
        <v>81</v>
      </c>
      <c r="W224" s="280">
        <v>81</v>
      </c>
      <c r="X224" s="374">
        <v>44123</v>
      </c>
      <c r="Y224" s="374">
        <v>44173</v>
      </c>
      <c r="Z224" s="276">
        <v>44223</v>
      </c>
      <c r="AA224" s="273">
        <f t="shared" si="37"/>
        <v>2021</v>
      </c>
      <c r="AB224" s="273">
        <f t="shared" si="38"/>
        <v>1</v>
      </c>
      <c r="AC224" s="278" t="s">
        <v>920</v>
      </c>
      <c r="AD224" s="278" t="s">
        <v>422</v>
      </c>
      <c r="AE224" s="278" t="s">
        <v>423</v>
      </c>
      <c r="AF224" s="278" t="s">
        <v>422</v>
      </c>
      <c r="AG224" s="278" t="s">
        <v>422</v>
      </c>
      <c r="AH224" s="278" t="s">
        <v>422</v>
      </c>
      <c r="AI224" s="278" t="s">
        <v>423</v>
      </c>
      <c r="AJ224" s="278" t="s">
        <v>423</v>
      </c>
      <c r="AK224" s="278" t="s">
        <v>423</v>
      </c>
      <c r="AL224" s="279" t="s">
        <v>1240</v>
      </c>
      <c r="AM224" s="241"/>
      <c r="AN224" s="241"/>
    </row>
    <row r="225" spans="1:40" ht="15" customHeight="1" x14ac:dyDescent="0.3">
      <c r="A225" s="185">
        <v>258</v>
      </c>
      <c r="B225" s="230" t="s">
        <v>1375</v>
      </c>
      <c r="C225" s="247" t="s">
        <v>1618</v>
      </c>
      <c r="D225" s="200" t="s">
        <v>1881</v>
      </c>
      <c r="E225" s="383"/>
      <c r="F225" s="383" t="s">
        <v>1600</v>
      </c>
      <c r="G225" s="368" t="s">
        <v>1604</v>
      </c>
      <c r="H225" s="248" t="s">
        <v>422</v>
      </c>
      <c r="I225" s="356">
        <v>1.5</v>
      </c>
      <c r="J225" s="317">
        <v>6.3</v>
      </c>
      <c r="K225" s="317">
        <v>5.5</v>
      </c>
      <c r="L225" s="212">
        <v>1</v>
      </c>
      <c r="M225" s="212">
        <f t="shared" si="31"/>
        <v>14.3</v>
      </c>
      <c r="N225" s="212">
        <f t="shared" si="32"/>
        <v>12</v>
      </c>
      <c r="O225" s="212">
        <f t="shared" si="33"/>
        <v>25.2</v>
      </c>
      <c r="P225" s="212">
        <f t="shared" si="34"/>
        <v>36.666666666666671</v>
      </c>
      <c r="Q225" s="212">
        <f t="shared" si="35"/>
        <v>8</v>
      </c>
      <c r="R225" s="212">
        <f t="shared" si="36"/>
        <v>81.866666666666674</v>
      </c>
      <c r="S225" s="384" t="s">
        <v>1381</v>
      </c>
      <c r="T225" s="384" t="s">
        <v>1381</v>
      </c>
      <c r="U225" s="280">
        <v>80</v>
      </c>
      <c r="V225" s="280">
        <v>80</v>
      </c>
      <c r="W225" s="280">
        <v>80</v>
      </c>
      <c r="X225" s="374">
        <v>44123</v>
      </c>
      <c r="Y225" s="374">
        <v>44173</v>
      </c>
      <c r="Z225" s="276">
        <v>44223</v>
      </c>
      <c r="AA225" s="273">
        <f t="shared" si="37"/>
        <v>2021</v>
      </c>
      <c r="AB225" s="273">
        <f t="shared" si="38"/>
        <v>1</v>
      </c>
      <c r="AC225" s="278" t="s">
        <v>920</v>
      </c>
      <c r="AD225" s="278" t="s">
        <v>422</v>
      </c>
      <c r="AE225" s="278" t="s">
        <v>423</v>
      </c>
      <c r="AF225" s="278" t="s">
        <v>422</v>
      </c>
      <c r="AG225" s="278" t="s">
        <v>422</v>
      </c>
      <c r="AH225" s="278" t="s">
        <v>422</v>
      </c>
      <c r="AI225" s="278" t="s">
        <v>423</v>
      </c>
      <c r="AJ225" s="278" t="s">
        <v>423</v>
      </c>
      <c r="AK225" s="278" t="s">
        <v>423</v>
      </c>
      <c r="AL225" s="279" t="s">
        <v>1240</v>
      </c>
      <c r="AM225" s="241"/>
      <c r="AN225" s="241"/>
    </row>
    <row r="226" spans="1:40" ht="15" customHeight="1" x14ac:dyDescent="0.3">
      <c r="A226" s="185">
        <v>259</v>
      </c>
      <c r="B226" s="230" t="s">
        <v>1376</v>
      </c>
      <c r="C226" s="247" t="s">
        <v>1618</v>
      </c>
      <c r="D226" s="200" t="s">
        <v>1881</v>
      </c>
      <c r="E226" s="383"/>
      <c r="F226" s="383" t="s">
        <v>1598</v>
      </c>
      <c r="G226" s="368" t="s">
        <v>1604</v>
      </c>
      <c r="H226" s="248" t="s">
        <v>1956</v>
      </c>
      <c r="I226" s="317">
        <v>0.8</v>
      </c>
      <c r="J226" s="317">
        <v>5</v>
      </c>
      <c r="K226" s="317">
        <v>0</v>
      </c>
      <c r="L226" s="212">
        <v>1</v>
      </c>
      <c r="M226" s="212">
        <f t="shared" si="31"/>
        <v>6.8</v>
      </c>
      <c r="N226" s="212">
        <f t="shared" si="32"/>
        <v>6.4</v>
      </c>
      <c r="O226" s="212">
        <f t="shared" si="33"/>
        <v>20</v>
      </c>
      <c r="P226" s="212">
        <f t="shared" si="34"/>
        <v>0</v>
      </c>
      <c r="Q226" s="212">
        <f t="shared" si="35"/>
        <v>8</v>
      </c>
      <c r="R226" s="212">
        <f t="shared" si="36"/>
        <v>34.4</v>
      </c>
      <c r="S226" s="384" t="s">
        <v>1382</v>
      </c>
      <c r="T226" s="384" t="s">
        <v>1383</v>
      </c>
      <c r="U226" s="280">
        <v>80</v>
      </c>
      <c r="V226" s="280">
        <v>80</v>
      </c>
      <c r="W226" s="280">
        <v>80</v>
      </c>
      <c r="X226" s="374">
        <v>44123</v>
      </c>
      <c r="Y226" s="374">
        <v>44173</v>
      </c>
      <c r="Z226" s="276">
        <v>44223</v>
      </c>
      <c r="AA226" s="273">
        <f t="shared" si="37"/>
        <v>2021</v>
      </c>
      <c r="AB226" s="273">
        <f t="shared" si="38"/>
        <v>1</v>
      </c>
      <c r="AC226" s="278" t="s">
        <v>920</v>
      </c>
      <c r="AD226" s="278" t="s">
        <v>422</v>
      </c>
      <c r="AE226" s="278" t="s">
        <v>422</v>
      </c>
      <c r="AF226" s="278" t="s">
        <v>422</v>
      </c>
      <c r="AG226" s="278" t="s">
        <v>422</v>
      </c>
      <c r="AH226" s="278" t="s">
        <v>422</v>
      </c>
      <c r="AI226" s="278" t="s">
        <v>423</v>
      </c>
      <c r="AJ226" s="278" t="s">
        <v>423</v>
      </c>
      <c r="AK226" s="278" t="s">
        <v>423</v>
      </c>
      <c r="AL226" s="279" t="s">
        <v>1240</v>
      </c>
      <c r="AM226" s="241"/>
      <c r="AN226" s="241"/>
    </row>
    <row r="227" spans="1:40" ht="15" customHeight="1" x14ac:dyDescent="0.3">
      <c r="A227" s="185">
        <v>260</v>
      </c>
      <c r="B227" s="230" t="s">
        <v>1377</v>
      </c>
      <c r="C227" s="247" t="s">
        <v>1618</v>
      </c>
      <c r="D227" s="200" t="s">
        <v>1881</v>
      </c>
      <c r="E227" s="383"/>
      <c r="F227" s="383" t="s">
        <v>1598</v>
      </c>
      <c r="G227" s="368" t="s">
        <v>1604</v>
      </c>
      <c r="H227" s="248" t="s">
        <v>422</v>
      </c>
      <c r="I227" s="317">
        <v>1.8</v>
      </c>
      <c r="J227" s="361">
        <v>11</v>
      </c>
      <c r="K227" s="317">
        <v>0</v>
      </c>
      <c r="L227" s="212">
        <v>1</v>
      </c>
      <c r="M227" s="212">
        <f t="shared" si="31"/>
        <v>13.8</v>
      </c>
      <c r="N227" s="212">
        <f t="shared" si="32"/>
        <v>14.4</v>
      </c>
      <c r="O227" s="212">
        <f t="shared" si="33"/>
        <v>44</v>
      </c>
      <c r="P227" s="212">
        <f t="shared" si="34"/>
        <v>0</v>
      </c>
      <c r="Q227" s="212">
        <f t="shared" si="35"/>
        <v>8</v>
      </c>
      <c r="R227" s="212">
        <f t="shared" si="36"/>
        <v>66.400000000000006</v>
      </c>
      <c r="S227" s="384" t="s">
        <v>1270</v>
      </c>
      <c r="T227" s="384" t="s">
        <v>1270</v>
      </c>
      <c r="U227" s="280">
        <v>45</v>
      </c>
      <c r="V227" s="280">
        <v>45</v>
      </c>
      <c r="W227" s="280">
        <v>45</v>
      </c>
      <c r="X227" s="374">
        <v>44123</v>
      </c>
      <c r="Y227" s="374">
        <v>44173</v>
      </c>
      <c r="Z227" s="276">
        <v>44223</v>
      </c>
      <c r="AA227" s="273">
        <f t="shared" si="37"/>
        <v>2021</v>
      </c>
      <c r="AB227" s="273">
        <f t="shared" si="38"/>
        <v>1</v>
      </c>
      <c r="AC227" s="278" t="s">
        <v>920</v>
      </c>
      <c r="AD227" s="278" t="s">
        <v>422</v>
      </c>
      <c r="AE227" s="278" t="s">
        <v>422</v>
      </c>
      <c r="AF227" s="278" t="s">
        <v>422</v>
      </c>
      <c r="AG227" s="278" t="s">
        <v>422</v>
      </c>
      <c r="AH227" s="278" t="s">
        <v>422</v>
      </c>
      <c r="AI227" s="278" t="s">
        <v>423</v>
      </c>
      <c r="AJ227" s="278" t="s">
        <v>423</v>
      </c>
      <c r="AK227" s="278" t="s">
        <v>423</v>
      </c>
      <c r="AL227" s="279" t="s">
        <v>1240</v>
      </c>
      <c r="AM227" s="241"/>
      <c r="AN227" s="241"/>
    </row>
    <row r="228" spans="1:40" ht="15" customHeight="1" x14ac:dyDescent="0.3">
      <c r="A228" s="185">
        <v>261</v>
      </c>
      <c r="B228" s="230" t="s">
        <v>1378</v>
      </c>
      <c r="C228" s="247" t="s">
        <v>1618</v>
      </c>
      <c r="D228" s="200" t="s">
        <v>1881</v>
      </c>
      <c r="E228" s="230"/>
      <c r="F228" s="383" t="s">
        <v>1598</v>
      </c>
      <c r="G228" s="368" t="s">
        <v>1604</v>
      </c>
      <c r="H228" s="248" t="s">
        <v>422</v>
      </c>
      <c r="I228" s="317">
        <v>1.8</v>
      </c>
      <c r="J228" s="317">
        <v>7.8</v>
      </c>
      <c r="K228" s="317">
        <v>0</v>
      </c>
      <c r="L228" s="212">
        <v>1</v>
      </c>
      <c r="M228" s="212">
        <f t="shared" si="31"/>
        <v>10.6</v>
      </c>
      <c r="N228" s="212">
        <f t="shared" si="32"/>
        <v>14.4</v>
      </c>
      <c r="O228" s="212">
        <f t="shared" si="33"/>
        <v>31.2</v>
      </c>
      <c r="P228" s="212">
        <f t="shared" si="34"/>
        <v>0</v>
      </c>
      <c r="Q228" s="212">
        <f t="shared" si="35"/>
        <v>8</v>
      </c>
      <c r="R228" s="212">
        <f t="shared" si="36"/>
        <v>53.6</v>
      </c>
      <c r="S228" s="384" t="s">
        <v>1384</v>
      </c>
      <c r="T228" s="384" t="s">
        <v>1385</v>
      </c>
      <c r="U228" s="280">
        <v>90</v>
      </c>
      <c r="V228" s="280">
        <v>91</v>
      </c>
      <c r="W228" s="280">
        <v>91</v>
      </c>
      <c r="X228" s="374">
        <v>44123</v>
      </c>
      <c r="Y228" s="374">
        <v>44173</v>
      </c>
      <c r="Z228" s="276">
        <v>44223</v>
      </c>
      <c r="AA228" s="273">
        <f t="shared" si="37"/>
        <v>2021</v>
      </c>
      <c r="AB228" s="273">
        <f t="shared" si="38"/>
        <v>1</v>
      </c>
      <c r="AC228" s="278" t="s">
        <v>920</v>
      </c>
      <c r="AD228" s="278" t="s">
        <v>422</v>
      </c>
      <c r="AE228" s="278" t="s">
        <v>423</v>
      </c>
      <c r="AF228" s="278" t="s">
        <v>422</v>
      </c>
      <c r="AG228" s="278" t="s">
        <v>422</v>
      </c>
      <c r="AH228" s="278" t="s">
        <v>422</v>
      </c>
      <c r="AI228" s="278" t="s">
        <v>423</v>
      </c>
      <c r="AJ228" s="278" t="s">
        <v>423</v>
      </c>
      <c r="AK228" s="278" t="s">
        <v>423</v>
      </c>
      <c r="AL228" s="279" t="s">
        <v>1240</v>
      </c>
      <c r="AM228" s="241"/>
      <c r="AN228" s="241"/>
    </row>
    <row r="229" spans="1:40" ht="15" customHeight="1" x14ac:dyDescent="0.3">
      <c r="A229" s="185">
        <v>194</v>
      </c>
      <c r="B229" s="230" t="s">
        <v>1206</v>
      </c>
      <c r="C229" s="247" t="s">
        <v>1616</v>
      </c>
      <c r="D229" s="200" t="s">
        <v>1848</v>
      </c>
      <c r="E229" s="370" t="s">
        <v>1596</v>
      </c>
      <c r="F229" s="383"/>
      <c r="G229" s="383" t="s">
        <v>1953</v>
      </c>
      <c r="H229" s="248" t="s">
        <v>422</v>
      </c>
      <c r="I229" s="356">
        <v>1</v>
      </c>
      <c r="J229" s="317">
        <v>2.5</v>
      </c>
      <c r="K229" s="317">
        <v>5.5</v>
      </c>
      <c r="L229" s="212">
        <v>0.5</v>
      </c>
      <c r="M229" s="212">
        <f t="shared" si="31"/>
        <v>9.5</v>
      </c>
      <c r="N229" s="212">
        <f t="shared" si="32"/>
        <v>8</v>
      </c>
      <c r="O229" s="212">
        <f t="shared" si="33"/>
        <v>10</v>
      </c>
      <c r="P229" s="212">
        <f t="shared" si="34"/>
        <v>36.666666666666671</v>
      </c>
      <c r="Q229" s="212">
        <f t="shared" si="35"/>
        <v>4</v>
      </c>
      <c r="R229" s="212">
        <f t="shared" si="36"/>
        <v>58.666666666666671</v>
      </c>
      <c r="S229" s="384" t="s">
        <v>731</v>
      </c>
      <c r="T229" s="384" t="s">
        <v>1112</v>
      </c>
      <c r="U229" s="385">
        <v>90</v>
      </c>
      <c r="V229" s="280">
        <v>90</v>
      </c>
      <c r="W229" s="280">
        <v>90</v>
      </c>
      <c r="X229" s="374">
        <v>44091</v>
      </c>
      <c r="Y229" s="374">
        <v>44211</v>
      </c>
      <c r="Z229" s="276">
        <v>44253</v>
      </c>
      <c r="AA229" s="273">
        <f t="shared" si="37"/>
        <v>2021</v>
      </c>
      <c r="AB229" s="273">
        <f t="shared" si="38"/>
        <v>2</v>
      </c>
      <c r="AC229" s="278" t="s">
        <v>920</v>
      </c>
      <c r="AD229" s="278" t="s">
        <v>422</v>
      </c>
      <c r="AE229" s="278" t="s">
        <v>423</v>
      </c>
      <c r="AF229" s="278" t="s">
        <v>422</v>
      </c>
      <c r="AG229" s="278" t="s">
        <v>422</v>
      </c>
      <c r="AH229" s="278" t="s">
        <v>422</v>
      </c>
      <c r="AI229" s="278" t="s">
        <v>422</v>
      </c>
      <c r="AJ229" s="278" t="s">
        <v>423</v>
      </c>
      <c r="AK229" s="278" t="s">
        <v>423</v>
      </c>
      <c r="AL229" s="279" t="s">
        <v>140</v>
      </c>
      <c r="AM229" s="241"/>
      <c r="AN229" s="241"/>
    </row>
    <row r="230" spans="1:40" ht="15" customHeight="1" x14ac:dyDescent="0.3">
      <c r="A230" s="185">
        <v>195</v>
      </c>
      <c r="B230" s="230" t="s">
        <v>1207</v>
      </c>
      <c r="C230" s="247" t="s">
        <v>1616</v>
      </c>
      <c r="D230" s="200" t="s">
        <v>1848</v>
      </c>
      <c r="E230" s="381" t="s">
        <v>1596</v>
      </c>
      <c r="F230" s="383"/>
      <c r="G230" s="383" t="s">
        <v>1953</v>
      </c>
      <c r="H230" s="248" t="s">
        <v>422</v>
      </c>
      <c r="I230" s="356">
        <v>1</v>
      </c>
      <c r="J230" s="317">
        <v>2.5</v>
      </c>
      <c r="K230" s="356">
        <v>5.5</v>
      </c>
      <c r="L230" s="212">
        <v>0.5</v>
      </c>
      <c r="M230" s="212">
        <f t="shared" si="31"/>
        <v>9.5</v>
      </c>
      <c r="N230" s="212">
        <f t="shared" si="32"/>
        <v>8</v>
      </c>
      <c r="O230" s="212">
        <f t="shared" si="33"/>
        <v>10</v>
      </c>
      <c r="P230" s="212">
        <f t="shared" si="34"/>
        <v>36.666666666666671</v>
      </c>
      <c r="Q230" s="212">
        <f t="shared" si="35"/>
        <v>4</v>
      </c>
      <c r="R230" s="212">
        <f t="shared" si="36"/>
        <v>58.666666666666671</v>
      </c>
      <c r="S230" s="384" t="s">
        <v>732</v>
      </c>
      <c r="T230" s="384" t="s">
        <v>1113</v>
      </c>
      <c r="U230" s="385">
        <f>56+86</f>
        <v>142</v>
      </c>
      <c r="V230" s="280">
        <v>142</v>
      </c>
      <c r="W230" s="280">
        <v>142</v>
      </c>
      <c r="X230" s="374">
        <v>44091</v>
      </c>
      <c r="Y230" s="374">
        <v>44211</v>
      </c>
      <c r="Z230" s="276">
        <v>44253</v>
      </c>
      <c r="AA230" s="273">
        <f t="shared" si="37"/>
        <v>2021</v>
      </c>
      <c r="AB230" s="273">
        <f t="shared" si="38"/>
        <v>2</v>
      </c>
      <c r="AC230" s="278" t="s">
        <v>920</v>
      </c>
      <c r="AD230" s="278" t="s">
        <v>422</v>
      </c>
      <c r="AE230" s="278" t="s">
        <v>423</v>
      </c>
      <c r="AF230" s="278" t="s">
        <v>422</v>
      </c>
      <c r="AG230" s="278" t="s">
        <v>422</v>
      </c>
      <c r="AH230" s="278" t="s">
        <v>422</v>
      </c>
      <c r="AI230" s="278" t="s">
        <v>422</v>
      </c>
      <c r="AJ230" s="278" t="s">
        <v>423</v>
      </c>
      <c r="AK230" s="278" t="s">
        <v>423</v>
      </c>
      <c r="AL230" s="279" t="s">
        <v>140</v>
      </c>
      <c r="AM230" s="241"/>
      <c r="AN230" s="241"/>
    </row>
    <row r="231" spans="1:40" ht="15" customHeight="1" x14ac:dyDescent="0.3">
      <c r="A231" s="185">
        <v>196</v>
      </c>
      <c r="B231" s="230" t="s">
        <v>1208</v>
      </c>
      <c r="C231" s="247" t="s">
        <v>1616</v>
      </c>
      <c r="D231" s="200" t="s">
        <v>1848</v>
      </c>
      <c r="E231" s="381" t="s">
        <v>1596</v>
      </c>
      <c r="F231" s="383"/>
      <c r="G231" s="383" t="s">
        <v>1953</v>
      </c>
      <c r="H231" s="317" t="s">
        <v>422</v>
      </c>
      <c r="I231" s="356">
        <v>2</v>
      </c>
      <c r="J231" s="317">
        <v>4.7</v>
      </c>
      <c r="K231" s="317">
        <v>8</v>
      </c>
      <c r="L231" s="212">
        <v>1</v>
      </c>
      <c r="M231" s="212">
        <f t="shared" si="31"/>
        <v>15.7</v>
      </c>
      <c r="N231" s="212">
        <f t="shared" si="32"/>
        <v>16</v>
      </c>
      <c r="O231" s="212">
        <f t="shared" si="33"/>
        <v>18.8</v>
      </c>
      <c r="P231" s="212">
        <f t="shared" si="34"/>
        <v>53.333333333333336</v>
      </c>
      <c r="Q231" s="212">
        <f t="shared" si="35"/>
        <v>8</v>
      </c>
      <c r="R231" s="212">
        <f t="shared" si="36"/>
        <v>96.133333333333326</v>
      </c>
      <c r="S231" s="384" t="s">
        <v>734</v>
      </c>
      <c r="T231" s="384" t="s">
        <v>1115</v>
      </c>
      <c r="U231" s="385">
        <v>46</v>
      </c>
      <c r="V231" s="280">
        <v>46</v>
      </c>
      <c r="W231" s="280">
        <v>46</v>
      </c>
      <c r="X231" s="374">
        <v>44091</v>
      </c>
      <c r="Y231" s="374">
        <v>44211</v>
      </c>
      <c r="Z231" s="276">
        <v>44253</v>
      </c>
      <c r="AA231" s="273">
        <f t="shared" si="37"/>
        <v>2021</v>
      </c>
      <c r="AB231" s="273">
        <f t="shared" si="38"/>
        <v>2</v>
      </c>
      <c r="AC231" s="278" t="s">
        <v>920</v>
      </c>
      <c r="AD231" s="278" t="s">
        <v>422</v>
      </c>
      <c r="AE231" s="278" t="s">
        <v>423</v>
      </c>
      <c r="AF231" s="278" t="s">
        <v>422</v>
      </c>
      <c r="AG231" s="278" t="s">
        <v>422</v>
      </c>
      <c r="AH231" s="278" t="s">
        <v>422</v>
      </c>
      <c r="AI231" s="278" t="s">
        <v>422</v>
      </c>
      <c r="AJ231" s="278" t="s">
        <v>423</v>
      </c>
      <c r="AK231" s="278" t="s">
        <v>423</v>
      </c>
      <c r="AL231" s="279" t="s">
        <v>140</v>
      </c>
      <c r="AM231" s="241"/>
      <c r="AN231" s="241"/>
    </row>
    <row r="232" spans="1:40" ht="15" customHeight="1" x14ac:dyDescent="0.3">
      <c r="A232" s="185">
        <v>197</v>
      </c>
      <c r="B232" s="230" t="s">
        <v>1209</v>
      </c>
      <c r="C232" s="247" t="s">
        <v>1616</v>
      </c>
      <c r="D232" s="200" t="s">
        <v>1848</v>
      </c>
      <c r="E232" s="381" t="s">
        <v>1596</v>
      </c>
      <c r="F232" s="383"/>
      <c r="G232" s="383" t="s">
        <v>1953</v>
      </c>
      <c r="H232" s="317" t="s">
        <v>422</v>
      </c>
      <c r="I232" s="356">
        <v>2</v>
      </c>
      <c r="J232" s="317">
        <v>9</v>
      </c>
      <c r="K232" s="356">
        <v>9</v>
      </c>
      <c r="L232" s="212">
        <v>1</v>
      </c>
      <c r="M232" s="212">
        <f t="shared" si="31"/>
        <v>21</v>
      </c>
      <c r="N232" s="212">
        <f t="shared" si="32"/>
        <v>16</v>
      </c>
      <c r="O232" s="212">
        <f t="shared" si="33"/>
        <v>36</v>
      </c>
      <c r="P232" s="212">
        <f t="shared" si="34"/>
        <v>60</v>
      </c>
      <c r="Q232" s="212">
        <f t="shared" si="35"/>
        <v>8</v>
      </c>
      <c r="R232" s="212">
        <f t="shared" si="36"/>
        <v>120</v>
      </c>
      <c r="S232" s="384" t="s">
        <v>1163</v>
      </c>
      <c r="T232" s="384" t="s">
        <v>1117</v>
      </c>
      <c r="U232" s="385">
        <f>106+80+52+72</f>
        <v>310</v>
      </c>
      <c r="V232" s="280">
        <v>310</v>
      </c>
      <c r="W232" s="280">
        <v>310</v>
      </c>
      <c r="X232" s="374">
        <v>44091</v>
      </c>
      <c r="Y232" s="374">
        <v>44211</v>
      </c>
      <c r="Z232" s="276">
        <v>44253</v>
      </c>
      <c r="AA232" s="273">
        <f t="shared" si="37"/>
        <v>2021</v>
      </c>
      <c r="AB232" s="273">
        <f t="shared" si="38"/>
        <v>2</v>
      </c>
      <c r="AC232" s="278" t="s">
        <v>920</v>
      </c>
      <c r="AD232" s="278" t="s">
        <v>422</v>
      </c>
      <c r="AE232" s="278" t="s">
        <v>422</v>
      </c>
      <c r="AF232" s="278" t="s">
        <v>422</v>
      </c>
      <c r="AG232" s="278" t="s">
        <v>422</v>
      </c>
      <c r="AH232" s="278" t="s">
        <v>422</v>
      </c>
      <c r="AI232" s="278" t="s">
        <v>422</v>
      </c>
      <c r="AJ232" s="278" t="s">
        <v>423</v>
      </c>
      <c r="AK232" s="278" t="s">
        <v>423</v>
      </c>
      <c r="AL232" s="279" t="s">
        <v>140</v>
      </c>
      <c r="AM232" s="241"/>
      <c r="AN232" s="241"/>
    </row>
    <row r="233" spans="1:40" ht="15" customHeight="1" x14ac:dyDescent="0.3">
      <c r="A233" s="185">
        <v>198</v>
      </c>
      <c r="B233" s="230" t="s">
        <v>1210</v>
      </c>
      <c r="C233" s="247" t="s">
        <v>1616</v>
      </c>
      <c r="D233" s="200" t="s">
        <v>1848</v>
      </c>
      <c r="E233" s="381" t="s">
        <v>1596</v>
      </c>
      <c r="F233" s="383"/>
      <c r="G233" s="383" t="s">
        <v>1953</v>
      </c>
      <c r="H233" s="317" t="s">
        <v>422</v>
      </c>
      <c r="I233" s="356">
        <v>2</v>
      </c>
      <c r="J233" s="317">
        <v>9</v>
      </c>
      <c r="K233" s="356">
        <v>9</v>
      </c>
      <c r="L233" s="212">
        <v>1</v>
      </c>
      <c r="M233" s="212">
        <f t="shared" si="31"/>
        <v>21</v>
      </c>
      <c r="N233" s="212">
        <f t="shared" si="32"/>
        <v>16</v>
      </c>
      <c r="O233" s="212">
        <f t="shared" si="33"/>
        <v>36</v>
      </c>
      <c r="P233" s="212">
        <f t="shared" si="34"/>
        <v>60</v>
      </c>
      <c r="Q233" s="212">
        <f t="shared" si="35"/>
        <v>8</v>
      </c>
      <c r="R233" s="212">
        <f t="shared" si="36"/>
        <v>120</v>
      </c>
      <c r="S233" s="384" t="s">
        <v>1165</v>
      </c>
      <c r="T233" s="384" t="s">
        <v>1119</v>
      </c>
      <c r="U233" s="385">
        <f>20+22+22+24</f>
        <v>88</v>
      </c>
      <c r="V233" s="280">
        <v>88</v>
      </c>
      <c r="W233" s="280">
        <v>88</v>
      </c>
      <c r="X233" s="374">
        <v>44091</v>
      </c>
      <c r="Y233" s="374">
        <v>44211</v>
      </c>
      <c r="Z233" s="276">
        <v>44253</v>
      </c>
      <c r="AA233" s="273">
        <f t="shared" si="37"/>
        <v>2021</v>
      </c>
      <c r="AB233" s="273">
        <f t="shared" si="38"/>
        <v>2</v>
      </c>
      <c r="AC233" s="278" t="s">
        <v>920</v>
      </c>
      <c r="AD233" s="278" t="s">
        <v>422</v>
      </c>
      <c r="AE233" s="278" t="s">
        <v>422</v>
      </c>
      <c r="AF233" s="278" t="s">
        <v>422</v>
      </c>
      <c r="AG233" s="278" t="s">
        <v>422</v>
      </c>
      <c r="AH233" s="278" t="s">
        <v>422</v>
      </c>
      <c r="AI233" s="278" t="s">
        <v>422</v>
      </c>
      <c r="AJ233" s="278" t="s">
        <v>423</v>
      </c>
      <c r="AK233" s="278" t="s">
        <v>423</v>
      </c>
      <c r="AL233" s="279" t="s">
        <v>140</v>
      </c>
      <c r="AM233" s="241"/>
      <c r="AN233" s="241"/>
    </row>
    <row r="234" spans="1:40" ht="15" customHeight="1" x14ac:dyDescent="0.3">
      <c r="A234" s="185">
        <v>199</v>
      </c>
      <c r="B234" s="230" t="s">
        <v>1211</v>
      </c>
      <c r="C234" s="247" t="s">
        <v>1616</v>
      </c>
      <c r="D234" s="200" t="s">
        <v>1848</v>
      </c>
      <c r="E234" s="381" t="s">
        <v>1596</v>
      </c>
      <c r="F234" s="383"/>
      <c r="G234" s="383" t="s">
        <v>1953</v>
      </c>
      <c r="H234" s="317" t="s">
        <v>422</v>
      </c>
      <c r="I234" s="356">
        <v>2</v>
      </c>
      <c r="J234" s="317">
        <v>9.5</v>
      </c>
      <c r="K234" s="356">
        <v>9</v>
      </c>
      <c r="L234" s="212">
        <v>1</v>
      </c>
      <c r="M234" s="212">
        <f t="shared" si="31"/>
        <v>21.5</v>
      </c>
      <c r="N234" s="212">
        <f t="shared" si="32"/>
        <v>16</v>
      </c>
      <c r="O234" s="212">
        <f t="shared" si="33"/>
        <v>38</v>
      </c>
      <c r="P234" s="212">
        <f t="shared" si="34"/>
        <v>60</v>
      </c>
      <c r="Q234" s="212">
        <f t="shared" si="35"/>
        <v>8</v>
      </c>
      <c r="R234" s="212">
        <f t="shared" si="36"/>
        <v>122</v>
      </c>
      <c r="S234" s="384" t="s">
        <v>1164</v>
      </c>
      <c r="T234" s="384" t="s">
        <v>1161</v>
      </c>
      <c r="U234" s="385">
        <f>46+66+64+50</f>
        <v>226</v>
      </c>
      <c r="V234" s="280">
        <v>226</v>
      </c>
      <c r="W234" s="280">
        <v>226</v>
      </c>
      <c r="X234" s="374">
        <v>44091</v>
      </c>
      <c r="Y234" s="374">
        <v>44211</v>
      </c>
      <c r="Z234" s="276">
        <v>44253</v>
      </c>
      <c r="AA234" s="273">
        <f t="shared" si="37"/>
        <v>2021</v>
      </c>
      <c r="AB234" s="273">
        <f t="shared" si="38"/>
        <v>2</v>
      </c>
      <c r="AC234" s="278" t="s">
        <v>920</v>
      </c>
      <c r="AD234" s="278" t="s">
        <v>422</v>
      </c>
      <c r="AE234" s="278" t="s">
        <v>422</v>
      </c>
      <c r="AF234" s="278" t="s">
        <v>422</v>
      </c>
      <c r="AG234" s="278" t="s">
        <v>422</v>
      </c>
      <c r="AH234" s="278" t="s">
        <v>422</v>
      </c>
      <c r="AI234" s="278" t="s">
        <v>422</v>
      </c>
      <c r="AJ234" s="278" t="s">
        <v>423</v>
      </c>
      <c r="AK234" s="278" t="s">
        <v>423</v>
      </c>
      <c r="AL234" s="279" t="s">
        <v>140</v>
      </c>
      <c r="AM234" s="241"/>
      <c r="AN234" s="241"/>
    </row>
    <row r="235" spans="1:40" ht="15" customHeight="1" x14ac:dyDescent="0.3">
      <c r="A235" s="185">
        <v>200</v>
      </c>
      <c r="B235" s="230" t="s">
        <v>1212</v>
      </c>
      <c r="C235" s="247" t="s">
        <v>1616</v>
      </c>
      <c r="D235" s="200" t="s">
        <v>1848</v>
      </c>
      <c r="E235" s="381" t="s">
        <v>1596</v>
      </c>
      <c r="F235" s="383"/>
      <c r="G235" s="383" t="s">
        <v>1953</v>
      </c>
      <c r="H235" s="317" t="s">
        <v>422</v>
      </c>
      <c r="I235" s="356">
        <v>2</v>
      </c>
      <c r="J235" s="317">
        <v>7</v>
      </c>
      <c r="K235" s="317">
        <v>9</v>
      </c>
      <c r="L235" s="212">
        <v>1</v>
      </c>
      <c r="M235" s="212">
        <f t="shared" si="31"/>
        <v>19</v>
      </c>
      <c r="N235" s="212">
        <f t="shared" si="32"/>
        <v>16</v>
      </c>
      <c r="O235" s="212">
        <f t="shared" si="33"/>
        <v>28</v>
      </c>
      <c r="P235" s="212">
        <f t="shared" si="34"/>
        <v>60</v>
      </c>
      <c r="Q235" s="212">
        <f t="shared" si="35"/>
        <v>8</v>
      </c>
      <c r="R235" s="212">
        <f t="shared" si="36"/>
        <v>112</v>
      </c>
      <c r="S235" s="384" t="s">
        <v>729</v>
      </c>
      <c r="T235" s="384" t="s">
        <v>1125</v>
      </c>
      <c r="U235" s="385">
        <f>70+88</f>
        <v>158</v>
      </c>
      <c r="V235" s="280">
        <v>158</v>
      </c>
      <c r="W235" s="280">
        <v>158</v>
      </c>
      <c r="X235" s="374">
        <v>44091</v>
      </c>
      <c r="Y235" s="374">
        <v>44211</v>
      </c>
      <c r="Z235" s="276">
        <v>44253</v>
      </c>
      <c r="AA235" s="273">
        <f t="shared" si="37"/>
        <v>2021</v>
      </c>
      <c r="AB235" s="273">
        <f t="shared" si="38"/>
        <v>2</v>
      </c>
      <c r="AC235" s="278" t="s">
        <v>920</v>
      </c>
      <c r="AD235" s="278" t="s">
        <v>422</v>
      </c>
      <c r="AE235" s="278" t="s">
        <v>422</v>
      </c>
      <c r="AF235" s="278" t="s">
        <v>422</v>
      </c>
      <c r="AG235" s="278" t="s">
        <v>422</v>
      </c>
      <c r="AH235" s="278" t="s">
        <v>422</v>
      </c>
      <c r="AI235" s="278" t="s">
        <v>422</v>
      </c>
      <c r="AJ235" s="278" t="s">
        <v>423</v>
      </c>
      <c r="AK235" s="278" t="s">
        <v>423</v>
      </c>
      <c r="AL235" s="279" t="s">
        <v>140</v>
      </c>
      <c r="AM235" s="241"/>
      <c r="AN235" s="241"/>
    </row>
    <row r="236" spans="1:40" ht="15" customHeight="1" x14ac:dyDescent="0.3">
      <c r="A236" s="185">
        <v>201</v>
      </c>
      <c r="B236" s="230" t="s">
        <v>1213</v>
      </c>
      <c r="C236" s="247" t="s">
        <v>1616</v>
      </c>
      <c r="D236" s="200" t="s">
        <v>1848</v>
      </c>
      <c r="E236" s="381" t="s">
        <v>1596</v>
      </c>
      <c r="F236" s="383"/>
      <c r="G236" s="383" t="s">
        <v>1953</v>
      </c>
      <c r="H236" s="317" t="s">
        <v>422</v>
      </c>
      <c r="I236" s="356">
        <v>1</v>
      </c>
      <c r="J236" s="317">
        <v>2.5</v>
      </c>
      <c r="K236" s="317">
        <v>4.5</v>
      </c>
      <c r="L236" s="212">
        <v>0.5</v>
      </c>
      <c r="M236" s="212">
        <f t="shared" si="31"/>
        <v>8.5</v>
      </c>
      <c r="N236" s="212">
        <f t="shared" si="32"/>
        <v>8</v>
      </c>
      <c r="O236" s="212">
        <f t="shared" si="33"/>
        <v>10</v>
      </c>
      <c r="P236" s="212">
        <f t="shared" si="34"/>
        <v>30</v>
      </c>
      <c r="Q236" s="212">
        <f t="shared" si="35"/>
        <v>4</v>
      </c>
      <c r="R236" s="212">
        <f t="shared" si="36"/>
        <v>52</v>
      </c>
      <c r="S236" s="384" t="s">
        <v>714</v>
      </c>
      <c r="T236" s="384" t="s">
        <v>1112</v>
      </c>
      <c r="U236" s="385">
        <v>90</v>
      </c>
      <c r="V236" s="280">
        <v>90</v>
      </c>
      <c r="W236" s="280">
        <v>90</v>
      </c>
      <c r="X236" s="374">
        <v>44091</v>
      </c>
      <c r="Y236" s="374">
        <v>44211</v>
      </c>
      <c r="Z236" s="276">
        <v>44253</v>
      </c>
      <c r="AA236" s="273">
        <f t="shared" si="37"/>
        <v>2021</v>
      </c>
      <c r="AB236" s="273">
        <f t="shared" si="38"/>
        <v>2</v>
      </c>
      <c r="AC236" s="278" t="s">
        <v>920</v>
      </c>
      <c r="AD236" s="278" t="s">
        <v>422</v>
      </c>
      <c r="AE236" s="278" t="s">
        <v>423</v>
      </c>
      <c r="AF236" s="278" t="s">
        <v>422</v>
      </c>
      <c r="AG236" s="278" t="s">
        <v>422</v>
      </c>
      <c r="AH236" s="278" t="s">
        <v>422</v>
      </c>
      <c r="AI236" s="278" t="s">
        <v>422</v>
      </c>
      <c r="AJ236" s="278" t="s">
        <v>423</v>
      </c>
      <c r="AK236" s="278" t="s">
        <v>423</v>
      </c>
      <c r="AL236" s="279" t="s">
        <v>254</v>
      </c>
      <c r="AM236" s="241"/>
      <c r="AN236" s="241"/>
    </row>
    <row r="237" spans="1:40" ht="15" customHeight="1" x14ac:dyDescent="0.3">
      <c r="A237" s="185">
        <v>202</v>
      </c>
      <c r="B237" s="230" t="s">
        <v>1214</v>
      </c>
      <c r="C237" s="247" t="s">
        <v>1616</v>
      </c>
      <c r="D237" s="200" t="s">
        <v>1848</v>
      </c>
      <c r="E237" s="381" t="s">
        <v>1596</v>
      </c>
      <c r="F237" s="383"/>
      <c r="G237" s="383" t="s">
        <v>1953</v>
      </c>
      <c r="H237" s="317" t="s">
        <v>422</v>
      </c>
      <c r="I237" s="356">
        <v>1</v>
      </c>
      <c r="J237" s="317">
        <v>2</v>
      </c>
      <c r="K237" s="356">
        <v>4.5</v>
      </c>
      <c r="L237" s="212">
        <v>0.5</v>
      </c>
      <c r="M237" s="212">
        <f t="shared" si="31"/>
        <v>8</v>
      </c>
      <c r="N237" s="212">
        <f t="shared" si="32"/>
        <v>8</v>
      </c>
      <c r="O237" s="212">
        <f t="shared" si="33"/>
        <v>8</v>
      </c>
      <c r="P237" s="212">
        <f t="shared" si="34"/>
        <v>30</v>
      </c>
      <c r="Q237" s="212">
        <f t="shared" si="35"/>
        <v>4</v>
      </c>
      <c r="R237" s="212">
        <f t="shared" si="36"/>
        <v>50</v>
      </c>
      <c r="S237" s="384" t="s">
        <v>716</v>
      </c>
      <c r="T237" s="384" t="s">
        <v>1113</v>
      </c>
      <c r="U237" s="385">
        <f>80+84</f>
        <v>164</v>
      </c>
      <c r="V237" s="280">
        <v>164</v>
      </c>
      <c r="W237" s="280">
        <v>164</v>
      </c>
      <c r="X237" s="374">
        <v>44091</v>
      </c>
      <c r="Y237" s="374">
        <v>44211</v>
      </c>
      <c r="Z237" s="276">
        <v>44253</v>
      </c>
      <c r="AA237" s="273">
        <f t="shared" si="37"/>
        <v>2021</v>
      </c>
      <c r="AB237" s="273">
        <f t="shared" si="38"/>
        <v>2</v>
      </c>
      <c r="AC237" s="278" t="s">
        <v>920</v>
      </c>
      <c r="AD237" s="278" t="s">
        <v>422</v>
      </c>
      <c r="AE237" s="278" t="s">
        <v>423</v>
      </c>
      <c r="AF237" s="278" t="s">
        <v>422</v>
      </c>
      <c r="AG237" s="278" t="s">
        <v>422</v>
      </c>
      <c r="AH237" s="278" t="s">
        <v>422</v>
      </c>
      <c r="AI237" s="278" t="s">
        <v>422</v>
      </c>
      <c r="AJ237" s="278" t="s">
        <v>423</v>
      </c>
      <c r="AK237" s="278" t="s">
        <v>423</v>
      </c>
      <c r="AL237" s="279" t="s">
        <v>254</v>
      </c>
      <c r="AM237" s="241"/>
      <c r="AN237" s="241"/>
    </row>
    <row r="238" spans="1:40" ht="15" customHeight="1" x14ac:dyDescent="0.3">
      <c r="A238" s="185">
        <v>203</v>
      </c>
      <c r="B238" s="230" t="s">
        <v>1215</v>
      </c>
      <c r="C238" s="247" t="s">
        <v>1616</v>
      </c>
      <c r="D238" s="200" t="s">
        <v>1848</v>
      </c>
      <c r="E238" s="370" t="s">
        <v>1596</v>
      </c>
      <c r="F238" s="383"/>
      <c r="G238" s="383" t="s">
        <v>1953</v>
      </c>
      <c r="H238" s="248" t="s">
        <v>422</v>
      </c>
      <c r="I238" s="356">
        <v>1</v>
      </c>
      <c r="J238" s="317">
        <v>4</v>
      </c>
      <c r="K238" s="317">
        <v>5.5</v>
      </c>
      <c r="L238" s="212">
        <v>0.8</v>
      </c>
      <c r="M238" s="212">
        <f t="shared" si="31"/>
        <v>11.3</v>
      </c>
      <c r="N238" s="212">
        <f t="shared" si="32"/>
        <v>8</v>
      </c>
      <c r="O238" s="212">
        <f t="shared" si="33"/>
        <v>16</v>
      </c>
      <c r="P238" s="212">
        <f t="shared" si="34"/>
        <v>36.666666666666671</v>
      </c>
      <c r="Q238" s="212">
        <f t="shared" si="35"/>
        <v>6.4</v>
      </c>
      <c r="R238" s="212">
        <f t="shared" si="36"/>
        <v>67.066666666666677</v>
      </c>
      <c r="S238" s="384" t="s">
        <v>736</v>
      </c>
      <c r="T238" s="384" t="s">
        <v>1114</v>
      </c>
      <c r="U238" s="280">
        <v>96</v>
      </c>
      <c r="V238" s="280">
        <v>96</v>
      </c>
      <c r="W238" s="280">
        <v>96</v>
      </c>
      <c r="X238" s="374">
        <v>44091</v>
      </c>
      <c r="Y238" s="374">
        <v>44211</v>
      </c>
      <c r="Z238" s="276">
        <v>44253</v>
      </c>
      <c r="AA238" s="273">
        <f t="shared" si="37"/>
        <v>2021</v>
      </c>
      <c r="AB238" s="273">
        <f t="shared" si="38"/>
        <v>2</v>
      </c>
      <c r="AC238" s="278" t="s">
        <v>920</v>
      </c>
      <c r="AD238" s="278" t="s">
        <v>422</v>
      </c>
      <c r="AE238" s="278" t="s">
        <v>423</v>
      </c>
      <c r="AF238" s="278" t="s">
        <v>422</v>
      </c>
      <c r="AG238" s="278" t="s">
        <v>422</v>
      </c>
      <c r="AH238" s="278" t="s">
        <v>422</v>
      </c>
      <c r="AI238" s="278" t="s">
        <v>422</v>
      </c>
      <c r="AJ238" s="278" t="s">
        <v>423</v>
      </c>
      <c r="AK238" s="278" t="s">
        <v>423</v>
      </c>
      <c r="AL238" s="279" t="s">
        <v>254</v>
      </c>
      <c r="AM238" s="241"/>
      <c r="AN238" s="241"/>
    </row>
    <row r="239" spans="1:40" ht="15" customHeight="1" x14ac:dyDescent="0.3">
      <c r="A239" s="185">
        <v>204</v>
      </c>
      <c r="B239" s="230" t="s">
        <v>1216</v>
      </c>
      <c r="C239" s="247" t="s">
        <v>1616</v>
      </c>
      <c r="D239" s="200" t="s">
        <v>1848</v>
      </c>
      <c r="E239" s="370" t="s">
        <v>1596</v>
      </c>
      <c r="F239" s="383"/>
      <c r="G239" s="383" t="s">
        <v>1953</v>
      </c>
      <c r="H239" s="248" t="s">
        <v>422</v>
      </c>
      <c r="I239" s="356">
        <v>2</v>
      </c>
      <c r="J239" s="317">
        <v>4.7</v>
      </c>
      <c r="K239" s="317">
        <v>10</v>
      </c>
      <c r="L239" s="212">
        <v>1</v>
      </c>
      <c r="M239" s="212">
        <f t="shared" si="31"/>
        <v>17.7</v>
      </c>
      <c r="N239" s="212">
        <f t="shared" si="32"/>
        <v>16</v>
      </c>
      <c r="O239" s="212">
        <f t="shared" si="33"/>
        <v>18.8</v>
      </c>
      <c r="P239" s="212">
        <f t="shared" si="34"/>
        <v>66.666666666666671</v>
      </c>
      <c r="Q239" s="212">
        <f t="shared" si="35"/>
        <v>8</v>
      </c>
      <c r="R239" s="212">
        <f t="shared" si="36"/>
        <v>109.46666666666667</v>
      </c>
      <c r="S239" s="384" t="s">
        <v>718</v>
      </c>
      <c r="T239" s="384" t="s">
        <v>1115</v>
      </c>
      <c r="U239" s="280">
        <v>104</v>
      </c>
      <c r="V239" s="280">
        <v>104</v>
      </c>
      <c r="W239" s="280">
        <v>104</v>
      </c>
      <c r="X239" s="374">
        <v>44091</v>
      </c>
      <c r="Y239" s="374">
        <v>44211</v>
      </c>
      <c r="Z239" s="276">
        <v>44253</v>
      </c>
      <c r="AA239" s="273">
        <f t="shared" si="37"/>
        <v>2021</v>
      </c>
      <c r="AB239" s="273">
        <f t="shared" si="38"/>
        <v>2</v>
      </c>
      <c r="AC239" s="278" t="s">
        <v>920</v>
      </c>
      <c r="AD239" s="278" t="s">
        <v>422</v>
      </c>
      <c r="AE239" s="278" t="s">
        <v>423</v>
      </c>
      <c r="AF239" s="278" t="s">
        <v>422</v>
      </c>
      <c r="AG239" s="278" t="s">
        <v>422</v>
      </c>
      <c r="AH239" s="278" t="s">
        <v>422</v>
      </c>
      <c r="AI239" s="278" t="s">
        <v>422</v>
      </c>
      <c r="AJ239" s="278" t="s">
        <v>423</v>
      </c>
      <c r="AK239" s="278" t="s">
        <v>423</v>
      </c>
      <c r="AL239" s="279" t="s">
        <v>254</v>
      </c>
      <c r="AM239" s="241"/>
      <c r="AN239" s="241"/>
    </row>
    <row r="240" spans="1:40" ht="15" customHeight="1" x14ac:dyDescent="0.3">
      <c r="A240" s="185">
        <v>205</v>
      </c>
      <c r="B240" s="230" t="s">
        <v>1218</v>
      </c>
      <c r="C240" s="247" t="s">
        <v>1616</v>
      </c>
      <c r="D240" s="200" t="s">
        <v>1848</v>
      </c>
      <c r="E240" s="370" t="s">
        <v>1596</v>
      </c>
      <c r="F240" s="383"/>
      <c r="G240" s="383" t="s">
        <v>1953</v>
      </c>
      <c r="H240" s="248" t="s">
        <v>422</v>
      </c>
      <c r="I240" s="356">
        <v>2</v>
      </c>
      <c r="J240" s="317">
        <v>10.5</v>
      </c>
      <c r="K240" s="317">
        <v>10</v>
      </c>
      <c r="L240" s="212">
        <v>1</v>
      </c>
      <c r="M240" s="212">
        <f t="shared" si="31"/>
        <v>23.5</v>
      </c>
      <c r="N240" s="212">
        <f t="shared" si="32"/>
        <v>16</v>
      </c>
      <c r="O240" s="212">
        <f t="shared" si="33"/>
        <v>42</v>
      </c>
      <c r="P240" s="212">
        <f t="shared" si="34"/>
        <v>66.666666666666671</v>
      </c>
      <c r="Q240" s="212">
        <f t="shared" si="35"/>
        <v>8</v>
      </c>
      <c r="R240" s="212">
        <f t="shared" si="36"/>
        <v>132.66666666666669</v>
      </c>
      <c r="S240" s="384" t="s">
        <v>1120</v>
      </c>
      <c r="T240" s="384" t="s">
        <v>1219</v>
      </c>
      <c r="U240" s="280">
        <f>72+85+80+64</f>
        <v>301</v>
      </c>
      <c r="V240" s="280">
        <v>301</v>
      </c>
      <c r="W240" s="280">
        <v>301</v>
      </c>
      <c r="X240" s="374">
        <v>44091</v>
      </c>
      <c r="Y240" s="374">
        <v>44211</v>
      </c>
      <c r="Z240" s="276">
        <v>44253</v>
      </c>
      <c r="AA240" s="273">
        <f t="shared" si="37"/>
        <v>2021</v>
      </c>
      <c r="AB240" s="273">
        <f t="shared" si="38"/>
        <v>2</v>
      </c>
      <c r="AC240" s="278" t="s">
        <v>920</v>
      </c>
      <c r="AD240" s="278" t="s">
        <v>422</v>
      </c>
      <c r="AE240" s="278" t="s">
        <v>422</v>
      </c>
      <c r="AF240" s="278" t="s">
        <v>422</v>
      </c>
      <c r="AG240" s="278" t="s">
        <v>422</v>
      </c>
      <c r="AH240" s="278" t="s">
        <v>422</v>
      </c>
      <c r="AI240" s="278" t="s">
        <v>422</v>
      </c>
      <c r="AJ240" s="278" t="s">
        <v>423</v>
      </c>
      <c r="AK240" s="278" t="s">
        <v>423</v>
      </c>
      <c r="AL240" s="279" t="s">
        <v>1372</v>
      </c>
      <c r="AM240" s="241"/>
      <c r="AN240" s="241"/>
    </row>
    <row r="241" spans="1:40" ht="15" customHeight="1" x14ac:dyDescent="0.3">
      <c r="A241" s="185">
        <v>206</v>
      </c>
      <c r="B241" s="230" t="s">
        <v>1217</v>
      </c>
      <c r="C241" s="247" t="s">
        <v>1616</v>
      </c>
      <c r="D241" s="200" t="s">
        <v>1848</v>
      </c>
      <c r="E241" s="370" t="s">
        <v>1596</v>
      </c>
      <c r="F241" s="383"/>
      <c r="G241" s="383" t="s">
        <v>1953</v>
      </c>
      <c r="H241" s="248" t="s">
        <v>422</v>
      </c>
      <c r="I241" s="356">
        <v>2</v>
      </c>
      <c r="J241" s="317">
        <v>11</v>
      </c>
      <c r="K241" s="317">
        <v>10</v>
      </c>
      <c r="L241" s="212">
        <v>1</v>
      </c>
      <c r="M241" s="212">
        <f t="shared" si="31"/>
        <v>24</v>
      </c>
      <c r="N241" s="212">
        <f t="shared" si="32"/>
        <v>16</v>
      </c>
      <c r="O241" s="212">
        <f t="shared" si="33"/>
        <v>44</v>
      </c>
      <c r="P241" s="212">
        <f t="shared" si="34"/>
        <v>66.666666666666671</v>
      </c>
      <c r="Q241" s="212">
        <f t="shared" si="35"/>
        <v>8</v>
      </c>
      <c r="R241" s="212">
        <f t="shared" si="36"/>
        <v>134.66666666666669</v>
      </c>
      <c r="S241" s="384" t="s">
        <v>1116</v>
      </c>
      <c r="T241" s="384" t="s">
        <v>1117</v>
      </c>
      <c r="U241" s="280">
        <f>96+88+60+86</f>
        <v>330</v>
      </c>
      <c r="V241" s="280">
        <v>330</v>
      </c>
      <c r="W241" s="280">
        <v>330</v>
      </c>
      <c r="X241" s="374">
        <v>44091</v>
      </c>
      <c r="Y241" s="374">
        <v>44211</v>
      </c>
      <c r="Z241" s="276">
        <v>44253</v>
      </c>
      <c r="AA241" s="273">
        <f t="shared" si="37"/>
        <v>2021</v>
      </c>
      <c r="AB241" s="273">
        <f t="shared" si="38"/>
        <v>2</v>
      </c>
      <c r="AC241" s="278" t="s">
        <v>920</v>
      </c>
      <c r="AD241" s="278" t="s">
        <v>422</v>
      </c>
      <c r="AE241" s="278" t="s">
        <v>422</v>
      </c>
      <c r="AF241" s="278" t="s">
        <v>422</v>
      </c>
      <c r="AG241" s="278" t="s">
        <v>422</v>
      </c>
      <c r="AH241" s="278" t="s">
        <v>422</v>
      </c>
      <c r="AI241" s="278" t="s">
        <v>422</v>
      </c>
      <c r="AJ241" s="278" t="s">
        <v>423</v>
      </c>
      <c r="AK241" s="278" t="s">
        <v>423</v>
      </c>
      <c r="AL241" s="279" t="s">
        <v>1372</v>
      </c>
      <c r="AM241" s="241"/>
      <c r="AN241" s="241"/>
    </row>
    <row r="242" spans="1:40" ht="15" customHeight="1" x14ac:dyDescent="0.3">
      <c r="A242" s="185">
        <v>207</v>
      </c>
      <c r="B242" s="230" t="s">
        <v>1221</v>
      </c>
      <c r="C242" s="247" t="s">
        <v>1616</v>
      </c>
      <c r="D242" s="200" t="s">
        <v>1848</v>
      </c>
      <c r="E242" s="381" t="s">
        <v>1596</v>
      </c>
      <c r="F242" s="383"/>
      <c r="G242" s="383" t="s">
        <v>1953</v>
      </c>
      <c r="H242" s="317" t="s">
        <v>422</v>
      </c>
      <c r="I242" s="356">
        <v>2</v>
      </c>
      <c r="J242" s="317">
        <v>9.3000000000000007</v>
      </c>
      <c r="K242" s="317">
        <v>10</v>
      </c>
      <c r="L242" s="212">
        <v>1</v>
      </c>
      <c r="M242" s="212">
        <f t="shared" si="31"/>
        <v>22.3</v>
      </c>
      <c r="N242" s="212">
        <f t="shared" si="32"/>
        <v>16</v>
      </c>
      <c r="O242" s="212">
        <f t="shared" si="33"/>
        <v>37.200000000000003</v>
      </c>
      <c r="P242" s="212">
        <f t="shared" si="34"/>
        <v>66.666666666666671</v>
      </c>
      <c r="Q242" s="212">
        <f t="shared" si="35"/>
        <v>8</v>
      </c>
      <c r="R242" s="212">
        <f t="shared" si="36"/>
        <v>127.86666666666667</v>
      </c>
      <c r="S242" s="384" t="s">
        <v>1118</v>
      </c>
      <c r="T242" s="384" t="s">
        <v>1119</v>
      </c>
      <c r="U242" s="280">
        <f>28+40+36+30</f>
        <v>134</v>
      </c>
      <c r="V242" s="280">
        <v>134</v>
      </c>
      <c r="W242" s="280">
        <v>134</v>
      </c>
      <c r="X242" s="374">
        <v>44091</v>
      </c>
      <c r="Y242" s="374">
        <v>44211</v>
      </c>
      <c r="Z242" s="276">
        <v>44253</v>
      </c>
      <c r="AA242" s="273">
        <f t="shared" si="37"/>
        <v>2021</v>
      </c>
      <c r="AB242" s="273">
        <f t="shared" si="38"/>
        <v>2</v>
      </c>
      <c r="AC242" s="278" t="s">
        <v>920</v>
      </c>
      <c r="AD242" s="278" t="s">
        <v>422</v>
      </c>
      <c r="AE242" s="278" t="s">
        <v>422</v>
      </c>
      <c r="AF242" s="278" t="s">
        <v>422</v>
      </c>
      <c r="AG242" s="278" t="s">
        <v>422</v>
      </c>
      <c r="AH242" s="278" t="s">
        <v>422</v>
      </c>
      <c r="AI242" s="278" t="s">
        <v>422</v>
      </c>
      <c r="AJ242" s="278" t="s">
        <v>423</v>
      </c>
      <c r="AK242" s="278" t="s">
        <v>423</v>
      </c>
      <c r="AL242" s="279" t="s">
        <v>1424</v>
      </c>
      <c r="AM242" s="241"/>
      <c r="AN242" s="241"/>
    </row>
    <row r="243" spans="1:40" ht="15" customHeight="1" x14ac:dyDescent="0.3">
      <c r="A243" s="185">
        <v>208</v>
      </c>
      <c r="B243" s="230" t="s">
        <v>1220</v>
      </c>
      <c r="C243" s="247" t="s">
        <v>1616</v>
      </c>
      <c r="D243" s="200" t="s">
        <v>1848</v>
      </c>
      <c r="E243" s="381" t="s">
        <v>1596</v>
      </c>
      <c r="F243" s="383"/>
      <c r="G243" s="383" t="s">
        <v>1953</v>
      </c>
      <c r="H243" s="317" t="s">
        <v>422</v>
      </c>
      <c r="I243" s="356">
        <v>2</v>
      </c>
      <c r="J243" s="317">
        <v>8.5</v>
      </c>
      <c r="K243" s="317">
        <v>10</v>
      </c>
      <c r="L243" s="212">
        <v>1</v>
      </c>
      <c r="M243" s="212">
        <f t="shared" si="31"/>
        <v>21.5</v>
      </c>
      <c r="N243" s="212">
        <f t="shared" si="32"/>
        <v>16</v>
      </c>
      <c r="O243" s="212">
        <f t="shared" si="33"/>
        <v>34</v>
      </c>
      <c r="P243" s="212">
        <f t="shared" si="34"/>
        <v>66.666666666666671</v>
      </c>
      <c r="Q243" s="212">
        <f t="shared" si="35"/>
        <v>8</v>
      </c>
      <c r="R243" s="212">
        <f t="shared" si="36"/>
        <v>124.66666666666667</v>
      </c>
      <c r="S243" s="384" t="s">
        <v>1124</v>
      </c>
      <c r="T243" s="384" t="s">
        <v>1125</v>
      </c>
      <c r="U243" s="280">
        <f>100+110</f>
        <v>210</v>
      </c>
      <c r="V243" s="280">
        <v>210</v>
      </c>
      <c r="W243" s="280">
        <v>210</v>
      </c>
      <c r="X243" s="374">
        <v>44091</v>
      </c>
      <c r="Y243" s="374">
        <v>44211</v>
      </c>
      <c r="Z243" s="276">
        <v>44253</v>
      </c>
      <c r="AA243" s="273">
        <f t="shared" si="37"/>
        <v>2021</v>
      </c>
      <c r="AB243" s="273">
        <f t="shared" si="38"/>
        <v>2</v>
      </c>
      <c r="AC243" s="278" t="s">
        <v>920</v>
      </c>
      <c r="AD243" s="278" t="s">
        <v>422</v>
      </c>
      <c r="AE243" s="278" t="s">
        <v>422</v>
      </c>
      <c r="AF243" s="278" t="s">
        <v>422</v>
      </c>
      <c r="AG243" s="278" t="s">
        <v>422</v>
      </c>
      <c r="AH243" s="278" t="s">
        <v>422</v>
      </c>
      <c r="AI243" s="278" t="s">
        <v>422</v>
      </c>
      <c r="AJ243" s="278" t="s">
        <v>423</v>
      </c>
      <c r="AK243" s="278" t="s">
        <v>423</v>
      </c>
      <c r="AL243" s="279" t="s">
        <v>1424</v>
      </c>
      <c r="AM243" s="241"/>
      <c r="AN243" s="241"/>
    </row>
    <row r="244" spans="1:40" ht="15" customHeight="1" x14ac:dyDescent="0.3">
      <c r="A244" s="185">
        <v>210</v>
      </c>
      <c r="B244" s="230" t="s">
        <v>1223</v>
      </c>
      <c r="C244" s="247" t="s">
        <v>1615</v>
      </c>
      <c r="D244" s="200" t="s">
        <v>1881</v>
      </c>
      <c r="E244" s="383"/>
      <c r="F244" s="383" t="s">
        <v>1600</v>
      </c>
      <c r="G244" s="382" t="s">
        <v>1604</v>
      </c>
      <c r="H244" s="317" t="s">
        <v>422</v>
      </c>
      <c r="I244" s="356">
        <v>1.5</v>
      </c>
      <c r="J244" s="317">
        <v>10</v>
      </c>
      <c r="K244" s="317">
        <v>0</v>
      </c>
      <c r="L244" s="212">
        <v>1</v>
      </c>
      <c r="M244" s="212">
        <f t="shared" si="31"/>
        <v>12.5</v>
      </c>
      <c r="N244" s="212">
        <f t="shared" si="32"/>
        <v>12</v>
      </c>
      <c r="O244" s="212">
        <f t="shared" si="33"/>
        <v>40</v>
      </c>
      <c r="P244" s="212">
        <f t="shared" si="34"/>
        <v>0</v>
      </c>
      <c r="Q244" s="212">
        <f t="shared" si="35"/>
        <v>8</v>
      </c>
      <c r="R244" s="212">
        <f t="shared" si="36"/>
        <v>60</v>
      </c>
      <c r="S244" s="384" t="s">
        <v>1234</v>
      </c>
      <c r="T244" s="384" t="s">
        <v>1254</v>
      </c>
      <c r="U244" s="280">
        <v>84</v>
      </c>
      <c r="V244" s="280">
        <v>86</v>
      </c>
      <c r="W244" s="280">
        <v>86</v>
      </c>
      <c r="X244" s="374">
        <v>44089</v>
      </c>
      <c r="Y244" s="374">
        <v>44211</v>
      </c>
      <c r="Z244" s="276">
        <v>44230</v>
      </c>
      <c r="AA244" s="273">
        <f t="shared" si="37"/>
        <v>2021</v>
      </c>
      <c r="AB244" s="273">
        <f t="shared" si="38"/>
        <v>2</v>
      </c>
      <c r="AC244" s="278" t="s">
        <v>920</v>
      </c>
      <c r="AD244" s="278" t="s">
        <v>422</v>
      </c>
      <c r="AE244" s="278" t="s">
        <v>422</v>
      </c>
      <c r="AF244" s="278" t="s">
        <v>422</v>
      </c>
      <c r="AG244" s="278" t="s">
        <v>422</v>
      </c>
      <c r="AH244" s="278" t="s">
        <v>422</v>
      </c>
      <c r="AI244" s="278" t="s">
        <v>423</v>
      </c>
      <c r="AJ244" s="278" t="s">
        <v>422</v>
      </c>
      <c r="AK244" s="278" t="s">
        <v>423</v>
      </c>
      <c r="AL244" s="279" t="s">
        <v>1240</v>
      </c>
      <c r="AM244" s="241"/>
      <c r="AN244" s="241"/>
    </row>
    <row r="245" spans="1:40" ht="15" customHeight="1" x14ac:dyDescent="0.3">
      <c r="A245" s="185">
        <v>212</v>
      </c>
      <c r="B245" s="230" t="s">
        <v>1225</v>
      </c>
      <c r="C245" s="247" t="s">
        <v>1615</v>
      </c>
      <c r="D245" s="200" t="s">
        <v>1881</v>
      </c>
      <c r="E245" s="383"/>
      <c r="F245" s="383"/>
      <c r="G245" s="382" t="s">
        <v>1604</v>
      </c>
      <c r="H245" s="317" t="s">
        <v>422</v>
      </c>
      <c r="I245" s="356">
        <v>2</v>
      </c>
      <c r="J245" s="317">
        <v>13</v>
      </c>
      <c r="K245" s="317">
        <v>0</v>
      </c>
      <c r="L245" s="212">
        <v>1</v>
      </c>
      <c r="M245" s="212">
        <f t="shared" si="31"/>
        <v>16</v>
      </c>
      <c r="N245" s="212">
        <f t="shared" si="32"/>
        <v>16</v>
      </c>
      <c r="O245" s="212">
        <f t="shared" si="33"/>
        <v>52</v>
      </c>
      <c r="P245" s="212">
        <f t="shared" si="34"/>
        <v>0</v>
      </c>
      <c r="Q245" s="212">
        <f t="shared" si="35"/>
        <v>8</v>
      </c>
      <c r="R245" s="212">
        <f t="shared" si="36"/>
        <v>76</v>
      </c>
      <c r="S245" s="384" t="s">
        <v>1236</v>
      </c>
      <c r="T245" s="384" t="s">
        <v>1256</v>
      </c>
      <c r="U245" s="280">
        <v>78</v>
      </c>
      <c r="V245" s="280">
        <v>80</v>
      </c>
      <c r="W245" s="280">
        <v>80</v>
      </c>
      <c r="X245" s="374">
        <v>44089</v>
      </c>
      <c r="Y245" s="374">
        <v>44211</v>
      </c>
      <c r="Z245" s="276">
        <v>44253</v>
      </c>
      <c r="AA245" s="273">
        <f t="shared" si="37"/>
        <v>2021</v>
      </c>
      <c r="AB245" s="273">
        <f t="shared" si="38"/>
        <v>2</v>
      </c>
      <c r="AC245" s="278" t="s">
        <v>920</v>
      </c>
      <c r="AD245" s="278" t="s">
        <v>422</v>
      </c>
      <c r="AE245" s="278" t="s">
        <v>422</v>
      </c>
      <c r="AF245" s="278" t="s">
        <v>422</v>
      </c>
      <c r="AG245" s="278" t="s">
        <v>422</v>
      </c>
      <c r="AH245" s="278" t="s">
        <v>422</v>
      </c>
      <c r="AI245" s="278" t="s">
        <v>422</v>
      </c>
      <c r="AJ245" s="278" t="s">
        <v>423</v>
      </c>
      <c r="AK245" s="278" t="s">
        <v>423</v>
      </c>
      <c r="AL245" s="279" t="s">
        <v>491</v>
      </c>
      <c r="AM245" s="241"/>
      <c r="AN245" s="242" t="s">
        <v>1603</v>
      </c>
    </row>
    <row r="246" spans="1:40" ht="15" customHeight="1" x14ac:dyDescent="0.3">
      <c r="A246" s="185">
        <v>213</v>
      </c>
      <c r="B246" s="230" t="s">
        <v>1226</v>
      </c>
      <c r="C246" s="247" t="s">
        <v>1615</v>
      </c>
      <c r="D246" s="200" t="s">
        <v>1881</v>
      </c>
      <c r="E246" s="383"/>
      <c r="F246" s="383"/>
      <c r="G246" s="382" t="s">
        <v>1604</v>
      </c>
      <c r="H246" s="317" t="s">
        <v>422</v>
      </c>
      <c r="I246" s="356">
        <v>2</v>
      </c>
      <c r="J246" s="317">
        <v>13</v>
      </c>
      <c r="K246" s="317">
        <v>0</v>
      </c>
      <c r="L246" s="212">
        <v>1</v>
      </c>
      <c r="M246" s="212">
        <f t="shared" si="31"/>
        <v>16</v>
      </c>
      <c r="N246" s="212">
        <f t="shared" si="32"/>
        <v>16</v>
      </c>
      <c r="O246" s="212">
        <f t="shared" si="33"/>
        <v>52</v>
      </c>
      <c r="P246" s="212">
        <f t="shared" si="34"/>
        <v>0</v>
      </c>
      <c r="Q246" s="212">
        <f t="shared" si="35"/>
        <v>8</v>
      </c>
      <c r="R246" s="212">
        <f t="shared" si="36"/>
        <v>76</v>
      </c>
      <c r="S246" s="384" t="s">
        <v>1237</v>
      </c>
      <c r="T246" s="384" t="s">
        <v>1257</v>
      </c>
      <c r="U246" s="280">
        <v>58</v>
      </c>
      <c r="V246" s="280">
        <v>58</v>
      </c>
      <c r="W246" s="280">
        <v>58</v>
      </c>
      <c r="X246" s="374">
        <v>44089</v>
      </c>
      <c r="Y246" s="374">
        <v>44211</v>
      </c>
      <c r="Z246" s="276">
        <v>44253</v>
      </c>
      <c r="AA246" s="273">
        <f t="shared" si="37"/>
        <v>2021</v>
      </c>
      <c r="AB246" s="273">
        <f t="shared" si="38"/>
        <v>2</v>
      </c>
      <c r="AC246" s="278" t="s">
        <v>920</v>
      </c>
      <c r="AD246" s="278" t="s">
        <v>422</v>
      </c>
      <c r="AE246" s="278" t="s">
        <v>422</v>
      </c>
      <c r="AF246" s="278" t="s">
        <v>422</v>
      </c>
      <c r="AG246" s="278" t="s">
        <v>422</v>
      </c>
      <c r="AH246" s="278" t="s">
        <v>422</v>
      </c>
      <c r="AI246" s="278" t="s">
        <v>423</v>
      </c>
      <c r="AJ246" s="278" t="s">
        <v>423</v>
      </c>
      <c r="AK246" s="278" t="s">
        <v>423</v>
      </c>
      <c r="AL246" s="279" t="s">
        <v>1240</v>
      </c>
      <c r="AM246" s="241"/>
      <c r="AN246" s="241"/>
    </row>
    <row r="247" spans="1:40" ht="15" customHeight="1" x14ac:dyDescent="0.3">
      <c r="A247" s="185">
        <v>214</v>
      </c>
      <c r="B247" s="230" t="s">
        <v>1227</v>
      </c>
      <c r="C247" s="247" t="s">
        <v>1615</v>
      </c>
      <c r="D247" s="200" t="s">
        <v>1881</v>
      </c>
      <c r="E247" s="383"/>
      <c r="F247" s="383"/>
      <c r="G247" s="382" t="s">
        <v>1604</v>
      </c>
      <c r="H247" s="317" t="s">
        <v>422</v>
      </c>
      <c r="I247" s="356">
        <v>2</v>
      </c>
      <c r="J247" s="317">
        <v>7</v>
      </c>
      <c r="K247" s="317">
        <v>0</v>
      </c>
      <c r="L247" s="212">
        <v>1</v>
      </c>
      <c r="M247" s="212">
        <f t="shared" si="31"/>
        <v>10</v>
      </c>
      <c r="N247" s="212">
        <f t="shared" si="32"/>
        <v>16</v>
      </c>
      <c r="O247" s="212">
        <f t="shared" si="33"/>
        <v>28</v>
      </c>
      <c r="P247" s="212">
        <f t="shared" si="34"/>
        <v>0</v>
      </c>
      <c r="Q247" s="212">
        <f t="shared" si="35"/>
        <v>8</v>
      </c>
      <c r="R247" s="212">
        <f t="shared" si="36"/>
        <v>52</v>
      </c>
      <c r="S247" s="384" t="s">
        <v>1238</v>
      </c>
      <c r="T247" s="384" t="s">
        <v>1258</v>
      </c>
      <c r="U247" s="280">
        <v>72</v>
      </c>
      <c r="V247" s="280">
        <v>74</v>
      </c>
      <c r="W247" s="280">
        <v>74</v>
      </c>
      <c r="X247" s="374">
        <v>44089</v>
      </c>
      <c r="Y247" s="374">
        <v>44211</v>
      </c>
      <c r="Z247" s="276">
        <v>44230</v>
      </c>
      <c r="AA247" s="273">
        <f t="shared" si="37"/>
        <v>2021</v>
      </c>
      <c r="AB247" s="273">
        <f t="shared" si="38"/>
        <v>2</v>
      </c>
      <c r="AC247" s="278" t="s">
        <v>920</v>
      </c>
      <c r="AD247" s="278" t="s">
        <v>422</v>
      </c>
      <c r="AE247" s="278" t="s">
        <v>423</v>
      </c>
      <c r="AF247" s="278" t="s">
        <v>422</v>
      </c>
      <c r="AG247" s="278" t="s">
        <v>422</v>
      </c>
      <c r="AH247" s="278" t="s">
        <v>423</v>
      </c>
      <c r="AI247" s="278" t="s">
        <v>423</v>
      </c>
      <c r="AJ247" s="278" t="s">
        <v>423</v>
      </c>
      <c r="AK247" s="278" t="s">
        <v>423</v>
      </c>
      <c r="AL247" s="279" t="s">
        <v>491</v>
      </c>
      <c r="AM247" s="241"/>
      <c r="AN247" s="241"/>
    </row>
    <row r="248" spans="1:40" ht="15" customHeight="1" x14ac:dyDescent="0.3">
      <c r="A248" s="185">
        <v>217</v>
      </c>
      <c r="B248" s="230" t="s">
        <v>1230</v>
      </c>
      <c r="C248" s="247" t="s">
        <v>1615</v>
      </c>
      <c r="D248" s="200" t="s">
        <v>1881</v>
      </c>
      <c r="E248" s="383"/>
      <c r="F248" s="383" t="s">
        <v>1600</v>
      </c>
      <c r="G248" s="383" t="s">
        <v>1596</v>
      </c>
      <c r="H248" s="317" t="s">
        <v>422</v>
      </c>
      <c r="I248" s="356">
        <v>1.5</v>
      </c>
      <c r="J248" s="361">
        <v>7</v>
      </c>
      <c r="K248" s="317">
        <v>10</v>
      </c>
      <c r="L248" s="212">
        <v>1</v>
      </c>
      <c r="M248" s="212">
        <f t="shared" si="31"/>
        <v>19.5</v>
      </c>
      <c r="N248" s="212">
        <f t="shared" si="32"/>
        <v>12</v>
      </c>
      <c r="O248" s="212">
        <f t="shared" si="33"/>
        <v>28</v>
      </c>
      <c r="P248" s="212">
        <f t="shared" si="34"/>
        <v>66.666666666666671</v>
      </c>
      <c r="Q248" s="212">
        <f t="shared" si="35"/>
        <v>8</v>
      </c>
      <c r="R248" s="212">
        <f t="shared" si="36"/>
        <v>114.66666666666667</v>
      </c>
      <c r="S248" s="384" t="s">
        <v>1232</v>
      </c>
      <c r="T248" s="384" t="s">
        <v>1305</v>
      </c>
      <c r="U248" s="280">
        <v>134</v>
      </c>
      <c r="V248" s="280">
        <v>134</v>
      </c>
      <c r="W248" s="280">
        <v>134</v>
      </c>
      <c r="X248" s="374">
        <v>44089</v>
      </c>
      <c r="Y248" s="374">
        <v>44211</v>
      </c>
      <c r="Z248" s="276">
        <v>44253</v>
      </c>
      <c r="AA248" s="273">
        <f t="shared" si="37"/>
        <v>2021</v>
      </c>
      <c r="AB248" s="273">
        <f t="shared" si="38"/>
        <v>2</v>
      </c>
      <c r="AC248" s="278" t="s">
        <v>920</v>
      </c>
      <c r="AD248" s="278" t="s">
        <v>422</v>
      </c>
      <c r="AE248" s="278" t="s">
        <v>422</v>
      </c>
      <c r="AF248" s="278" t="s">
        <v>422</v>
      </c>
      <c r="AG248" s="278" t="s">
        <v>422</v>
      </c>
      <c r="AH248" s="278" t="s">
        <v>422</v>
      </c>
      <c r="AI248" s="278" t="s">
        <v>422</v>
      </c>
      <c r="AJ248" s="278" t="s">
        <v>422</v>
      </c>
      <c r="AK248" s="278" t="s">
        <v>423</v>
      </c>
      <c r="AL248" s="279" t="s">
        <v>140</v>
      </c>
      <c r="AM248" s="241"/>
      <c r="AN248" s="241"/>
    </row>
    <row r="249" spans="1:40" ht="15" customHeight="1" x14ac:dyDescent="0.3">
      <c r="A249" s="185">
        <v>228</v>
      </c>
      <c r="B249" s="230" t="s">
        <v>1280</v>
      </c>
      <c r="C249" s="247" t="s">
        <v>1615</v>
      </c>
      <c r="D249" s="200" t="s">
        <v>1881</v>
      </c>
      <c r="E249" s="381" t="s">
        <v>1596</v>
      </c>
      <c r="F249" s="383" t="s">
        <v>1600</v>
      </c>
      <c r="G249" s="382" t="s">
        <v>1604</v>
      </c>
      <c r="H249" s="317" t="s">
        <v>422</v>
      </c>
      <c r="I249" s="356">
        <v>1.5</v>
      </c>
      <c r="J249" s="317">
        <v>6.4</v>
      </c>
      <c r="K249" s="317">
        <v>0</v>
      </c>
      <c r="L249" s="212">
        <v>1</v>
      </c>
      <c r="M249" s="212">
        <f t="shared" si="31"/>
        <v>8.9</v>
      </c>
      <c r="N249" s="212">
        <f t="shared" si="32"/>
        <v>12</v>
      </c>
      <c r="O249" s="212">
        <f t="shared" si="33"/>
        <v>25.6</v>
      </c>
      <c r="P249" s="212">
        <f t="shared" si="34"/>
        <v>0</v>
      </c>
      <c r="Q249" s="212">
        <f t="shared" si="35"/>
        <v>8</v>
      </c>
      <c r="R249" s="212">
        <f t="shared" si="36"/>
        <v>45.6</v>
      </c>
      <c r="S249" s="384" t="s">
        <v>1300</v>
      </c>
      <c r="T249" s="384" t="s">
        <v>1301</v>
      </c>
      <c r="U249" s="280">
        <v>64</v>
      </c>
      <c r="V249" s="280">
        <v>65</v>
      </c>
      <c r="W249" s="280">
        <v>65</v>
      </c>
      <c r="X249" s="374">
        <v>44113</v>
      </c>
      <c r="Y249" s="374">
        <v>44208</v>
      </c>
      <c r="Z249" s="276">
        <v>44230</v>
      </c>
      <c r="AA249" s="273">
        <f t="shared" si="37"/>
        <v>2021</v>
      </c>
      <c r="AB249" s="273">
        <f t="shared" si="38"/>
        <v>2</v>
      </c>
      <c r="AC249" s="278" t="s">
        <v>920</v>
      </c>
      <c r="AD249" s="278" t="s">
        <v>422</v>
      </c>
      <c r="AE249" s="278" t="s">
        <v>423</v>
      </c>
      <c r="AF249" s="278" t="s">
        <v>422</v>
      </c>
      <c r="AG249" s="278" t="s">
        <v>422</v>
      </c>
      <c r="AH249" s="278" t="s">
        <v>423</v>
      </c>
      <c r="AI249" s="278" t="s">
        <v>423</v>
      </c>
      <c r="AJ249" s="278" t="s">
        <v>423</v>
      </c>
      <c r="AK249" s="278" t="s">
        <v>423</v>
      </c>
      <c r="AL249" s="279" t="s">
        <v>140</v>
      </c>
      <c r="AM249" s="241"/>
      <c r="AN249" s="241"/>
    </row>
    <row r="250" spans="1:40" ht="15" customHeight="1" x14ac:dyDescent="0.3">
      <c r="A250" s="185">
        <v>229</v>
      </c>
      <c r="B250" s="230" t="s">
        <v>1302</v>
      </c>
      <c r="C250" s="247" t="s">
        <v>1615</v>
      </c>
      <c r="D250" s="200" t="s">
        <v>1881</v>
      </c>
      <c r="E250" s="381" t="s">
        <v>1596</v>
      </c>
      <c r="F250" s="383" t="s">
        <v>1600</v>
      </c>
      <c r="G250" s="382" t="s">
        <v>1604</v>
      </c>
      <c r="H250" s="317" t="s">
        <v>1943</v>
      </c>
      <c r="I250" s="317">
        <v>1</v>
      </c>
      <c r="J250" s="317">
        <v>4.5</v>
      </c>
      <c r="K250" s="317">
        <v>0</v>
      </c>
      <c r="L250" s="212">
        <v>1</v>
      </c>
      <c r="M250" s="212">
        <f t="shared" si="31"/>
        <v>6.5</v>
      </c>
      <c r="N250" s="212">
        <f t="shared" si="32"/>
        <v>8</v>
      </c>
      <c r="O250" s="212">
        <f t="shared" si="33"/>
        <v>18</v>
      </c>
      <c r="P250" s="212">
        <f t="shared" si="34"/>
        <v>0</v>
      </c>
      <c r="Q250" s="212">
        <f t="shared" si="35"/>
        <v>8</v>
      </c>
      <c r="R250" s="212">
        <f t="shared" si="36"/>
        <v>34</v>
      </c>
      <c r="S250" s="384" t="s">
        <v>1303</v>
      </c>
      <c r="T250" s="384" t="s">
        <v>1304</v>
      </c>
      <c r="U250" s="375">
        <v>128</v>
      </c>
      <c r="V250" s="280">
        <v>128</v>
      </c>
      <c r="W250" s="280">
        <v>128</v>
      </c>
      <c r="X250" s="374">
        <v>44113</v>
      </c>
      <c r="Y250" s="374">
        <v>44208</v>
      </c>
      <c r="Z250" s="276">
        <v>44230</v>
      </c>
      <c r="AA250" s="273">
        <f t="shared" si="37"/>
        <v>2021</v>
      </c>
      <c r="AB250" s="273">
        <f t="shared" si="38"/>
        <v>2</v>
      </c>
      <c r="AC250" s="278" t="s">
        <v>920</v>
      </c>
      <c r="AD250" s="278" t="s">
        <v>422</v>
      </c>
      <c r="AE250" s="278" t="s">
        <v>422</v>
      </c>
      <c r="AF250" s="278" t="s">
        <v>422</v>
      </c>
      <c r="AG250" s="278" t="s">
        <v>422</v>
      </c>
      <c r="AH250" s="278" t="s">
        <v>422</v>
      </c>
      <c r="AI250" s="278" t="s">
        <v>423</v>
      </c>
      <c r="AJ250" s="278" t="s">
        <v>422</v>
      </c>
      <c r="AK250" s="278" t="s">
        <v>423</v>
      </c>
      <c r="AL250" s="279" t="s">
        <v>1372</v>
      </c>
      <c r="AM250" s="241"/>
      <c r="AN250" s="241"/>
    </row>
    <row r="251" spans="1:40" ht="15" customHeight="1" x14ac:dyDescent="0.3">
      <c r="A251" s="185">
        <v>240</v>
      </c>
      <c r="B251" s="230" t="s">
        <v>1333</v>
      </c>
      <c r="C251" s="247" t="s">
        <v>1615</v>
      </c>
      <c r="D251" s="200" t="s">
        <v>1881</v>
      </c>
      <c r="E251" s="381" t="s">
        <v>1596</v>
      </c>
      <c r="F251" s="383" t="s">
        <v>1600</v>
      </c>
      <c r="G251" s="382" t="s">
        <v>1604</v>
      </c>
      <c r="H251" s="317" t="s">
        <v>1943</v>
      </c>
      <c r="I251" s="317">
        <v>1</v>
      </c>
      <c r="J251" s="317">
        <v>8</v>
      </c>
      <c r="K251" s="317">
        <v>0</v>
      </c>
      <c r="L251" s="212">
        <v>1</v>
      </c>
      <c r="M251" s="212">
        <f t="shared" si="31"/>
        <v>10</v>
      </c>
      <c r="N251" s="212">
        <f t="shared" si="32"/>
        <v>8</v>
      </c>
      <c r="O251" s="212">
        <f t="shared" si="33"/>
        <v>32</v>
      </c>
      <c r="P251" s="212">
        <f t="shared" si="34"/>
        <v>0</v>
      </c>
      <c r="Q251" s="212">
        <f t="shared" si="35"/>
        <v>8</v>
      </c>
      <c r="R251" s="212">
        <f t="shared" si="36"/>
        <v>48</v>
      </c>
      <c r="S251" s="384" t="s">
        <v>1327</v>
      </c>
      <c r="T251" s="384" t="s">
        <v>1328</v>
      </c>
      <c r="U251" s="280">
        <v>132</v>
      </c>
      <c r="V251" s="280">
        <v>132</v>
      </c>
      <c r="W251" s="280">
        <v>132</v>
      </c>
      <c r="X251" s="374">
        <v>44119</v>
      </c>
      <c r="Y251" s="374">
        <v>44166</v>
      </c>
      <c r="Z251" s="276">
        <v>44230</v>
      </c>
      <c r="AA251" s="273">
        <f t="shared" si="37"/>
        <v>2021</v>
      </c>
      <c r="AB251" s="273">
        <f t="shared" si="38"/>
        <v>2</v>
      </c>
      <c r="AC251" s="278" t="s">
        <v>920</v>
      </c>
      <c r="AD251" s="278" t="s">
        <v>422</v>
      </c>
      <c r="AE251" s="278" t="s">
        <v>422</v>
      </c>
      <c r="AF251" s="278" t="s">
        <v>422</v>
      </c>
      <c r="AG251" s="278" t="s">
        <v>422</v>
      </c>
      <c r="AH251" s="278" t="s">
        <v>422</v>
      </c>
      <c r="AI251" s="278" t="s">
        <v>423</v>
      </c>
      <c r="AJ251" s="278" t="s">
        <v>422</v>
      </c>
      <c r="AK251" s="278" t="s">
        <v>423</v>
      </c>
      <c r="AL251" s="279" t="s">
        <v>1534</v>
      </c>
      <c r="AM251" s="241"/>
      <c r="AN251" s="241"/>
    </row>
    <row r="252" spans="1:40" ht="15" customHeight="1" x14ac:dyDescent="0.3">
      <c r="A252" s="185">
        <v>263</v>
      </c>
      <c r="B252" s="230" t="s">
        <v>1386</v>
      </c>
      <c r="C252" s="247" t="s">
        <v>1615</v>
      </c>
      <c r="D252" s="200" t="s">
        <v>1881</v>
      </c>
      <c r="E252" s="381" t="s">
        <v>1596</v>
      </c>
      <c r="F252" s="383" t="s">
        <v>1598</v>
      </c>
      <c r="G252" s="382" t="s">
        <v>1604</v>
      </c>
      <c r="H252" s="317" t="s">
        <v>422</v>
      </c>
      <c r="I252" s="317">
        <v>1.2</v>
      </c>
      <c r="J252" s="317">
        <v>7</v>
      </c>
      <c r="K252" s="317">
        <v>0</v>
      </c>
      <c r="L252" s="212">
        <v>1</v>
      </c>
      <c r="M252" s="212">
        <f t="shared" si="31"/>
        <v>9.1999999999999993</v>
      </c>
      <c r="N252" s="212">
        <f t="shared" si="32"/>
        <v>9.6</v>
      </c>
      <c r="O252" s="212">
        <f t="shared" si="33"/>
        <v>28</v>
      </c>
      <c r="P252" s="212">
        <f t="shared" si="34"/>
        <v>0</v>
      </c>
      <c r="Q252" s="212">
        <f t="shared" si="35"/>
        <v>8</v>
      </c>
      <c r="R252" s="212">
        <f t="shared" si="36"/>
        <v>45.6</v>
      </c>
      <c r="S252" s="384" t="s">
        <v>1388</v>
      </c>
      <c r="T252" s="384" t="s">
        <v>1389</v>
      </c>
      <c r="U252" s="280">
        <v>53</v>
      </c>
      <c r="V252" s="280">
        <v>53</v>
      </c>
      <c r="W252" s="280">
        <v>53</v>
      </c>
      <c r="X252" s="374">
        <v>44137</v>
      </c>
      <c r="Y252" s="374">
        <v>44180</v>
      </c>
      <c r="Z252" s="276">
        <v>44230</v>
      </c>
      <c r="AA252" s="273">
        <f t="shared" si="37"/>
        <v>2021</v>
      </c>
      <c r="AB252" s="273">
        <f t="shared" si="38"/>
        <v>2</v>
      </c>
      <c r="AC252" s="278" t="s">
        <v>920</v>
      </c>
      <c r="AD252" s="278" t="s">
        <v>422</v>
      </c>
      <c r="AE252" s="278" t="s">
        <v>422</v>
      </c>
      <c r="AF252" s="278" t="s">
        <v>422</v>
      </c>
      <c r="AG252" s="278" t="s">
        <v>422</v>
      </c>
      <c r="AH252" s="278" t="s">
        <v>422</v>
      </c>
      <c r="AI252" s="278" t="s">
        <v>423</v>
      </c>
      <c r="AJ252" s="278" t="s">
        <v>422</v>
      </c>
      <c r="AK252" s="278" t="s">
        <v>423</v>
      </c>
      <c r="AL252" s="279" t="s">
        <v>138</v>
      </c>
      <c r="AM252" s="241"/>
      <c r="AN252" s="241"/>
    </row>
    <row r="253" spans="1:40" ht="15" customHeight="1" x14ac:dyDescent="0.3">
      <c r="A253" s="185">
        <v>267</v>
      </c>
      <c r="B253" s="230" t="s">
        <v>1398</v>
      </c>
      <c r="C253" s="247" t="s">
        <v>1615</v>
      </c>
      <c r="D253" s="200" t="s">
        <v>1881</v>
      </c>
      <c r="E253" s="381"/>
      <c r="F253" s="383"/>
      <c r="G253" s="382" t="s">
        <v>1604</v>
      </c>
      <c r="H253" s="317" t="s">
        <v>422</v>
      </c>
      <c r="I253" s="356">
        <v>2</v>
      </c>
      <c r="J253" s="317">
        <v>4.5</v>
      </c>
      <c r="K253" s="317">
        <v>0</v>
      </c>
      <c r="L253" s="212">
        <v>1</v>
      </c>
      <c r="M253" s="212">
        <f t="shared" si="31"/>
        <v>7.5</v>
      </c>
      <c r="N253" s="212">
        <f t="shared" si="32"/>
        <v>16</v>
      </c>
      <c r="O253" s="212">
        <f t="shared" si="33"/>
        <v>18</v>
      </c>
      <c r="P253" s="212">
        <f t="shared" si="34"/>
        <v>0</v>
      </c>
      <c r="Q253" s="212">
        <f t="shared" si="35"/>
        <v>8</v>
      </c>
      <c r="R253" s="212">
        <f t="shared" si="36"/>
        <v>42</v>
      </c>
      <c r="S253" s="384" t="s">
        <v>1400</v>
      </c>
      <c r="T253" s="384" t="s">
        <v>1401</v>
      </c>
      <c r="U253" s="280">
        <v>45</v>
      </c>
      <c r="V253" s="280">
        <v>45</v>
      </c>
      <c r="W253" s="280">
        <v>45</v>
      </c>
      <c r="X253" s="374">
        <v>44137</v>
      </c>
      <c r="Y253" s="374">
        <v>44180</v>
      </c>
      <c r="Z253" s="276">
        <v>44230</v>
      </c>
      <c r="AA253" s="273">
        <f t="shared" si="37"/>
        <v>2021</v>
      </c>
      <c r="AB253" s="273">
        <f t="shared" si="38"/>
        <v>2</v>
      </c>
      <c r="AC253" s="278" t="s">
        <v>920</v>
      </c>
      <c r="AD253" s="278" t="s">
        <v>422</v>
      </c>
      <c r="AE253" s="278" t="s">
        <v>422</v>
      </c>
      <c r="AF253" s="278" t="s">
        <v>422</v>
      </c>
      <c r="AG253" s="278" t="s">
        <v>422</v>
      </c>
      <c r="AH253" s="278" t="s">
        <v>422</v>
      </c>
      <c r="AI253" s="278" t="s">
        <v>423</v>
      </c>
      <c r="AJ253" s="278" t="s">
        <v>422</v>
      </c>
      <c r="AK253" s="278" t="s">
        <v>423</v>
      </c>
      <c r="AL253" s="279" t="s">
        <v>888</v>
      </c>
      <c r="AM253" s="241"/>
      <c r="AN253" s="241"/>
    </row>
    <row r="254" spans="1:40" ht="15" customHeight="1" x14ac:dyDescent="0.3">
      <c r="A254" s="185">
        <v>122</v>
      </c>
      <c r="B254" s="247" t="s">
        <v>1026</v>
      </c>
      <c r="C254" s="247" t="s">
        <v>1615</v>
      </c>
      <c r="D254" s="335" t="s">
        <v>1881</v>
      </c>
      <c r="E254" s="381" t="s">
        <v>1596</v>
      </c>
      <c r="F254" s="281" t="s">
        <v>1598</v>
      </c>
      <c r="G254" s="382" t="s">
        <v>1604</v>
      </c>
      <c r="H254" s="317" t="s">
        <v>422</v>
      </c>
      <c r="I254" s="356">
        <v>2</v>
      </c>
      <c r="J254" s="317">
        <v>6.5</v>
      </c>
      <c r="K254" s="317">
        <v>0</v>
      </c>
      <c r="L254" s="212">
        <v>1</v>
      </c>
      <c r="M254" s="212">
        <f t="shared" si="31"/>
        <v>9.5</v>
      </c>
      <c r="N254" s="212">
        <f t="shared" si="32"/>
        <v>16</v>
      </c>
      <c r="O254" s="212">
        <f t="shared" si="33"/>
        <v>26</v>
      </c>
      <c r="P254" s="212">
        <f t="shared" si="34"/>
        <v>0</v>
      </c>
      <c r="Q254" s="212">
        <f t="shared" si="35"/>
        <v>8</v>
      </c>
      <c r="R254" s="212">
        <f t="shared" si="36"/>
        <v>50</v>
      </c>
      <c r="S254" s="379" t="s">
        <v>1031</v>
      </c>
      <c r="T254" s="313" t="s">
        <v>1034</v>
      </c>
      <c r="U254" s="280">
        <v>62</v>
      </c>
      <c r="V254" s="280">
        <v>62</v>
      </c>
      <c r="W254" s="280">
        <v>62</v>
      </c>
      <c r="X254" s="276">
        <v>44022</v>
      </c>
      <c r="Y254" s="277">
        <v>44042</v>
      </c>
      <c r="Z254" s="26">
        <v>44281</v>
      </c>
      <c r="AA254" s="273">
        <f t="shared" si="37"/>
        <v>2021</v>
      </c>
      <c r="AB254" s="273">
        <f t="shared" si="38"/>
        <v>3</v>
      </c>
      <c r="AC254" s="278" t="s">
        <v>920</v>
      </c>
      <c r="AD254" s="278" t="s">
        <v>422</v>
      </c>
      <c r="AE254" s="278" t="s">
        <v>422</v>
      </c>
      <c r="AF254" s="278" t="s">
        <v>422</v>
      </c>
      <c r="AG254" s="278" t="s">
        <v>422</v>
      </c>
      <c r="AH254" s="278" t="s">
        <v>422</v>
      </c>
      <c r="AI254" s="278" t="s">
        <v>423</v>
      </c>
      <c r="AJ254" s="278" t="s">
        <v>423</v>
      </c>
      <c r="AK254" s="278" t="s">
        <v>423</v>
      </c>
      <c r="AL254" s="279" t="s">
        <v>138</v>
      </c>
      <c r="AM254" s="244"/>
      <c r="AN254" s="244"/>
    </row>
    <row r="255" spans="1:40" ht="15" customHeight="1" x14ac:dyDescent="0.3">
      <c r="A255" s="185">
        <v>123</v>
      </c>
      <c r="B255" s="247" t="s">
        <v>1028</v>
      </c>
      <c r="C255" s="247" t="s">
        <v>1615</v>
      </c>
      <c r="D255" s="335" t="s">
        <v>1881</v>
      </c>
      <c r="E255" s="381" t="s">
        <v>1596</v>
      </c>
      <c r="F255" s="281" t="s">
        <v>1598</v>
      </c>
      <c r="G255" s="382" t="s">
        <v>1604</v>
      </c>
      <c r="H255" s="317" t="s">
        <v>422</v>
      </c>
      <c r="I255" s="356">
        <v>2</v>
      </c>
      <c r="J255" s="317">
        <v>10</v>
      </c>
      <c r="K255" s="317">
        <v>0</v>
      </c>
      <c r="L255" s="212">
        <v>1</v>
      </c>
      <c r="M255" s="212">
        <f t="shared" si="31"/>
        <v>13</v>
      </c>
      <c r="N255" s="212">
        <f t="shared" si="32"/>
        <v>16</v>
      </c>
      <c r="O255" s="212">
        <f t="shared" si="33"/>
        <v>40</v>
      </c>
      <c r="P255" s="212">
        <f t="shared" si="34"/>
        <v>0</v>
      </c>
      <c r="Q255" s="212">
        <f t="shared" si="35"/>
        <v>8</v>
      </c>
      <c r="R255" s="212">
        <f t="shared" si="36"/>
        <v>64</v>
      </c>
      <c r="S255" s="379" t="s">
        <v>1029</v>
      </c>
      <c r="T255" s="313" t="s">
        <v>1032</v>
      </c>
      <c r="U255" s="280">
        <v>57</v>
      </c>
      <c r="V255" s="280">
        <v>57</v>
      </c>
      <c r="W255" s="280">
        <v>57</v>
      </c>
      <c r="X255" s="276">
        <v>44026</v>
      </c>
      <c r="Y255" s="277">
        <v>44042</v>
      </c>
      <c r="Z255" s="26">
        <v>44281</v>
      </c>
      <c r="AA255" s="273">
        <f t="shared" si="37"/>
        <v>2021</v>
      </c>
      <c r="AB255" s="273">
        <f t="shared" si="38"/>
        <v>3</v>
      </c>
      <c r="AC255" s="278" t="s">
        <v>920</v>
      </c>
      <c r="AD255" s="278" t="s">
        <v>422</v>
      </c>
      <c r="AE255" s="278" t="s">
        <v>422</v>
      </c>
      <c r="AF255" s="278" t="s">
        <v>422</v>
      </c>
      <c r="AG255" s="278" t="s">
        <v>422</v>
      </c>
      <c r="AH255" s="278" t="s">
        <v>422</v>
      </c>
      <c r="AI255" s="278" t="s">
        <v>423</v>
      </c>
      <c r="AJ255" s="278" t="s">
        <v>423</v>
      </c>
      <c r="AK255" s="278" t="s">
        <v>423</v>
      </c>
      <c r="AL255" s="279" t="s">
        <v>1240</v>
      </c>
      <c r="AM255" s="244"/>
      <c r="AN255" s="244"/>
    </row>
    <row r="256" spans="1:40" ht="15" customHeight="1" x14ac:dyDescent="0.3">
      <c r="A256" s="185">
        <v>162</v>
      </c>
      <c r="B256" s="247" t="s">
        <v>1622</v>
      </c>
      <c r="C256" s="247" t="s">
        <v>1615</v>
      </c>
      <c r="D256" s="200" t="s">
        <v>1881</v>
      </c>
      <c r="E256" s="281"/>
      <c r="F256" s="281"/>
      <c r="G256" s="281" t="s">
        <v>1596</v>
      </c>
      <c r="H256" s="317" t="s">
        <v>422</v>
      </c>
      <c r="I256" s="356">
        <v>2</v>
      </c>
      <c r="J256" s="317">
        <v>6</v>
      </c>
      <c r="K256" s="317">
        <v>8</v>
      </c>
      <c r="L256" s="212">
        <v>1</v>
      </c>
      <c r="M256" s="212">
        <f t="shared" si="31"/>
        <v>17</v>
      </c>
      <c r="N256" s="212">
        <f t="shared" si="32"/>
        <v>16</v>
      </c>
      <c r="O256" s="212">
        <f t="shared" si="33"/>
        <v>24</v>
      </c>
      <c r="P256" s="212">
        <f t="shared" si="34"/>
        <v>53.333333333333336</v>
      </c>
      <c r="Q256" s="212">
        <f t="shared" si="35"/>
        <v>8</v>
      </c>
      <c r="R256" s="212">
        <f t="shared" si="36"/>
        <v>101.33333333333334</v>
      </c>
      <c r="S256" s="379" t="s">
        <v>1130</v>
      </c>
      <c r="T256" s="380" t="s">
        <v>1131</v>
      </c>
      <c r="U256" s="280">
        <v>66</v>
      </c>
      <c r="V256" s="280">
        <v>67</v>
      </c>
      <c r="W256" s="280">
        <v>67</v>
      </c>
      <c r="X256" s="276">
        <v>44064</v>
      </c>
      <c r="Y256" s="276">
        <v>44094</v>
      </c>
      <c r="Z256" s="26">
        <v>44281</v>
      </c>
      <c r="AA256" s="273">
        <f t="shared" si="37"/>
        <v>2021</v>
      </c>
      <c r="AB256" s="273">
        <f t="shared" si="38"/>
        <v>3</v>
      </c>
      <c r="AC256" s="278" t="s">
        <v>920</v>
      </c>
      <c r="AD256" s="278" t="s">
        <v>422</v>
      </c>
      <c r="AE256" s="278" t="s">
        <v>422</v>
      </c>
      <c r="AF256" s="278" t="s">
        <v>422</v>
      </c>
      <c r="AG256" s="278" t="s">
        <v>422</v>
      </c>
      <c r="AH256" s="278" t="s">
        <v>422</v>
      </c>
      <c r="AI256" s="278" t="s">
        <v>422</v>
      </c>
      <c r="AJ256" s="278" t="s">
        <v>422</v>
      </c>
      <c r="AK256" s="278" t="s">
        <v>422</v>
      </c>
      <c r="AL256" s="279" t="s">
        <v>140</v>
      </c>
      <c r="AM256" s="241"/>
      <c r="AN256" s="241"/>
    </row>
    <row r="257" spans="1:40" ht="15" customHeight="1" x14ac:dyDescent="0.3">
      <c r="A257" s="185">
        <v>190</v>
      </c>
      <c r="B257" s="247" t="s">
        <v>1202</v>
      </c>
      <c r="C257" s="247" t="s">
        <v>1618</v>
      </c>
      <c r="D257" s="200" t="s">
        <v>1881</v>
      </c>
      <c r="E257" s="281"/>
      <c r="F257" s="281" t="s">
        <v>1598</v>
      </c>
      <c r="G257" s="368" t="s">
        <v>1604</v>
      </c>
      <c r="H257" s="248" t="s">
        <v>422</v>
      </c>
      <c r="I257" s="317">
        <v>1.7</v>
      </c>
      <c r="J257" s="317">
        <v>8.1999999999999993</v>
      </c>
      <c r="K257" s="317">
        <v>0</v>
      </c>
      <c r="L257" s="212">
        <v>1.5</v>
      </c>
      <c r="M257" s="212">
        <f t="shared" si="31"/>
        <v>11.399999999999999</v>
      </c>
      <c r="N257" s="212">
        <f t="shared" si="32"/>
        <v>13.6</v>
      </c>
      <c r="O257" s="212">
        <f t="shared" si="33"/>
        <v>32.799999999999997</v>
      </c>
      <c r="P257" s="212">
        <f t="shared" si="34"/>
        <v>0</v>
      </c>
      <c r="Q257" s="212">
        <f t="shared" si="35"/>
        <v>12</v>
      </c>
      <c r="R257" s="212">
        <f t="shared" si="36"/>
        <v>58.4</v>
      </c>
      <c r="S257" s="379" t="s">
        <v>1266</v>
      </c>
      <c r="T257" s="380" t="s">
        <v>1267</v>
      </c>
      <c r="U257" s="280">
        <v>65</v>
      </c>
      <c r="V257" s="280">
        <v>66</v>
      </c>
      <c r="W257" s="280">
        <v>66</v>
      </c>
      <c r="X257" s="276">
        <v>44073</v>
      </c>
      <c r="Y257" s="276">
        <v>44166</v>
      </c>
      <c r="Z257" s="276">
        <v>44268</v>
      </c>
      <c r="AA257" s="273">
        <f t="shared" si="37"/>
        <v>2021</v>
      </c>
      <c r="AB257" s="273">
        <f t="shared" si="38"/>
        <v>3</v>
      </c>
      <c r="AC257" s="278" t="s">
        <v>920</v>
      </c>
      <c r="AD257" s="278" t="s">
        <v>422</v>
      </c>
      <c r="AE257" s="278" t="s">
        <v>422</v>
      </c>
      <c r="AF257" s="278" t="s">
        <v>422</v>
      </c>
      <c r="AG257" s="278" t="s">
        <v>422</v>
      </c>
      <c r="AH257" s="278" t="s">
        <v>422</v>
      </c>
      <c r="AI257" s="278" t="s">
        <v>423</v>
      </c>
      <c r="AJ257" s="278" t="s">
        <v>422</v>
      </c>
      <c r="AK257" s="278" t="s">
        <v>423</v>
      </c>
      <c r="AL257" s="279" t="s">
        <v>1240</v>
      </c>
      <c r="AM257" s="241"/>
      <c r="AN257" s="241"/>
    </row>
    <row r="258" spans="1:40" ht="15" customHeight="1" x14ac:dyDescent="0.3">
      <c r="A258" s="185">
        <v>220</v>
      </c>
      <c r="B258" s="230" t="s">
        <v>1272</v>
      </c>
      <c r="C258" s="247" t="s">
        <v>1615</v>
      </c>
      <c r="D258" s="200" t="s">
        <v>1881</v>
      </c>
      <c r="E258" s="381" t="s">
        <v>1596</v>
      </c>
      <c r="F258" s="383"/>
      <c r="G258" s="230" t="s">
        <v>1596</v>
      </c>
      <c r="H258" s="248" t="s">
        <v>422</v>
      </c>
      <c r="I258" s="356">
        <v>2</v>
      </c>
      <c r="J258" s="317">
        <v>7</v>
      </c>
      <c r="K258" s="317">
        <v>29</v>
      </c>
      <c r="L258" s="212">
        <v>1</v>
      </c>
      <c r="M258" s="212">
        <f t="shared" si="31"/>
        <v>39</v>
      </c>
      <c r="N258" s="212">
        <f t="shared" si="32"/>
        <v>16</v>
      </c>
      <c r="O258" s="212">
        <f t="shared" si="33"/>
        <v>28</v>
      </c>
      <c r="P258" s="212">
        <f t="shared" si="34"/>
        <v>193.33333333333334</v>
      </c>
      <c r="Q258" s="212">
        <f t="shared" si="35"/>
        <v>8</v>
      </c>
      <c r="R258" s="212">
        <f t="shared" si="36"/>
        <v>245.33333333333334</v>
      </c>
      <c r="S258" s="384" t="s">
        <v>1285</v>
      </c>
      <c r="T258" s="384" t="s">
        <v>1286</v>
      </c>
      <c r="U258" s="280">
        <v>94</v>
      </c>
      <c r="V258" s="280">
        <v>94</v>
      </c>
      <c r="W258" s="280">
        <v>94</v>
      </c>
      <c r="X258" s="374">
        <v>44113</v>
      </c>
      <c r="Y258" s="374">
        <v>44208</v>
      </c>
      <c r="Z258" s="276">
        <v>44281</v>
      </c>
      <c r="AA258" s="273">
        <f t="shared" si="37"/>
        <v>2021</v>
      </c>
      <c r="AB258" s="273">
        <f t="shared" si="38"/>
        <v>3</v>
      </c>
      <c r="AC258" s="278" t="s">
        <v>920</v>
      </c>
      <c r="AD258" s="278" t="s">
        <v>422</v>
      </c>
      <c r="AE258" s="278" t="s">
        <v>422</v>
      </c>
      <c r="AF258" s="278" t="s">
        <v>422</v>
      </c>
      <c r="AG258" s="278" t="s">
        <v>422</v>
      </c>
      <c r="AH258" s="278" t="s">
        <v>422</v>
      </c>
      <c r="AI258" s="278" t="s">
        <v>422</v>
      </c>
      <c r="AJ258" s="278" t="s">
        <v>422</v>
      </c>
      <c r="AK258" s="278" t="s">
        <v>423</v>
      </c>
      <c r="AL258" s="279" t="s">
        <v>1910</v>
      </c>
      <c r="AM258" s="241"/>
      <c r="AN258" s="241"/>
    </row>
    <row r="259" spans="1:40" ht="15" customHeight="1" x14ac:dyDescent="0.3">
      <c r="A259" s="185">
        <v>221</v>
      </c>
      <c r="B259" s="230" t="s">
        <v>1273</v>
      </c>
      <c r="C259" s="247" t="s">
        <v>1615</v>
      </c>
      <c r="D259" s="200" t="s">
        <v>1881</v>
      </c>
      <c r="E259" s="381" t="s">
        <v>1596</v>
      </c>
      <c r="F259" s="383"/>
      <c r="G259" s="230" t="s">
        <v>1596</v>
      </c>
      <c r="H259" s="248" t="s">
        <v>422</v>
      </c>
      <c r="I259" s="356">
        <v>2</v>
      </c>
      <c r="J259" s="317">
        <v>7.5</v>
      </c>
      <c r="K259" s="317">
        <v>29</v>
      </c>
      <c r="L259" s="212">
        <v>1</v>
      </c>
      <c r="M259" s="212">
        <f t="shared" si="31"/>
        <v>39.5</v>
      </c>
      <c r="N259" s="212">
        <f t="shared" si="32"/>
        <v>16</v>
      </c>
      <c r="O259" s="212">
        <f t="shared" si="33"/>
        <v>30</v>
      </c>
      <c r="P259" s="212">
        <f t="shared" si="34"/>
        <v>193.33333333333334</v>
      </c>
      <c r="Q259" s="212">
        <f t="shared" si="35"/>
        <v>8</v>
      </c>
      <c r="R259" s="212">
        <f t="shared" si="36"/>
        <v>247.33333333333334</v>
      </c>
      <c r="S259" s="384" t="s">
        <v>1287</v>
      </c>
      <c r="T259" s="384" t="s">
        <v>1288</v>
      </c>
      <c r="U259" s="280">
        <v>82</v>
      </c>
      <c r="V259" s="280">
        <v>82</v>
      </c>
      <c r="W259" s="280">
        <v>82</v>
      </c>
      <c r="X259" s="374">
        <v>44113</v>
      </c>
      <c r="Y259" s="374">
        <v>44208</v>
      </c>
      <c r="Z259" s="276">
        <v>44281</v>
      </c>
      <c r="AA259" s="273">
        <f t="shared" si="37"/>
        <v>2021</v>
      </c>
      <c r="AB259" s="273">
        <f t="shared" si="38"/>
        <v>3</v>
      </c>
      <c r="AC259" s="278" t="s">
        <v>920</v>
      </c>
      <c r="AD259" s="278" t="s">
        <v>422</v>
      </c>
      <c r="AE259" s="278" t="s">
        <v>422</v>
      </c>
      <c r="AF259" s="278" t="s">
        <v>422</v>
      </c>
      <c r="AG259" s="278" t="s">
        <v>422</v>
      </c>
      <c r="AH259" s="278" t="s">
        <v>422</v>
      </c>
      <c r="AI259" s="278" t="s">
        <v>422</v>
      </c>
      <c r="AJ259" s="278" t="s">
        <v>422</v>
      </c>
      <c r="AK259" s="278" t="s">
        <v>423</v>
      </c>
      <c r="AL259" s="279" t="s">
        <v>1910</v>
      </c>
      <c r="AM259" s="241"/>
      <c r="AN259" s="241"/>
    </row>
    <row r="260" spans="1:40" ht="15" customHeight="1" x14ac:dyDescent="0.3">
      <c r="A260" s="185">
        <v>222</v>
      </c>
      <c r="B260" s="230" t="s">
        <v>1274</v>
      </c>
      <c r="C260" s="247" t="s">
        <v>1615</v>
      </c>
      <c r="D260" s="200" t="s">
        <v>1881</v>
      </c>
      <c r="E260" s="381" t="s">
        <v>1596</v>
      </c>
      <c r="F260" s="383"/>
      <c r="G260" s="230" t="s">
        <v>1596</v>
      </c>
      <c r="H260" s="248" t="s">
        <v>422</v>
      </c>
      <c r="I260" s="356">
        <v>2</v>
      </c>
      <c r="J260" s="317">
        <v>7.5</v>
      </c>
      <c r="K260" s="317">
        <v>29</v>
      </c>
      <c r="L260" s="212">
        <v>1</v>
      </c>
      <c r="M260" s="212">
        <f t="shared" ref="M260:M324" si="40">SUM((I260:L260))</f>
        <v>39.5</v>
      </c>
      <c r="N260" s="212">
        <f t="shared" ref="N260:N324" si="41">+I260/0.125</f>
        <v>16</v>
      </c>
      <c r="O260" s="212">
        <f t="shared" ref="O260:O324" si="42">+J260/0.25</f>
        <v>30</v>
      </c>
      <c r="P260" s="212">
        <f t="shared" ref="P260:P324" si="43">+K260/0.15</f>
        <v>193.33333333333334</v>
      </c>
      <c r="Q260" s="212">
        <f t="shared" ref="Q260:Q324" si="44">+L260/0.125</f>
        <v>8</v>
      </c>
      <c r="R260" s="212">
        <f t="shared" ref="R260:R324" si="45">SUM(N260:Q260)</f>
        <v>247.33333333333334</v>
      </c>
      <c r="S260" s="384" t="s">
        <v>1289</v>
      </c>
      <c r="T260" s="384" t="s">
        <v>1290</v>
      </c>
      <c r="U260" s="280">
        <v>86</v>
      </c>
      <c r="V260" s="280">
        <v>86</v>
      </c>
      <c r="W260" s="280">
        <v>86</v>
      </c>
      <c r="X260" s="374">
        <v>44113</v>
      </c>
      <c r="Y260" s="374">
        <v>44208</v>
      </c>
      <c r="Z260" s="276">
        <v>44281</v>
      </c>
      <c r="AA260" s="273">
        <f t="shared" ref="AA260:AA324" si="46">IF(YEAR(Z260)&gt;2000,YEAR(Z260),YEAR(Y260))</f>
        <v>2021</v>
      </c>
      <c r="AB260" s="273">
        <f t="shared" ref="AB260:AB324" si="47">MONTH(Z260)</f>
        <v>3</v>
      </c>
      <c r="AC260" s="278" t="s">
        <v>920</v>
      </c>
      <c r="AD260" s="278" t="s">
        <v>422</v>
      </c>
      <c r="AE260" s="278" t="s">
        <v>422</v>
      </c>
      <c r="AF260" s="278" t="s">
        <v>422</v>
      </c>
      <c r="AG260" s="278" t="s">
        <v>422</v>
      </c>
      <c r="AH260" s="278" t="s">
        <v>422</v>
      </c>
      <c r="AI260" s="278" t="s">
        <v>422</v>
      </c>
      <c r="AJ260" s="278" t="s">
        <v>422</v>
      </c>
      <c r="AK260" s="278" t="s">
        <v>423</v>
      </c>
      <c r="AL260" s="279" t="s">
        <v>1910</v>
      </c>
      <c r="AM260" s="241"/>
      <c r="AN260" s="241"/>
    </row>
    <row r="261" spans="1:40" ht="15" customHeight="1" x14ac:dyDescent="0.3">
      <c r="A261" s="185">
        <v>223</v>
      </c>
      <c r="B261" s="230" t="s">
        <v>1275</v>
      </c>
      <c r="C261" s="247" t="s">
        <v>1615</v>
      </c>
      <c r="D261" s="200" t="s">
        <v>1881</v>
      </c>
      <c r="E261" s="381" t="s">
        <v>1596</v>
      </c>
      <c r="F261" s="383"/>
      <c r="G261" s="230" t="s">
        <v>1596</v>
      </c>
      <c r="H261" s="248" t="s">
        <v>422</v>
      </c>
      <c r="I261" s="356">
        <v>2</v>
      </c>
      <c r="J261" s="317">
        <v>8</v>
      </c>
      <c r="K261" s="317">
        <v>29</v>
      </c>
      <c r="L261" s="212">
        <v>1</v>
      </c>
      <c r="M261" s="212">
        <f t="shared" si="40"/>
        <v>40</v>
      </c>
      <c r="N261" s="212">
        <f t="shared" si="41"/>
        <v>16</v>
      </c>
      <c r="O261" s="212">
        <f t="shared" si="42"/>
        <v>32</v>
      </c>
      <c r="P261" s="212">
        <f t="shared" si="43"/>
        <v>193.33333333333334</v>
      </c>
      <c r="Q261" s="212">
        <f t="shared" si="44"/>
        <v>8</v>
      </c>
      <c r="R261" s="212">
        <f t="shared" si="45"/>
        <v>249.33333333333334</v>
      </c>
      <c r="S261" s="384" t="s">
        <v>1291</v>
      </c>
      <c r="T261" s="384" t="s">
        <v>697</v>
      </c>
      <c r="U261" s="280">
        <v>24</v>
      </c>
      <c r="V261" s="280">
        <v>24</v>
      </c>
      <c r="W261" s="280">
        <v>24</v>
      </c>
      <c r="X261" s="374">
        <v>44113</v>
      </c>
      <c r="Y261" s="374">
        <v>44208</v>
      </c>
      <c r="Z261" s="276">
        <v>44281</v>
      </c>
      <c r="AA261" s="273">
        <f t="shared" si="46"/>
        <v>2021</v>
      </c>
      <c r="AB261" s="273">
        <f t="shared" si="47"/>
        <v>3</v>
      </c>
      <c r="AC261" s="278" t="s">
        <v>920</v>
      </c>
      <c r="AD261" s="278" t="s">
        <v>422</v>
      </c>
      <c r="AE261" s="278" t="s">
        <v>422</v>
      </c>
      <c r="AF261" s="278" t="s">
        <v>422</v>
      </c>
      <c r="AG261" s="278" t="s">
        <v>422</v>
      </c>
      <c r="AH261" s="278" t="s">
        <v>422</v>
      </c>
      <c r="AI261" s="278" t="s">
        <v>422</v>
      </c>
      <c r="AJ261" s="278" t="s">
        <v>422</v>
      </c>
      <c r="AK261" s="278" t="s">
        <v>423</v>
      </c>
      <c r="AL261" s="279" t="s">
        <v>1533</v>
      </c>
      <c r="AM261" s="241"/>
      <c r="AN261" s="241"/>
    </row>
    <row r="262" spans="1:40" ht="15" customHeight="1" x14ac:dyDescent="0.3">
      <c r="A262" s="185">
        <v>224</v>
      </c>
      <c r="B262" s="230" t="s">
        <v>1276</v>
      </c>
      <c r="C262" s="247" t="s">
        <v>1615</v>
      </c>
      <c r="D262" s="200" t="s">
        <v>1881</v>
      </c>
      <c r="E262" s="383"/>
      <c r="F262" s="383"/>
      <c r="G262" s="368" t="s">
        <v>1604</v>
      </c>
      <c r="H262" s="248" t="s">
        <v>422</v>
      </c>
      <c r="I262" s="356">
        <v>2</v>
      </c>
      <c r="J262" s="317">
        <v>6</v>
      </c>
      <c r="K262" s="317">
        <v>0</v>
      </c>
      <c r="L262" s="212">
        <v>1</v>
      </c>
      <c r="M262" s="212">
        <f t="shared" si="40"/>
        <v>9</v>
      </c>
      <c r="N262" s="212">
        <f t="shared" si="41"/>
        <v>16</v>
      </c>
      <c r="O262" s="212">
        <f t="shared" si="42"/>
        <v>24</v>
      </c>
      <c r="P262" s="212">
        <f t="shared" si="43"/>
        <v>0</v>
      </c>
      <c r="Q262" s="212">
        <f t="shared" si="44"/>
        <v>8</v>
      </c>
      <c r="R262" s="212">
        <f t="shared" si="45"/>
        <v>48</v>
      </c>
      <c r="S262" s="384" t="s">
        <v>1292</v>
      </c>
      <c r="T262" s="384" t="s">
        <v>1293</v>
      </c>
      <c r="U262" s="280">
        <v>54</v>
      </c>
      <c r="V262" s="280">
        <v>56</v>
      </c>
      <c r="W262" s="280">
        <v>56</v>
      </c>
      <c r="X262" s="374">
        <v>44113</v>
      </c>
      <c r="Y262" s="374">
        <v>44208</v>
      </c>
      <c r="Z262" s="276">
        <v>44281</v>
      </c>
      <c r="AA262" s="273">
        <f t="shared" si="46"/>
        <v>2021</v>
      </c>
      <c r="AB262" s="273">
        <f t="shared" si="47"/>
        <v>3</v>
      </c>
      <c r="AC262" s="278" t="s">
        <v>920</v>
      </c>
      <c r="AD262" s="278" t="s">
        <v>422</v>
      </c>
      <c r="AE262" s="278" t="s">
        <v>422</v>
      </c>
      <c r="AF262" s="278" t="s">
        <v>422</v>
      </c>
      <c r="AG262" s="278" t="s">
        <v>422</v>
      </c>
      <c r="AH262" s="278" t="s">
        <v>422</v>
      </c>
      <c r="AI262" s="278" t="s">
        <v>423</v>
      </c>
      <c r="AJ262" s="278" t="s">
        <v>422</v>
      </c>
      <c r="AK262" s="278" t="s">
        <v>423</v>
      </c>
      <c r="AL262" s="279" t="s">
        <v>1372</v>
      </c>
      <c r="AM262" s="241"/>
      <c r="AN262" s="241"/>
    </row>
    <row r="263" spans="1:40" ht="15" customHeight="1" x14ac:dyDescent="0.3">
      <c r="A263" s="185">
        <v>225</v>
      </c>
      <c r="B263" s="230" t="s">
        <v>1277</v>
      </c>
      <c r="C263" s="247" t="s">
        <v>1615</v>
      </c>
      <c r="D263" s="200" t="s">
        <v>1881</v>
      </c>
      <c r="E263" s="230"/>
      <c r="F263" s="383"/>
      <c r="G263" s="368" t="s">
        <v>1604</v>
      </c>
      <c r="H263" s="248" t="s">
        <v>422</v>
      </c>
      <c r="I263" s="356">
        <v>2</v>
      </c>
      <c r="J263" s="317">
        <v>6.5</v>
      </c>
      <c r="K263" s="317">
        <v>0</v>
      </c>
      <c r="L263" s="212">
        <v>1</v>
      </c>
      <c r="M263" s="212">
        <f t="shared" si="40"/>
        <v>9.5</v>
      </c>
      <c r="N263" s="212">
        <f t="shared" si="41"/>
        <v>16</v>
      </c>
      <c r="O263" s="212">
        <f t="shared" si="42"/>
        <v>26</v>
      </c>
      <c r="P263" s="212">
        <f t="shared" si="43"/>
        <v>0</v>
      </c>
      <c r="Q263" s="212">
        <f t="shared" si="44"/>
        <v>8</v>
      </c>
      <c r="R263" s="212">
        <f t="shared" si="45"/>
        <v>50</v>
      </c>
      <c r="S263" s="384" t="s">
        <v>1294</v>
      </c>
      <c r="T263" s="384" t="s">
        <v>1295</v>
      </c>
      <c r="U263" s="280">
        <v>45</v>
      </c>
      <c r="V263" s="280">
        <v>47</v>
      </c>
      <c r="W263" s="280">
        <v>47</v>
      </c>
      <c r="X263" s="374">
        <v>44113</v>
      </c>
      <c r="Y263" s="374">
        <v>44208</v>
      </c>
      <c r="Z263" s="276">
        <v>44281</v>
      </c>
      <c r="AA263" s="273">
        <f t="shared" si="46"/>
        <v>2021</v>
      </c>
      <c r="AB263" s="273">
        <f t="shared" si="47"/>
        <v>3</v>
      </c>
      <c r="AC263" s="278" t="s">
        <v>920</v>
      </c>
      <c r="AD263" s="278" t="s">
        <v>422</v>
      </c>
      <c r="AE263" s="278" t="s">
        <v>422</v>
      </c>
      <c r="AF263" s="278" t="s">
        <v>422</v>
      </c>
      <c r="AG263" s="278" t="s">
        <v>422</v>
      </c>
      <c r="AH263" s="278" t="s">
        <v>422</v>
      </c>
      <c r="AI263" s="278" t="s">
        <v>423</v>
      </c>
      <c r="AJ263" s="278" t="s">
        <v>422</v>
      </c>
      <c r="AK263" s="278" t="s">
        <v>423</v>
      </c>
      <c r="AL263" s="279" t="s">
        <v>1372</v>
      </c>
      <c r="AM263" s="241"/>
      <c r="AN263" s="241"/>
    </row>
    <row r="264" spans="1:40" ht="15" customHeight="1" x14ac:dyDescent="0.3">
      <c r="A264" s="185">
        <v>226</v>
      </c>
      <c r="B264" s="230" t="s">
        <v>1278</v>
      </c>
      <c r="C264" s="247" t="s">
        <v>1615</v>
      </c>
      <c r="D264" s="200" t="s">
        <v>1881</v>
      </c>
      <c r="E264" s="230"/>
      <c r="F264" s="383"/>
      <c r="G264" s="368" t="s">
        <v>1604</v>
      </c>
      <c r="H264" s="248" t="s">
        <v>422</v>
      </c>
      <c r="I264" s="356">
        <v>2</v>
      </c>
      <c r="J264" s="317">
        <v>7</v>
      </c>
      <c r="K264" s="317">
        <v>0</v>
      </c>
      <c r="L264" s="212">
        <v>1</v>
      </c>
      <c r="M264" s="212">
        <f t="shared" si="40"/>
        <v>10</v>
      </c>
      <c r="N264" s="212">
        <f t="shared" si="41"/>
        <v>16</v>
      </c>
      <c r="O264" s="212">
        <f t="shared" si="42"/>
        <v>28</v>
      </c>
      <c r="P264" s="212">
        <f t="shared" si="43"/>
        <v>0</v>
      </c>
      <c r="Q264" s="212">
        <f t="shared" si="44"/>
        <v>8</v>
      </c>
      <c r="R264" s="212">
        <f t="shared" si="45"/>
        <v>52</v>
      </c>
      <c r="S264" s="384" t="s">
        <v>1296</v>
      </c>
      <c r="T264" s="384" t="s">
        <v>1297</v>
      </c>
      <c r="U264" s="280">
        <v>73</v>
      </c>
      <c r="V264" s="280">
        <v>69</v>
      </c>
      <c r="W264" s="280">
        <v>69</v>
      </c>
      <c r="X264" s="374">
        <v>44113</v>
      </c>
      <c r="Y264" s="374">
        <v>44208</v>
      </c>
      <c r="Z264" s="276">
        <v>44281</v>
      </c>
      <c r="AA264" s="273">
        <f t="shared" si="46"/>
        <v>2021</v>
      </c>
      <c r="AB264" s="273">
        <f t="shared" si="47"/>
        <v>3</v>
      </c>
      <c r="AC264" s="278" t="s">
        <v>920</v>
      </c>
      <c r="AD264" s="278" t="s">
        <v>422</v>
      </c>
      <c r="AE264" s="278" t="s">
        <v>422</v>
      </c>
      <c r="AF264" s="278" t="s">
        <v>422</v>
      </c>
      <c r="AG264" s="278" t="s">
        <v>422</v>
      </c>
      <c r="AH264" s="278" t="s">
        <v>422</v>
      </c>
      <c r="AI264" s="278" t="s">
        <v>423</v>
      </c>
      <c r="AJ264" s="278" t="s">
        <v>422</v>
      </c>
      <c r="AK264" s="278" t="s">
        <v>423</v>
      </c>
      <c r="AL264" s="279" t="s">
        <v>1372</v>
      </c>
      <c r="AM264" s="241"/>
      <c r="AN264" s="241"/>
    </row>
    <row r="265" spans="1:40" ht="15" customHeight="1" x14ac:dyDescent="0.3">
      <c r="A265" s="185">
        <v>227</v>
      </c>
      <c r="B265" s="230" t="s">
        <v>1279</v>
      </c>
      <c r="C265" s="247" t="s">
        <v>1615</v>
      </c>
      <c r="D265" s="200" t="s">
        <v>1881</v>
      </c>
      <c r="E265" s="230"/>
      <c r="F265" s="383" t="s">
        <v>1598</v>
      </c>
      <c r="G265" s="368" t="s">
        <v>1604</v>
      </c>
      <c r="H265" s="248" t="s">
        <v>422</v>
      </c>
      <c r="I265" s="317">
        <v>1.8</v>
      </c>
      <c r="J265" s="317">
        <v>15</v>
      </c>
      <c r="K265" s="317">
        <v>0</v>
      </c>
      <c r="L265" s="212">
        <v>1</v>
      </c>
      <c r="M265" s="212">
        <f t="shared" si="40"/>
        <v>17.8</v>
      </c>
      <c r="N265" s="212">
        <f t="shared" si="41"/>
        <v>14.4</v>
      </c>
      <c r="O265" s="212">
        <f t="shared" si="42"/>
        <v>60</v>
      </c>
      <c r="P265" s="212">
        <f t="shared" si="43"/>
        <v>0</v>
      </c>
      <c r="Q265" s="212">
        <f t="shared" si="44"/>
        <v>8</v>
      </c>
      <c r="R265" s="212">
        <f t="shared" si="45"/>
        <v>82.4</v>
      </c>
      <c r="S265" s="384" t="s">
        <v>1298</v>
      </c>
      <c r="T265" s="384" t="s">
        <v>1299</v>
      </c>
      <c r="U265" s="280">
        <v>168</v>
      </c>
      <c r="V265" s="280">
        <v>170</v>
      </c>
      <c r="W265" s="280">
        <v>170</v>
      </c>
      <c r="X265" s="374">
        <v>44113</v>
      </c>
      <c r="Y265" s="374">
        <v>44208</v>
      </c>
      <c r="Z265" s="276">
        <v>44281</v>
      </c>
      <c r="AA265" s="273">
        <f t="shared" si="46"/>
        <v>2021</v>
      </c>
      <c r="AB265" s="273">
        <f t="shared" si="47"/>
        <v>3</v>
      </c>
      <c r="AC265" s="278" t="s">
        <v>920</v>
      </c>
      <c r="AD265" s="278" t="s">
        <v>422</v>
      </c>
      <c r="AE265" s="278" t="s">
        <v>422</v>
      </c>
      <c r="AF265" s="278" t="s">
        <v>422</v>
      </c>
      <c r="AG265" s="278" t="s">
        <v>422</v>
      </c>
      <c r="AH265" s="278" t="s">
        <v>422</v>
      </c>
      <c r="AI265" s="278" t="s">
        <v>423</v>
      </c>
      <c r="AJ265" s="278" t="s">
        <v>423</v>
      </c>
      <c r="AK265" s="278" t="s">
        <v>422</v>
      </c>
      <c r="AL265" s="279" t="s">
        <v>140</v>
      </c>
      <c r="AM265" s="241"/>
      <c r="AN265" s="241"/>
    </row>
    <row r="266" spans="1:40" ht="15" customHeight="1" x14ac:dyDescent="0.3">
      <c r="A266" s="185">
        <v>238</v>
      </c>
      <c r="B266" s="230" t="s">
        <v>1331</v>
      </c>
      <c r="C266" s="247" t="s">
        <v>1615</v>
      </c>
      <c r="D266" s="200" t="s">
        <v>1881</v>
      </c>
      <c r="E266" s="370" t="s">
        <v>1596</v>
      </c>
      <c r="F266" s="383" t="s">
        <v>1600</v>
      </c>
      <c r="G266" s="368" t="s">
        <v>1604</v>
      </c>
      <c r="H266" s="248" t="s">
        <v>422</v>
      </c>
      <c r="I266" s="317">
        <v>1</v>
      </c>
      <c r="J266" s="317">
        <v>10.8</v>
      </c>
      <c r="K266" s="317">
        <v>0</v>
      </c>
      <c r="L266" s="212">
        <v>1.5</v>
      </c>
      <c r="M266" s="212">
        <f t="shared" si="40"/>
        <v>13.3</v>
      </c>
      <c r="N266" s="212">
        <f t="shared" si="41"/>
        <v>8</v>
      </c>
      <c r="O266" s="212">
        <f t="shared" si="42"/>
        <v>43.2</v>
      </c>
      <c r="P266" s="212">
        <f t="shared" si="43"/>
        <v>0</v>
      </c>
      <c r="Q266" s="212">
        <f t="shared" si="44"/>
        <v>12</v>
      </c>
      <c r="R266" s="212">
        <f t="shared" si="45"/>
        <v>63.2</v>
      </c>
      <c r="S266" s="384" t="s">
        <v>1323</v>
      </c>
      <c r="T266" s="384" t="s">
        <v>1324</v>
      </c>
      <c r="U266" s="280">
        <v>140</v>
      </c>
      <c r="V266" s="280">
        <v>140</v>
      </c>
      <c r="W266" s="280">
        <v>140</v>
      </c>
      <c r="X266" s="374">
        <v>44119</v>
      </c>
      <c r="Y266" s="374">
        <v>44166</v>
      </c>
      <c r="Z266" s="276">
        <v>44281</v>
      </c>
      <c r="AA266" s="273">
        <f t="shared" si="46"/>
        <v>2021</v>
      </c>
      <c r="AB266" s="273">
        <f t="shared" si="47"/>
        <v>3</v>
      </c>
      <c r="AC266" s="278" t="s">
        <v>920</v>
      </c>
      <c r="AD266" s="278" t="s">
        <v>422</v>
      </c>
      <c r="AE266" s="278" t="s">
        <v>422</v>
      </c>
      <c r="AF266" s="278" t="s">
        <v>422</v>
      </c>
      <c r="AG266" s="278" t="s">
        <v>422</v>
      </c>
      <c r="AH266" s="278" t="s">
        <v>422</v>
      </c>
      <c r="AI266" s="278" t="s">
        <v>423</v>
      </c>
      <c r="AJ266" s="278" t="s">
        <v>422</v>
      </c>
      <c r="AK266" s="278" t="s">
        <v>423</v>
      </c>
      <c r="AL266" s="279" t="s">
        <v>1372</v>
      </c>
      <c r="AM266" s="241"/>
      <c r="AN266" s="241"/>
    </row>
    <row r="267" spans="1:40" ht="15" customHeight="1" x14ac:dyDescent="0.3">
      <c r="A267" s="185">
        <v>239</v>
      </c>
      <c r="B267" s="230" t="s">
        <v>1332</v>
      </c>
      <c r="C267" s="247" t="s">
        <v>1615</v>
      </c>
      <c r="D267" s="200" t="s">
        <v>1881</v>
      </c>
      <c r="E267" s="370" t="s">
        <v>1596</v>
      </c>
      <c r="F267" s="383" t="s">
        <v>1600</v>
      </c>
      <c r="G267" s="368" t="s">
        <v>1604</v>
      </c>
      <c r="H267" s="248" t="s">
        <v>422</v>
      </c>
      <c r="I267" s="317">
        <v>1</v>
      </c>
      <c r="J267" s="317">
        <v>10.8</v>
      </c>
      <c r="K267" s="317">
        <v>0</v>
      </c>
      <c r="L267" s="212">
        <v>1.5</v>
      </c>
      <c r="M267" s="212">
        <f t="shared" si="40"/>
        <v>13.3</v>
      </c>
      <c r="N267" s="212">
        <f t="shared" si="41"/>
        <v>8</v>
      </c>
      <c r="O267" s="212">
        <f t="shared" si="42"/>
        <v>43.2</v>
      </c>
      <c r="P267" s="212">
        <f t="shared" si="43"/>
        <v>0</v>
      </c>
      <c r="Q267" s="212">
        <f t="shared" si="44"/>
        <v>12</v>
      </c>
      <c r="R267" s="212">
        <f t="shared" si="45"/>
        <v>63.2</v>
      </c>
      <c r="S267" s="384" t="s">
        <v>1325</v>
      </c>
      <c r="T267" s="384" t="s">
        <v>1326</v>
      </c>
      <c r="U267" s="280">
        <v>54</v>
      </c>
      <c r="V267" s="280">
        <v>54</v>
      </c>
      <c r="W267" s="280">
        <v>54</v>
      </c>
      <c r="X267" s="374">
        <v>44119</v>
      </c>
      <c r="Y267" s="374">
        <v>44166</v>
      </c>
      <c r="Z267" s="276">
        <v>44281</v>
      </c>
      <c r="AA267" s="273">
        <f t="shared" si="46"/>
        <v>2021</v>
      </c>
      <c r="AB267" s="273">
        <f t="shared" si="47"/>
        <v>3</v>
      </c>
      <c r="AC267" s="278" t="s">
        <v>920</v>
      </c>
      <c r="AD267" s="278" t="s">
        <v>422</v>
      </c>
      <c r="AE267" s="278" t="s">
        <v>422</v>
      </c>
      <c r="AF267" s="278" t="s">
        <v>422</v>
      </c>
      <c r="AG267" s="278" t="s">
        <v>422</v>
      </c>
      <c r="AH267" s="278" t="s">
        <v>422</v>
      </c>
      <c r="AI267" s="278" t="s">
        <v>423</v>
      </c>
      <c r="AJ267" s="278" t="s">
        <v>422</v>
      </c>
      <c r="AK267" s="278" t="s">
        <v>423</v>
      </c>
      <c r="AL267" s="279" t="s">
        <v>1372</v>
      </c>
      <c r="AM267" s="241"/>
      <c r="AN267" s="241"/>
    </row>
    <row r="268" spans="1:40" ht="15" customHeight="1" x14ac:dyDescent="0.3">
      <c r="A268" s="185">
        <v>241</v>
      </c>
      <c r="B268" s="230" t="s">
        <v>1334</v>
      </c>
      <c r="C268" s="247" t="s">
        <v>1615</v>
      </c>
      <c r="D268" s="200" t="s">
        <v>1881</v>
      </c>
      <c r="E268" s="370" t="s">
        <v>1596</v>
      </c>
      <c r="F268" s="383" t="s">
        <v>1600</v>
      </c>
      <c r="G268" s="368" t="s">
        <v>1604</v>
      </c>
      <c r="H268" s="248" t="s">
        <v>422</v>
      </c>
      <c r="I268" s="317">
        <v>1</v>
      </c>
      <c r="J268" s="317">
        <v>4.5</v>
      </c>
      <c r="K268" s="317">
        <v>0</v>
      </c>
      <c r="L268" s="212">
        <v>1</v>
      </c>
      <c r="M268" s="212">
        <f t="shared" si="40"/>
        <v>6.5</v>
      </c>
      <c r="N268" s="212">
        <f t="shared" si="41"/>
        <v>8</v>
      </c>
      <c r="O268" s="212">
        <f t="shared" si="42"/>
        <v>18</v>
      </c>
      <c r="P268" s="212">
        <f t="shared" si="43"/>
        <v>0</v>
      </c>
      <c r="Q268" s="212">
        <f t="shared" si="44"/>
        <v>8</v>
      </c>
      <c r="R268" s="212">
        <f t="shared" si="45"/>
        <v>34</v>
      </c>
      <c r="S268" s="384" t="s">
        <v>1329</v>
      </c>
      <c r="T268" s="384" t="s">
        <v>1330</v>
      </c>
      <c r="U268" s="280">
        <v>70</v>
      </c>
      <c r="V268" s="280">
        <v>70</v>
      </c>
      <c r="W268" s="280">
        <v>70</v>
      </c>
      <c r="X268" s="374">
        <v>44119</v>
      </c>
      <c r="Y268" s="374">
        <v>44166</v>
      </c>
      <c r="Z268" s="276">
        <v>44281</v>
      </c>
      <c r="AA268" s="273">
        <f t="shared" si="46"/>
        <v>2021</v>
      </c>
      <c r="AB268" s="273">
        <f t="shared" si="47"/>
        <v>3</v>
      </c>
      <c r="AC268" s="278" t="s">
        <v>920</v>
      </c>
      <c r="AD268" s="278" t="s">
        <v>422</v>
      </c>
      <c r="AE268" s="278" t="s">
        <v>422</v>
      </c>
      <c r="AF268" s="278" t="s">
        <v>422</v>
      </c>
      <c r="AG268" s="278" t="s">
        <v>422</v>
      </c>
      <c r="AH268" s="278" t="s">
        <v>422</v>
      </c>
      <c r="AI268" s="278" t="s">
        <v>423</v>
      </c>
      <c r="AJ268" s="278" t="s">
        <v>422</v>
      </c>
      <c r="AK268" s="278" t="s">
        <v>422</v>
      </c>
      <c r="AL268" s="279" t="s">
        <v>1424</v>
      </c>
      <c r="AM268" s="241"/>
      <c r="AN268" s="241"/>
    </row>
    <row r="269" spans="1:40" ht="15" customHeight="1" x14ac:dyDescent="0.3">
      <c r="A269" s="185">
        <v>262</v>
      </c>
      <c r="B269" s="230" t="s">
        <v>1379</v>
      </c>
      <c r="C269" s="247" t="s">
        <v>1618</v>
      </c>
      <c r="D269" s="200" t="s">
        <v>1881</v>
      </c>
      <c r="E269" s="383"/>
      <c r="F269" s="383" t="s">
        <v>1600</v>
      </c>
      <c r="G269" s="382" t="s">
        <v>1604</v>
      </c>
      <c r="H269" s="317" t="s">
        <v>422</v>
      </c>
      <c r="I269" s="356">
        <v>1.5</v>
      </c>
      <c r="J269" s="317">
        <v>8.5</v>
      </c>
      <c r="K269" s="317">
        <v>0</v>
      </c>
      <c r="L269" s="212">
        <v>1</v>
      </c>
      <c r="M269" s="212">
        <f t="shared" si="40"/>
        <v>11</v>
      </c>
      <c r="N269" s="212">
        <f t="shared" si="41"/>
        <v>12</v>
      </c>
      <c r="O269" s="212">
        <f t="shared" si="42"/>
        <v>34</v>
      </c>
      <c r="P269" s="212">
        <f t="shared" si="43"/>
        <v>0</v>
      </c>
      <c r="Q269" s="212">
        <f t="shared" si="44"/>
        <v>8</v>
      </c>
      <c r="R269" s="212">
        <f t="shared" si="45"/>
        <v>54</v>
      </c>
      <c r="S269" s="384" t="s">
        <v>1444</v>
      </c>
      <c r="T269" s="384" t="s">
        <v>1445</v>
      </c>
      <c r="U269" s="280">
        <v>90</v>
      </c>
      <c r="V269" s="280">
        <v>91</v>
      </c>
      <c r="W269" s="280">
        <v>91</v>
      </c>
      <c r="X269" s="374">
        <v>44123</v>
      </c>
      <c r="Y269" s="374">
        <v>44173</v>
      </c>
      <c r="Z269" s="276">
        <v>44268</v>
      </c>
      <c r="AA269" s="273">
        <f t="shared" si="46"/>
        <v>2021</v>
      </c>
      <c r="AB269" s="273">
        <f t="shared" si="47"/>
        <v>3</v>
      </c>
      <c r="AC269" s="278" t="s">
        <v>920</v>
      </c>
      <c r="AD269" s="278" t="s">
        <v>422</v>
      </c>
      <c r="AE269" s="278" t="s">
        <v>422</v>
      </c>
      <c r="AF269" s="278" t="s">
        <v>422</v>
      </c>
      <c r="AG269" s="278" t="s">
        <v>422</v>
      </c>
      <c r="AH269" s="278" t="s">
        <v>422</v>
      </c>
      <c r="AI269" s="278" t="s">
        <v>423</v>
      </c>
      <c r="AJ269" s="278" t="s">
        <v>423</v>
      </c>
      <c r="AK269" s="278" t="s">
        <v>423</v>
      </c>
      <c r="AL269" s="279" t="s">
        <v>1240</v>
      </c>
      <c r="AM269" s="241"/>
      <c r="AN269" s="241"/>
    </row>
    <row r="270" spans="1:40" ht="15" customHeight="1" x14ac:dyDescent="0.3">
      <c r="A270" s="185">
        <v>264</v>
      </c>
      <c r="B270" s="230" t="s">
        <v>1387</v>
      </c>
      <c r="C270" s="247" t="s">
        <v>1615</v>
      </c>
      <c r="D270" s="200" t="s">
        <v>1881</v>
      </c>
      <c r="E270" s="381" t="s">
        <v>1596</v>
      </c>
      <c r="F270" s="383" t="s">
        <v>1600</v>
      </c>
      <c r="G270" s="382" t="s">
        <v>1604</v>
      </c>
      <c r="H270" s="317" t="s">
        <v>422</v>
      </c>
      <c r="I270" s="356">
        <v>1.5</v>
      </c>
      <c r="J270" s="317">
        <v>7</v>
      </c>
      <c r="K270" s="317">
        <v>0</v>
      </c>
      <c r="L270" s="212">
        <v>1</v>
      </c>
      <c r="M270" s="212">
        <f t="shared" si="40"/>
        <v>9.5</v>
      </c>
      <c r="N270" s="212">
        <f t="shared" si="41"/>
        <v>12</v>
      </c>
      <c r="O270" s="212">
        <f t="shared" si="42"/>
        <v>28</v>
      </c>
      <c r="P270" s="212">
        <f t="shared" si="43"/>
        <v>0</v>
      </c>
      <c r="Q270" s="212">
        <f t="shared" si="44"/>
        <v>8</v>
      </c>
      <c r="R270" s="212">
        <f t="shared" si="45"/>
        <v>48</v>
      </c>
      <c r="S270" s="384" t="s">
        <v>1390</v>
      </c>
      <c r="T270" s="384" t="s">
        <v>1391</v>
      </c>
      <c r="U270" s="280">
        <v>217</v>
      </c>
      <c r="V270" s="280">
        <f>82+48+54+33</f>
        <v>217</v>
      </c>
      <c r="W270" s="280">
        <f>82+48+54+33</f>
        <v>217</v>
      </c>
      <c r="X270" s="374">
        <v>44137</v>
      </c>
      <c r="Y270" s="374">
        <v>44180</v>
      </c>
      <c r="Z270" s="276">
        <v>44281</v>
      </c>
      <c r="AA270" s="273">
        <f t="shared" si="46"/>
        <v>2021</v>
      </c>
      <c r="AB270" s="273">
        <f t="shared" si="47"/>
        <v>3</v>
      </c>
      <c r="AC270" s="278" t="s">
        <v>920</v>
      </c>
      <c r="AD270" s="278" t="s">
        <v>422</v>
      </c>
      <c r="AE270" s="278" t="s">
        <v>422</v>
      </c>
      <c r="AF270" s="278" t="s">
        <v>422</v>
      </c>
      <c r="AG270" s="278" t="s">
        <v>422</v>
      </c>
      <c r="AH270" s="278" t="s">
        <v>422</v>
      </c>
      <c r="AI270" s="278" t="s">
        <v>423</v>
      </c>
      <c r="AJ270" s="278" t="s">
        <v>422</v>
      </c>
      <c r="AK270" s="278" t="s">
        <v>423</v>
      </c>
      <c r="AL270" s="279" t="s">
        <v>1045</v>
      </c>
      <c r="AM270" s="241"/>
      <c r="AN270" s="241"/>
    </row>
    <row r="271" spans="1:40" ht="15" customHeight="1" x14ac:dyDescent="0.3">
      <c r="A271" s="185">
        <v>265</v>
      </c>
      <c r="B271" s="230" t="s">
        <v>1392</v>
      </c>
      <c r="C271" s="247" t="s">
        <v>1615</v>
      </c>
      <c r="D271" s="200" t="s">
        <v>1881</v>
      </c>
      <c r="E271" s="381" t="s">
        <v>1596</v>
      </c>
      <c r="F271" s="383" t="s">
        <v>1600</v>
      </c>
      <c r="G271" s="382" t="s">
        <v>1604</v>
      </c>
      <c r="H271" s="317" t="s">
        <v>422</v>
      </c>
      <c r="I271" s="356">
        <v>1.5</v>
      </c>
      <c r="J271" s="317">
        <v>6.5</v>
      </c>
      <c r="K271" s="317">
        <v>0</v>
      </c>
      <c r="L271" s="212">
        <v>1</v>
      </c>
      <c r="M271" s="212">
        <f t="shared" si="40"/>
        <v>9</v>
      </c>
      <c r="N271" s="212">
        <f t="shared" si="41"/>
        <v>12</v>
      </c>
      <c r="O271" s="212">
        <f t="shared" si="42"/>
        <v>26</v>
      </c>
      <c r="P271" s="212">
        <f t="shared" si="43"/>
        <v>0</v>
      </c>
      <c r="Q271" s="212">
        <f t="shared" si="44"/>
        <v>8</v>
      </c>
      <c r="R271" s="212">
        <f t="shared" si="45"/>
        <v>46</v>
      </c>
      <c r="S271" s="384" t="s">
        <v>1394</v>
      </c>
      <c r="T271" s="384" t="s">
        <v>1395</v>
      </c>
      <c r="U271" s="280">
        <v>107</v>
      </c>
      <c r="V271" s="280">
        <v>107</v>
      </c>
      <c r="W271" s="280">
        <v>107</v>
      </c>
      <c r="X271" s="374">
        <v>44137</v>
      </c>
      <c r="Y271" s="374">
        <v>44180</v>
      </c>
      <c r="Z271" s="276">
        <v>44281</v>
      </c>
      <c r="AA271" s="273">
        <f t="shared" si="46"/>
        <v>2021</v>
      </c>
      <c r="AB271" s="273">
        <f t="shared" si="47"/>
        <v>3</v>
      </c>
      <c r="AC271" s="278" t="s">
        <v>920</v>
      </c>
      <c r="AD271" s="278" t="s">
        <v>422</v>
      </c>
      <c r="AE271" s="278" t="s">
        <v>422</v>
      </c>
      <c r="AF271" s="278" t="s">
        <v>422</v>
      </c>
      <c r="AG271" s="278" t="s">
        <v>422</v>
      </c>
      <c r="AH271" s="278" t="s">
        <v>422</v>
      </c>
      <c r="AI271" s="278" t="s">
        <v>423</v>
      </c>
      <c r="AJ271" s="278" t="s">
        <v>422</v>
      </c>
      <c r="AK271" s="278" t="s">
        <v>423</v>
      </c>
      <c r="AL271" s="279" t="s">
        <v>1045</v>
      </c>
      <c r="AM271" s="241"/>
      <c r="AN271" s="241"/>
    </row>
    <row r="272" spans="1:40" ht="15" customHeight="1" x14ac:dyDescent="0.3">
      <c r="A272" s="185">
        <v>266</v>
      </c>
      <c r="B272" s="230" t="s">
        <v>1393</v>
      </c>
      <c r="C272" s="247" t="s">
        <v>1615</v>
      </c>
      <c r="D272" s="200" t="s">
        <v>1881</v>
      </c>
      <c r="E272" s="370" t="s">
        <v>1596</v>
      </c>
      <c r="F272" s="383" t="s">
        <v>1600</v>
      </c>
      <c r="G272" s="368" t="s">
        <v>1604</v>
      </c>
      <c r="H272" s="317" t="s">
        <v>422</v>
      </c>
      <c r="I272" s="356">
        <v>1.5</v>
      </c>
      <c r="J272" s="317">
        <v>9.5</v>
      </c>
      <c r="K272" s="317">
        <v>0</v>
      </c>
      <c r="L272" s="212">
        <v>1.5</v>
      </c>
      <c r="M272" s="212">
        <f t="shared" si="40"/>
        <v>12.5</v>
      </c>
      <c r="N272" s="212">
        <f t="shared" si="41"/>
        <v>12</v>
      </c>
      <c r="O272" s="212">
        <f t="shared" si="42"/>
        <v>38</v>
      </c>
      <c r="P272" s="212">
        <f t="shared" si="43"/>
        <v>0</v>
      </c>
      <c r="Q272" s="212">
        <f t="shared" si="44"/>
        <v>12</v>
      </c>
      <c r="R272" s="212">
        <f t="shared" si="45"/>
        <v>62</v>
      </c>
      <c r="S272" s="384" t="s">
        <v>1396</v>
      </c>
      <c r="T272" s="384" t="s">
        <v>1397</v>
      </c>
      <c r="U272" s="280">
        <v>224</v>
      </c>
      <c r="V272" s="280">
        <v>224</v>
      </c>
      <c r="W272" s="280">
        <v>224</v>
      </c>
      <c r="X272" s="374">
        <v>44137</v>
      </c>
      <c r="Y272" s="374">
        <v>44180</v>
      </c>
      <c r="Z272" s="276">
        <v>44281</v>
      </c>
      <c r="AA272" s="273">
        <f t="shared" si="46"/>
        <v>2021</v>
      </c>
      <c r="AB272" s="273">
        <f t="shared" si="47"/>
        <v>3</v>
      </c>
      <c r="AC272" s="278" t="s">
        <v>1435</v>
      </c>
      <c r="AD272" s="278" t="s">
        <v>422</v>
      </c>
      <c r="AE272" s="278" t="s">
        <v>422</v>
      </c>
      <c r="AF272" s="278" t="s">
        <v>422</v>
      </c>
      <c r="AG272" s="278" t="s">
        <v>422</v>
      </c>
      <c r="AH272" s="278" t="s">
        <v>422</v>
      </c>
      <c r="AI272" s="278" t="s">
        <v>423</v>
      </c>
      <c r="AJ272" s="278" t="s">
        <v>422</v>
      </c>
      <c r="AK272" s="278" t="s">
        <v>423</v>
      </c>
      <c r="AL272" s="279" t="s">
        <v>888</v>
      </c>
      <c r="AM272" s="241"/>
      <c r="AN272" s="245" t="s">
        <v>1434</v>
      </c>
    </row>
    <row r="273" spans="1:40" ht="15" customHeight="1" x14ac:dyDescent="0.3">
      <c r="A273" s="185">
        <v>268</v>
      </c>
      <c r="B273" s="230" t="s">
        <v>1399</v>
      </c>
      <c r="C273" s="247" t="s">
        <v>1615</v>
      </c>
      <c r="D273" s="200" t="s">
        <v>1881</v>
      </c>
      <c r="E273" s="370" t="s">
        <v>1596</v>
      </c>
      <c r="F273" s="383" t="s">
        <v>1600</v>
      </c>
      <c r="G273" s="368" t="s">
        <v>1604</v>
      </c>
      <c r="H273" s="317" t="s">
        <v>422</v>
      </c>
      <c r="I273" s="356">
        <v>1.5</v>
      </c>
      <c r="J273" s="317">
        <v>6</v>
      </c>
      <c r="K273" s="317">
        <v>0</v>
      </c>
      <c r="L273" s="212">
        <v>1</v>
      </c>
      <c r="M273" s="212">
        <f t="shared" si="40"/>
        <v>8.5</v>
      </c>
      <c r="N273" s="212">
        <f t="shared" si="41"/>
        <v>12</v>
      </c>
      <c r="O273" s="212">
        <f t="shared" si="42"/>
        <v>24</v>
      </c>
      <c r="P273" s="212">
        <f t="shared" si="43"/>
        <v>0</v>
      </c>
      <c r="Q273" s="212">
        <f t="shared" si="44"/>
        <v>8</v>
      </c>
      <c r="R273" s="212">
        <f t="shared" si="45"/>
        <v>44</v>
      </c>
      <c r="S273" s="384" t="s">
        <v>1402</v>
      </c>
      <c r="T273" s="384" t="s">
        <v>1403</v>
      </c>
      <c r="U273" s="280">
        <v>38</v>
      </c>
      <c r="V273" s="280">
        <v>38</v>
      </c>
      <c r="W273" s="280">
        <v>38</v>
      </c>
      <c r="X273" s="374">
        <v>44137</v>
      </c>
      <c r="Y273" s="374">
        <v>44180</v>
      </c>
      <c r="Z273" s="276">
        <v>44281</v>
      </c>
      <c r="AA273" s="273">
        <f t="shared" si="46"/>
        <v>2021</v>
      </c>
      <c r="AB273" s="273">
        <f t="shared" si="47"/>
        <v>3</v>
      </c>
      <c r="AC273" s="278" t="s">
        <v>920</v>
      </c>
      <c r="AD273" s="278" t="s">
        <v>422</v>
      </c>
      <c r="AE273" s="278" t="s">
        <v>422</v>
      </c>
      <c r="AF273" s="278" t="s">
        <v>422</v>
      </c>
      <c r="AG273" s="278" t="s">
        <v>422</v>
      </c>
      <c r="AH273" s="278" t="s">
        <v>422</v>
      </c>
      <c r="AI273" s="278" t="s">
        <v>423</v>
      </c>
      <c r="AJ273" s="278" t="s">
        <v>422</v>
      </c>
      <c r="AK273" s="278" t="s">
        <v>423</v>
      </c>
      <c r="AL273" s="279" t="s">
        <v>1372</v>
      </c>
      <c r="AM273" s="241"/>
      <c r="AN273" s="241"/>
    </row>
    <row r="274" spans="1:40" ht="15" customHeight="1" x14ac:dyDescent="0.3">
      <c r="A274" s="185">
        <v>277</v>
      </c>
      <c r="B274" s="230" t="s">
        <v>1436</v>
      </c>
      <c r="C274" s="247" t="s">
        <v>1618</v>
      </c>
      <c r="D274" s="200" t="s">
        <v>1881</v>
      </c>
      <c r="E274" s="381" t="s">
        <v>1596</v>
      </c>
      <c r="F274" s="383" t="s">
        <v>1598</v>
      </c>
      <c r="G274" s="368" t="s">
        <v>1604</v>
      </c>
      <c r="H274" s="248" t="s">
        <v>422</v>
      </c>
      <c r="I274" s="317">
        <v>1.2</v>
      </c>
      <c r="J274" s="317">
        <v>7</v>
      </c>
      <c r="K274" s="317">
        <v>0</v>
      </c>
      <c r="L274" s="212">
        <v>1.5</v>
      </c>
      <c r="M274" s="212">
        <f t="shared" si="40"/>
        <v>9.6999999999999993</v>
      </c>
      <c r="N274" s="212">
        <f t="shared" si="41"/>
        <v>9.6</v>
      </c>
      <c r="O274" s="212">
        <f t="shared" si="42"/>
        <v>28</v>
      </c>
      <c r="P274" s="212">
        <f t="shared" si="43"/>
        <v>0</v>
      </c>
      <c r="Q274" s="212">
        <f t="shared" si="44"/>
        <v>12</v>
      </c>
      <c r="R274" s="212">
        <f t="shared" si="45"/>
        <v>49.6</v>
      </c>
      <c r="S274" s="384" t="s">
        <v>1441</v>
      </c>
      <c r="T274" s="384" t="s">
        <v>1441</v>
      </c>
      <c r="U274" s="280">
        <v>40</v>
      </c>
      <c r="V274" s="280">
        <v>42</v>
      </c>
      <c r="W274" s="280">
        <v>42</v>
      </c>
      <c r="X274" s="374">
        <v>44215</v>
      </c>
      <c r="Y274" s="374">
        <v>44259</v>
      </c>
      <c r="Z274" s="276">
        <v>44268</v>
      </c>
      <c r="AA274" s="273">
        <f t="shared" si="46"/>
        <v>2021</v>
      </c>
      <c r="AB274" s="273">
        <f t="shared" si="47"/>
        <v>3</v>
      </c>
      <c r="AC274" s="278" t="s">
        <v>920</v>
      </c>
      <c r="AD274" s="278" t="s">
        <v>422</v>
      </c>
      <c r="AE274" s="278" t="s">
        <v>423</v>
      </c>
      <c r="AF274" s="278" t="s">
        <v>422</v>
      </c>
      <c r="AG274" s="278" t="s">
        <v>422</v>
      </c>
      <c r="AH274" s="278" t="s">
        <v>423</v>
      </c>
      <c r="AI274" s="278" t="s">
        <v>423</v>
      </c>
      <c r="AJ274" s="278" t="s">
        <v>423</v>
      </c>
      <c r="AK274" s="278" t="s">
        <v>423</v>
      </c>
      <c r="AL274" s="279" t="s">
        <v>1240</v>
      </c>
      <c r="AM274" s="241"/>
      <c r="AN274" s="241"/>
    </row>
    <row r="275" spans="1:40" ht="15" customHeight="1" x14ac:dyDescent="0.3">
      <c r="A275" s="185">
        <v>278</v>
      </c>
      <c r="B275" s="230" t="s">
        <v>1437</v>
      </c>
      <c r="C275" s="247" t="s">
        <v>1618</v>
      </c>
      <c r="D275" s="200" t="s">
        <v>1881</v>
      </c>
      <c r="E275" s="381" t="s">
        <v>1596</v>
      </c>
      <c r="F275" s="383" t="s">
        <v>1598</v>
      </c>
      <c r="G275" s="368" t="s">
        <v>1604</v>
      </c>
      <c r="H275" s="248" t="s">
        <v>422</v>
      </c>
      <c r="I275" s="317">
        <v>1.2</v>
      </c>
      <c r="J275" s="317">
        <v>6</v>
      </c>
      <c r="K275" s="317">
        <v>0</v>
      </c>
      <c r="L275" s="212">
        <v>1</v>
      </c>
      <c r="M275" s="212">
        <f t="shared" si="40"/>
        <v>8.1999999999999993</v>
      </c>
      <c r="N275" s="212">
        <f t="shared" si="41"/>
        <v>9.6</v>
      </c>
      <c r="O275" s="212">
        <f t="shared" si="42"/>
        <v>24</v>
      </c>
      <c r="P275" s="212">
        <f t="shared" si="43"/>
        <v>0</v>
      </c>
      <c r="Q275" s="212">
        <f t="shared" si="44"/>
        <v>8</v>
      </c>
      <c r="R275" s="212">
        <f t="shared" si="45"/>
        <v>41.6</v>
      </c>
      <c r="S275" s="384" t="s">
        <v>1439</v>
      </c>
      <c r="T275" s="384" t="s">
        <v>1439</v>
      </c>
      <c r="U275" s="280">
        <v>133</v>
      </c>
      <c r="V275" s="280">
        <v>137</v>
      </c>
      <c r="W275" s="280">
        <v>137</v>
      </c>
      <c r="X275" s="374">
        <v>44215</v>
      </c>
      <c r="Y275" s="374">
        <v>44259</v>
      </c>
      <c r="Z275" s="276">
        <v>44268</v>
      </c>
      <c r="AA275" s="273">
        <f t="shared" si="46"/>
        <v>2021</v>
      </c>
      <c r="AB275" s="273">
        <f t="shared" si="47"/>
        <v>3</v>
      </c>
      <c r="AC275" s="278" t="s">
        <v>920</v>
      </c>
      <c r="AD275" s="278" t="s">
        <v>422</v>
      </c>
      <c r="AE275" s="278" t="s">
        <v>423</v>
      </c>
      <c r="AF275" s="278" t="s">
        <v>422</v>
      </c>
      <c r="AG275" s="278" t="s">
        <v>422</v>
      </c>
      <c r="AH275" s="278" t="s">
        <v>423</v>
      </c>
      <c r="AI275" s="278" t="s">
        <v>423</v>
      </c>
      <c r="AJ275" s="278" t="s">
        <v>423</v>
      </c>
      <c r="AK275" s="278" t="s">
        <v>423</v>
      </c>
      <c r="AL275" s="279" t="s">
        <v>1240</v>
      </c>
      <c r="AM275" s="241"/>
      <c r="AN275" s="241"/>
    </row>
    <row r="276" spans="1:40" ht="15" customHeight="1" x14ac:dyDescent="0.3">
      <c r="A276" s="185">
        <v>279</v>
      </c>
      <c r="B276" s="230" t="s">
        <v>1438</v>
      </c>
      <c r="C276" s="247" t="s">
        <v>1618</v>
      </c>
      <c r="D276" s="200" t="s">
        <v>1881</v>
      </c>
      <c r="E276" s="381" t="s">
        <v>1596</v>
      </c>
      <c r="F276" s="383" t="s">
        <v>1598</v>
      </c>
      <c r="G276" s="368" t="s">
        <v>1604</v>
      </c>
      <c r="H276" s="248" t="s">
        <v>422</v>
      </c>
      <c r="I276" s="317">
        <v>1.8</v>
      </c>
      <c r="J276" s="317">
        <v>13</v>
      </c>
      <c r="K276" s="317">
        <v>0</v>
      </c>
      <c r="L276" s="212">
        <v>1</v>
      </c>
      <c r="M276" s="212">
        <f t="shared" si="40"/>
        <v>15.8</v>
      </c>
      <c r="N276" s="212">
        <f t="shared" si="41"/>
        <v>14.4</v>
      </c>
      <c r="O276" s="212">
        <f t="shared" si="42"/>
        <v>52</v>
      </c>
      <c r="P276" s="212">
        <f t="shared" si="43"/>
        <v>0</v>
      </c>
      <c r="Q276" s="212">
        <f t="shared" si="44"/>
        <v>8</v>
      </c>
      <c r="R276" s="212">
        <f t="shared" si="45"/>
        <v>74.400000000000006</v>
      </c>
      <c r="S276" s="384" t="s">
        <v>1440</v>
      </c>
      <c r="T276" s="384" t="s">
        <v>1440</v>
      </c>
      <c r="U276" s="280">
        <v>98</v>
      </c>
      <c r="V276" s="280">
        <v>102</v>
      </c>
      <c r="W276" s="280">
        <v>102</v>
      </c>
      <c r="X276" s="374">
        <v>44215</v>
      </c>
      <c r="Y276" s="374">
        <v>44259</v>
      </c>
      <c r="Z276" s="276">
        <v>44268</v>
      </c>
      <c r="AA276" s="273">
        <f t="shared" si="46"/>
        <v>2021</v>
      </c>
      <c r="AB276" s="273">
        <f t="shared" si="47"/>
        <v>3</v>
      </c>
      <c r="AC276" s="278" t="s">
        <v>920</v>
      </c>
      <c r="AD276" s="278" t="s">
        <v>422</v>
      </c>
      <c r="AE276" s="278" t="s">
        <v>422</v>
      </c>
      <c r="AF276" s="278" t="s">
        <v>422</v>
      </c>
      <c r="AG276" s="278" t="s">
        <v>422</v>
      </c>
      <c r="AH276" s="278" t="s">
        <v>422</v>
      </c>
      <c r="AI276" s="278" t="s">
        <v>423</v>
      </c>
      <c r="AJ276" s="278" t="s">
        <v>423</v>
      </c>
      <c r="AK276" s="278" t="s">
        <v>423</v>
      </c>
      <c r="AL276" s="279" t="s">
        <v>1240</v>
      </c>
      <c r="AM276" s="241"/>
      <c r="AN276" s="241"/>
    </row>
    <row r="277" spans="1:40" ht="15" customHeight="1" x14ac:dyDescent="0.3">
      <c r="A277" s="185">
        <v>280</v>
      </c>
      <c r="B277" s="230" t="s">
        <v>1446</v>
      </c>
      <c r="C277" s="247" t="s">
        <v>1620</v>
      </c>
      <c r="D277" s="200" t="s">
        <v>1881</v>
      </c>
      <c r="E277" s="230" t="s">
        <v>422</v>
      </c>
      <c r="F277" s="383" t="s">
        <v>1599</v>
      </c>
      <c r="G277" s="368" t="s">
        <v>1604</v>
      </c>
      <c r="H277" s="248" t="s">
        <v>1596</v>
      </c>
      <c r="I277" s="317">
        <v>1.5</v>
      </c>
      <c r="J277" s="361">
        <v>12</v>
      </c>
      <c r="K277" s="317">
        <v>0</v>
      </c>
      <c r="L277" s="212">
        <v>1</v>
      </c>
      <c r="M277" s="212">
        <f t="shared" si="40"/>
        <v>14.5</v>
      </c>
      <c r="N277" s="212">
        <f t="shared" si="41"/>
        <v>12</v>
      </c>
      <c r="O277" s="212">
        <f t="shared" si="42"/>
        <v>48</v>
      </c>
      <c r="P277" s="212">
        <f t="shared" si="43"/>
        <v>0</v>
      </c>
      <c r="Q277" s="212">
        <f t="shared" si="44"/>
        <v>8</v>
      </c>
      <c r="R277" s="212">
        <f t="shared" si="45"/>
        <v>68</v>
      </c>
      <c r="S277" s="384" t="s">
        <v>1451</v>
      </c>
      <c r="T277" s="384" t="s">
        <v>1451</v>
      </c>
      <c r="U277" s="280">
        <v>32</v>
      </c>
      <c r="V277" s="280">
        <v>32</v>
      </c>
      <c r="W277" s="280">
        <v>32</v>
      </c>
      <c r="X277" s="374">
        <v>37646</v>
      </c>
      <c r="Y277" s="374">
        <v>44280</v>
      </c>
      <c r="Z277" s="276">
        <v>44268</v>
      </c>
      <c r="AA277" s="273">
        <f t="shared" si="46"/>
        <v>2021</v>
      </c>
      <c r="AB277" s="273">
        <f t="shared" si="47"/>
        <v>3</v>
      </c>
      <c r="AC277" s="278" t="s">
        <v>920</v>
      </c>
      <c r="AD277" s="278" t="s">
        <v>422</v>
      </c>
      <c r="AE277" s="278" t="s">
        <v>422</v>
      </c>
      <c r="AF277" s="278" t="s">
        <v>422</v>
      </c>
      <c r="AG277" s="278" t="s">
        <v>422</v>
      </c>
      <c r="AH277" s="278" t="s">
        <v>422</v>
      </c>
      <c r="AI277" s="278" t="s">
        <v>423</v>
      </c>
      <c r="AJ277" s="278" t="s">
        <v>422</v>
      </c>
      <c r="AK277" s="278" t="s">
        <v>423</v>
      </c>
      <c r="AL277" s="279" t="s">
        <v>138</v>
      </c>
      <c r="AM277" s="241"/>
      <c r="AN277" s="241"/>
    </row>
    <row r="278" spans="1:40" ht="15" customHeight="1" x14ac:dyDescent="0.3">
      <c r="A278" s="185">
        <v>281</v>
      </c>
      <c r="B278" s="230" t="s">
        <v>1447</v>
      </c>
      <c r="C278" s="247" t="s">
        <v>1620</v>
      </c>
      <c r="D278" s="200" t="s">
        <v>1881</v>
      </c>
      <c r="E278" s="230" t="s">
        <v>422</v>
      </c>
      <c r="F278" s="383" t="s">
        <v>1599</v>
      </c>
      <c r="G278" s="368" t="s">
        <v>1604</v>
      </c>
      <c r="H278" s="248" t="s">
        <v>1596</v>
      </c>
      <c r="I278" s="317">
        <v>1.5</v>
      </c>
      <c r="J278" s="361">
        <v>12</v>
      </c>
      <c r="K278" s="317">
        <v>0</v>
      </c>
      <c r="L278" s="212">
        <v>1</v>
      </c>
      <c r="M278" s="212">
        <f t="shared" si="40"/>
        <v>14.5</v>
      </c>
      <c r="N278" s="212">
        <f t="shared" si="41"/>
        <v>12</v>
      </c>
      <c r="O278" s="212">
        <f t="shared" si="42"/>
        <v>48</v>
      </c>
      <c r="P278" s="212">
        <f t="shared" si="43"/>
        <v>0</v>
      </c>
      <c r="Q278" s="212">
        <f t="shared" si="44"/>
        <v>8</v>
      </c>
      <c r="R278" s="212">
        <f t="shared" si="45"/>
        <v>68</v>
      </c>
      <c r="S278" s="384" t="s">
        <v>1452</v>
      </c>
      <c r="T278" s="384" t="s">
        <v>1452</v>
      </c>
      <c r="U278" s="280">
        <v>32</v>
      </c>
      <c r="V278" s="280">
        <v>32</v>
      </c>
      <c r="W278" s="280">
        <v>32</v>
      </c>
      <c r="X278" s="374">
        <v>37646</v>
      </c>
      <c r="Y278" s="374">
        <v>44280</v>
      </c>
      <c r="Z278" s="276">
        <v>44268</v>
      </c>
      <c r="AA278" s="273">
        <f t="shared" si="46"/>
        <v>2021</v>
      </c>
      <c r="AB278" s="273">
        <f t="shared" si="47"/>
        <v>3</v>
      </c>
      <c r="AC278" s="278" t="s">
        <v>920</v>
      </c>
      <c r="AD278" s="278" t="s">
        <v>422</v>
      </c>
      <c r="AE278" s="278" t="s">
        <v>422</v>
      </c>
      <c r="AF278" s="278" t="s">
        <v>422</v>
      </c>
      <c r="AG278" s="278" t="s">
        <v>422</v>
      </c>
      <c r="AH278" s="278" t="s">
        <v>422</v>
      </c>
      <c r="AI278" s="278" t="s">
        <v>423</v>
      </c>
      <c r="AJ278" s="278" t="s">
        <v>422</v>
      </c>
      <c r="AK278" s="278" t="s">
        <v>423</v>
      </c>
      <c r="AL278" s="279" t="s">
        <v>138</v>
      </c>
      <c r="AM278" s="241"/>
      <c r="AN278" s="241"/>
    </row>
    <row r="279" spans="1:40" ht="15" customHeight="1" x14ac:dyDescent="0.3">
      <c r="A279" s="185">
        <v>282</v>
      </c>
      <c r="B279" s="230" t="s">
        <v>1448</v>
      </c>
      <c r="C279" s="247" t="s">
        <v>1620</v>
      </c>
      <c r="D279" s="200" t="s">
        <v>1881</v>
      </c>
      <c r="E279" s="230"/>
      <c r="F279" s="383" t="s">
        <v>1599</v>
      </c>
      <c r="G279" s="368" t="s">
        <v>1604</v>
      </c>
      <c r="H279" s="248" t="s">
        <v>1596</v>
      </c>
      <c r="I279" s="317">
        <v>1</v>
      </c>
      <c r="J279" s="361">
        <v>6</v>
      </c>
      <c r="K279" s="317">
        <v>0</v>
      </c>
      <c r="L279" s="212">
        <v>1</v>
      </c>
      <c r="M279" s="212">
        <f t="shared" si="40"/>
        <v>8</v>
      </c>
      <c r="N279" s="212">
        <f t="shared" si="41"/>
        <v>8</v>
      </c>
      <c r="O279" s="212">
        <f t="shared" si="42"/>
        <v>24</v>
      </c>
      <c r="P279" s="212">
        <f t="shared" si="43"/>
        <v>0</v>
      </c>
      <c r="Q279" s="212">
        <f t="shared" si="44"/>
        <v>8</v>
      </c>
      <c r="R279" s="212">
        <f t="shared" si="45"/>
        <v>40</v>
      </c>
      <c r="S279" s="384" t="s">
        <v>1453</v>
      </c>
      <c r="T279" s="384" t="s">
        <v>1453</v>
      </c>
      <c r="U279" s="280">
        <v>64</v>
      </c>
      <c r="V279" s="280">
        <v>64</v>
      </c>
      <c r="W279" s="280">
        <v>64</v>
      </c>
      <c r="X279" s="374">
        <v>37646</v>
      </c>
      <c r="Y279" s="374">
        <v>44280</v>
      </c>
      <c r="Z279" s="276">
        <v>44268</v>
      </c>
      <c r="AA279" s="273">
        <f t="shared" si="46"/>
        <v>2021</v>
      </c>
      <c r="AB279" s="273">
        <f t="shared" si="47"/>
        <v>3</v>
      </c>
      <c r="AC279" s="278" t="s">
        <v>920</v>
      </c>
      <c r="AD279" s="278" t="s">
        <v>422</v>
      </c>
      <c r="AE279" s="278" t="s">
        <v>423</v>
      </c>
      <c r="AF279" s="278" t="s">
        <v>422</v>
      </c>
      <c r="AG279" s="278" t="s">
        <v>422</v>
      </c>
      <c r="AH279" s="278" t="s">
        <v>423</v>
      </c>
      <c r="AI279" s="278" t="s">
        <v>423</v>
      </c>
      <c r="AJ279" s="278" t="s">
        <v>423</v>
      </c>
      <c r="AK279" s="278" t="s">
        <v>423</v>
      </c>
      <c r="AL279" s="279" t="s">
        <v>138</v>
      </c>
      <c r="AM279" s="241"/>
      <c r="AN279" s="241"/>
    </row>
    <row r="280" spans="1:40" ht="15" customHeight="1" x14ac:dyDescent="0.3">
      <c r="A280" s="185">
        <v>283</v>
      </c>
      <c r="B280" s="230" t="s">
        <v>1449</v>
      </c>
      <c r="C280" s="247" t="s">
        <v>1620</v>
      </c>
      <c r="D280" s="200" t="s">
        <v>1881</v>
      </c>
      <c r="E280" s="383" t="s">
        <v>422</v>
      </c>
      <c r="F280" s="383" t="s">
        <v>1599</v>
      </c>
      <c r="G280" s="368" t="s">
        <v>1604</v>
      </c>
      <c r="H280" s="248" t="s">
        <v>1596</v>
      </c>
      <c r="I280" s="317">
        <v>1</v>
      </c>
      <c r="J280" s="317">
        <v>6</v>
      </c>
      <c r="K280" s="317">
        <v>0</v>
      </c>
      <c r="L280" s="212">
        <v>1</v>
      </c>
      <c r="M280" s="212">
        <f t="shared" si="40"/>
        <v>8</v>
      </c>
      <c r="N280" s="212">
        <f t="shared" si="41"/>
        <v>8</v>
      </c>
      <c r="O280" s="212">
        <f t="shared" si="42"/>
        <v>24</v>
      </c>
      <c r="P280" s="212">
        <f t="shared" si="43"/>
        <v>0</v>
      </c>
      <c r="Q280" s="212">
        <f t="shared" si="44"/>
        <v>8</v>
      </c>
      <c r="R280" s="212">
        <f t="shared" si="45"/>
        <v>40</v>
      </c>
      <c r="S280" s="384" t="s">
        <v>1454</v>
      </c>
      <c r="T280" s="384" t="s">
        <v>1454</v>
      </c>
      <c r="U280" s="280">
        <v>32</v>
      </c>
      <c r="V280" s="280">
        <v>32</v>
      </c>
      <c r="W280" s="280">
        <v>32</v>
      </c>
      <c r="X280" s="374">
        <v>37646</v>
      </c>
      <c r="Y280" s="374">
        <v>44280</v>
      </c>
      <c r="Z280" s="276">
        <v>44268</v>
      </c>
      <c r="AA280" s="273">
        <f t="shared" si="46"/>
        <v>2021</v>
      </c>
      <c r="AB280" s="273">
        <f t="shared" si="47"/>
        <v>3</v>
      </c>
      <c r="AC280" s="278" t="s">
        <v>920</v>
      </c>
      <c r="AD280" s="278" t="s">
        <v>422</v>
      </c>
      <c r="AE280" s="278" t="s">
        <v>423</v>
      </c>
      <c r="AF280" s="278" t="s">
        <v>422</v>
      </c>
      <c r="AG280" s="278" t="s">
        <v>422</v>
      </c>
      <c r="AH280" s="278" t="s">
        <v>423</v>
      </c>
      <c r="AI280" s="278" t="s">
        <v>423</v>
      </c>
      <c r="AJ280" s="278" t="s">
        <v>423</v>
      </c>
      <c r="AK280" s="278" t="s">
        <v>423</v>
      </c>
      <c r="AL280" s="279" t="s">
        <v>138</v>
      </c>
      <c r="AM280" s="241"/>
      <c r="AN280" s="241"/>
    </row>
    <row r="281" spans="1:40" ht="15" customHeight="1" x14ac:dyDescent="0.3">
      <c r="A281" s="185">
        <v>285</v>
      </c>
      <c r="B281" s="230" t="s">
        <v>1455</v>
      </c>
      <c r="C281" s="247" t="s">
        <v>1618</v>
      </c>
      <c r="D281" s="200" t="s">
        <v>1881</v>
      </c>
      <c r="E281" s="383"/>
      <c r="F281" s="383" t="s">
        <v>1601</v>
      </c>
      <c r="G281" s="368" t="s">
        <v>1604</v>
      </c>
      <c r="H281" s="248" t="s">
        <v>422</v>
      </c>
      <c r="I281" s="317">
        <v>1.2</v>
      </c>
      <c r="J281" s="317">
        <v>7.5</v>
      </c>
      <c r="K281" s="317">
        <v>0</v>
      </c>
      <c r="L281" s="212">
        <v>1.5</v>
      </c>
      <c r="M281" s="212">
        <f t="shared" si="40"/>
        <v>10.199999999999999</v>
      </c>
      <c r="N281" s="212">
        <f t="shared" si="41"/>
        <v>9.6</v>
      </c>
      <c r="O281" s="212">
        <f t="shared" si="42"/>
        <v>30</v>
      </c>
      <c r="P281" s="212">
        <f t="shared" si="43"/>
        <v>0</v>
      </c>
      <c r="Q281" s="212">
        <f t="shared" si="44"/>
        <v>12</v>
      </c>
      <c r="R281" s="212">
        <f t="shared" si="45"/>
        <v>51.6</v>
      </c>
      <c r="S281" s="384" t="s">
        <v>1461</v>
      </c>
      <c r="T281" s="384" t="s">
        <v>1460</v>
      </c>
      <c r="U281" s="280">
        <v>186</v>
      </c>
      <c r="V281" s="280">
        <v>192</v>
      </c>
      <c r="W281" s="280">
        <v>192</v>
      </c>
      <c r="X281" s="374">
        <v>44240</v>
      </c>
      <c r="Y281" s="374">
        <v>44259</v>
      </c>
      <c r="Z281" s="276">
        <v>44268</v>
      </c>
      <c r="AA281" s="273">
        <f t="shared" si="46"/>
        <v>2021</v>
      </c>
      <c r="AB281" s="273">
        <f t="shared" si="47"/>
        <v>3</v>
      </c>
      <c r="AC281" s="278" t="s">
        <v>920</v>
      </c>
      <c r="AD281" s="278" t="s">
        <v>422</v>
      </c>
      <c r="AE281" s="278" t="s">
        <v>422</v>
      </c>
      <c r="AF281" s="278" t="s">
        <v>422</v>
      </c>
      <c r="AG281" s="278" t="s">
        <v>422</v>
      </c>
      <c r="AH281" s="278" t="s">
        <v>422</v>
      </c>
      <c r="AI281" s="278" t="s">
        <v>423</v>
      </c>
      <c r="AJ281" s="278" t="s">
        <v>422</v>
      </c>
      <c r="AK281" s="278" t="s">
        <v>423</v>
      </c>
      <c r="AL281" s="279" t="s">
        <v>1240</v>
      </c>
      <c r="AM281" s="241"/>
      <c r="AN281" s="241"/>
    </row>
    <row r="282" spans="1:40" ht="15" customHeight="1" x14ac:dyDescent="0.3">
      <c r="A282" s="185">
        <v>286</v>
      </c>
      <c r="B282" s="230" t="s">
        <v>1456</v>
      </c>
      <c r="C282" s="247" t="s">
        <v>1618</v>
      </c>
      <c r="D282" s="200" t="s">
        <v>1881</v>
      </c>
      <c r="E282" s="381" t="s">
        <v>1596</v>
      </c>
      <c r="F282" s="383" t="s">
        <v>1601</v>
      </c>
      <c r="G282" s="368" t="s">
        <v>1604</v>
      </c>
      <c r="H282" s="248" t="s">
        <v>422</v>
      </c>
      <c r="I282" s="317">
        <v>1.5</v>
      </c>
      <c r="J282" s="317">
        <v>13</v>
      </c>
      <c r="K282" s="317">
        <v>0</v>
      </c>
      <c r="L282" s="212">
        <v>1</v>
      </c>
      <c r="M282" s="212">
        <f t="shared" si="40"/>
        <v>15.5</v>
      </c>
      <c r="N282" s="212">
        <f t="shared" si="41"/>
        <v>12</v>
      </c>
      <c r="O282" s="212">
        <f t="shared" si="42"/>
        <v>52</v>
      </c>
      <c r="P282" s="212">
        <f t="shared" si="43"/>
        <v>0</v>
      </c>
      <c r="Q282" s="212">
        <f t="shared" si="44"/>
        <v>8</v>
      </c>
      <c r="R282" s="212">
        <f t="shared" si="45"/>
        <v>72</v>
      </c>
      <c r="S282" s="384" t="s">
        <v>1458</v>
      </c>
      <c r="T282" s="384" t="s">
        <v>1462</v>
      </c>
      <c r="U282" s="280">
        <v>60</v>
      </c>
      <c r="V282" s="280">
        <v>62</v>
      </c>
      <c r="W282" s="280">
        <v>62</v>
      </c>
      <c r="X282" s="374">
        <v>44240</v>
      </c>
      <c r="Y282" s="374">
        <v>44259</v>
      </c>
      <c r="Z282" s="276">
        <v>44268</v>
      </c>
      <c r="AA282" s="273">
        <f t="shared" si="46"/>
        <v>2021</v>
      </c>
      <c r="AB282" s="273">
        <f t="shared" si="47"/>
        <v>3</v>
      </c>
      <c r="AC282" s="278" t="s">
        <v>920</v>
      </c>
      <c r="AD282" s="278" t="s">
        <v>422</v>
      </c>
      <c r="AE282" s="278" t="s">
        <v>422</v>
      </c>
      <c r="AF282" s="278" t="s">
        <v>422</v>
      </c>
      <c r="AG282" s="278" t="s">
        <v>422</v>
      </c>
      <c r="AH282" s="278" t="s">
        <v>422</v>
      </c>
      <c r="AI282" s="278" t="s">
        <v>423</v>
      </c>
      <c r="AJ282" s="278" t="s">
        <v>423</v>
      </c>
      <c r="AK282" s="278" t="s">
        <v>423</v>
      </c>
      <c r="AL282" s="279" t="s">
        <v>1240</v>
      </c>
      <c r="AM282" s="241"/>
      <c r="AN282" s="242" t="s">
        <v>1579</v>
      </c>
    </row>
    <row r="283" spans="1:40" ht="15" customHeight="1" x14ac:dyDescent="0.3">
      <c r="A283" s="185">
        <v>288</v>
      </c>
      <c r="B283" s="230" t="s">
        <v>1457</v>
      </c>
      <c r="C283" s="247" t="s">
        <v>1618</v>
      </c>
      <c r="D283" s="200" t="s">
        <v>1881</v>
      </c>
      <c r="E283" s="381" t="s">
        <v>1596</v>
      </c>
      <c r="F283" s="383" t="s">
        <v>1601</v>
      </c>
      <c r="G283" s="368" t="s">
        <v>1604</v>
      </c>
      <c r="H283" s="248" t="s">
        <v>422</v>
      </c>
      <c r="I283" s="317">
        <v>1.5</v>
      </c>
      <c r="J283" s="317">
        <v>13</v>
      </c>
      <c r="K283" s="317">
        <v>0</v>
      </c>
      <c r="L283" s="212">
        <v>1</v>
      </c>
      <c r="M283" s="212">
        <f t="shared" si="40"/>
        <v>15.5</v>
      </c>
      <c r="N283" s="212">
        <f t="shared" si="41"/>
        <v>12</v>
      </c>
      <c r="O283" s="212">
        <f t="shared" si="42"/>
        <v>52</v>
      </c>
      <c r="P283" s="212">
        <f t="shared" si="43"/>
        <v>0</v>
      </c>
      <c r="Q283" s="212">
        <f t="shared" si="44"/>
        <v>8</v>
      </c>
      <c r="R283" s="212">
        <f t="shared" si="45"/>
        <v>72</v>
      </c>
      <c r="S283" s="384" t="s">
        <v>1459</v>
      </c>
      <c r="T283" s="384" t="s">
        <v>1463</v>
      </c>
      <c r="U283" s="280">
        <v>60</v>
      </c>
      <c r="V283" s="280">
        <v>62</v>
      </c>
      <c r="W283" s="280">
        <v>62</v>
      </c>
      <c r="X283" s="374">
        <v>44240</v>
      </c>
      <c r="Y283" s="374">
        <v>44259</v>
      </c>
      <c r="Z283" s="276">
        <v>44268</v>
      </c>
      <c r="AA283" s="273">
        <f t="shared" si="46"/>
        <v>2021</v>
      </c>
      <c r="AB283" s="273">
        <f t="shared" si="47"/>
        <v>3</v>
      </c>
      <c r="AC283" s="278" t="s">
        <v>920</v>
      </c>
      <c r="AD283" s="278" t="s">
        <v>422</v>
      </c>
      <c r="AE283" s="278" t="s">
        <v>422</v>
      </c>
      <c r="AF283" s="278" t="s">
        <v>422</v>
      </c>
      <c r="AG283" s="278" t="s">
        <v>422</v>
      </c>
      <c r="AH283" s="278" t="s">
        <v>422</v>
      </c>
      <c r="AI283" s="278" t="s">
        <v>423</v>
      </c>
      <c r="AJ283" s="278" t="s">
        <v>423</v>
      </c>
      <c r="AK283" s="278" t="s">
        <v>423</v>
      </c>
      <c r="AL283" s="279" t="s">
        <v>1240</v>
      </c>
      <c r="AM283" s="241"/>
      <c r="AN283" s="241"/>
    </row>
    <row r="284" spans="1:40" ht="15" customHeight="1" x14ac:dyDescent="0.3">
      <c r="A284" s="185">
        <v>289</v>
      </c>
      <c r="B284" s="230" t="s">
        <v>1442</v>
      </c>
      <c r="C284" s="247" t="s">
        <v>1618</v>
      </c>
      <c r="D284" s="200" t="s">
        <v>1881</v>
      </c>
      <c r="E284" s="381" t="s">
        <v>1596</v>
      </c>
      <c r="F284" s="383" t="s">
        <v>1599</v>
      </c>
      <c r="G284" s="368" t="s">
        <v>1604</v>
      </c>
      <c r="H284" s="248" t="s">
        <v>422</v>
      </c>
      <c r="I284" s="317">
        <v>1.2</v>
      </c>
      <c r="J284" s="317">
        <v>7.5</v>
      </c>
      <c r="K284" s="317">
        <v>0</v>
      </c>
      <c r="L284" s="212">
        <v>1</v>
      </c>
      <c r="M284" s="212">
        <f t="shared" si="40"/>
        <v>9.6999999999999993</v>
      </c>
      <c r="N284" s="212">
        <f t="shared" si="41"/>
        <v>9.6</v>
      </c>
      <c r="O284" s="212">
        <f t="shared" si="42"/>
        <v>30</v>
      </c>
      <c r="P284" s="212">
        <f t="shared" si="43"/>
        <v>0</v>
      </c>
      <c r="Q284" s="212">
        <f t="shared" si="44"/>
        <v>8</v>
      </c>
      <c r="R284" s="212">
        <f t="shared" si="45"/>
        <v>47.6</v>
      </c>
      <c r="S284" s="384" t="s">
        <v>1443</v>
      </c>
      <c r="T284" s="384" t="s">
        <v>1443</v>
      </c>
      <c r="U284" s="280">
        <v>62</v>
      </c>
      <c r="V284" s="280">
        <v>64</v>
      </c>
      <c r="W284" s="280">
        <v>64</v>
      </c>
      <c r="X284" s="374">
        <v>44215</v>
      </c>
      <c r="Y284" s="374">
        <v>44259</v>
      </c>
      <c r="Z284" s="276">
        <v>44268</v>
      </c>
      <c r="AA284" s="273">
        <f t="shared" si="46"/>
        <v>2021</v>
      </c>
      <c r="AB284" s="273">
        <f t="shared" si="47"/>
        <v>3</v>
      </c>
      <c r="AC284" s="278" t="s">
        <v>920</v>
      </c>
      <c r="AD284" s="278" t="s">
        <v>422</v>
      </c>
      <c r="AE284" s="278" t="s">
        <v>423</v>
      </c>
      <c r="AF284" s="278" t="s">
        <v>422</v>
      </c>
      <c r="AG284" s="278" t="s">
        <v>422</v>
      </c>
      <c r="AH284" s="278" t="s">
        <v>423</v>
      </c>
      <c r="AI284" s="278" t="s">
        <v>423</v>
      </c>
      <c r="AJ284" s="278" t="s">
        <v>423</v>
      </c>
      <c r="AK284" s="278" t="s">
        <v>423</v>
      </c>
      <c r="AL284" s="279" t="s">
        <v>1240</v>
      </c>
      <c r="AM284" s="241"/>
      <c r="AN284" s="241"/>
    </row>
    <row r="285" spans="1:40" ht="15" customHeight="1" x14ac:dyDescent="0.3">
      <c r="A285" s="185">
        <v>290</v>
      </c>
      <c r="B285" s="230" t="s">
        <v>1466</v>
      </c>
      <c r="C285" s="247" t="s">
        <v>1615</v>
      </c>
      <c r="D285" s="200" t="s">
        <v>1881</v>
      </c>
      <c r="E285" s="381" t="s">
        <v>1596</v>
      </c>
      <c r="F285" s="383"/>
      <c r="G285" s="368" t="s">
        <v>1604</v>
      </c>
      <c r="H285" s="248" t="s">
        <v>422</v>
      </c>
      <c r="I285" s="356">
        <v>2</v>
      </c>
      <c r="J285" s="356">
        <v>7.5</v>
      </c>
      <c r="K285" s="317">
        <v>0</v>
      </c>
      <c r="L285" s="212">
        <v>1</v>
      </c>
      <c r="M285" s="212">
        <f t="shared" si="40"/>
        <v>10.5</v>
      </c>
      <c r="N285" s="212">
        <f t="shared" si="41"/>
        <v>16</v>
      </c>
      <c r="O285" s="212">
        <f t="shared" si="42"/>
        <v>30</v>
      </c>
      <c r="P285" s="212">
        <f t="shared" si="43"/>
        <v>0</v>
      </c>
      <c r="Q285" s="212">
        <f t="shared" si="44"/>
        <v>8</v>
      </c>
      <c r="R285" s="212">
        <f t="shared" si="45"/>
        <v>54</v>
      </c>
      <c r="S285" s="384" t="s">
        <v>1327</v>
      </c>
      <c r="T285" s="384" t="s">
        <v>1467</v>
      </c>
      <c r="U285" s="280">
        <v>54</v>
      </c>
      <c r="V285" s="280">
        <v>54</v>
      </c>
      <c r="W285" s="280">
        <v>54</v>
      </c>
      <c r="X285" s="374">
        <v>44253</v>
      </c>
      <c r="Y285" s="374">
        <v>44281</v>
      </c>
      <c r="Z285" s="276">
        <v>44281</v>
      </c>
      <c r="AA285" s="273">
        <f t="shared" si="46"/>
        <v>2021</v>
      </c>
      <c r="AB285" s="273">
        <f t="shared" si="47"/>
        <v>3</v>
      </c>
      <c r="AC285" s="278" t="s">
        <v>920</v>
      </c>
      <c r="AD285" s="278" t="s">
        <v>422</v>
      </c>
      <c r="AE285" s="278" t="s">
        <v>422</v>
      </c>
      <c r="AF285" s="278" t="s">
        <v>422</v>
      </c>
      <c r="AG285" s="278" t="s">
        <v>422</v>
      </c>
      <c r="AH285" s="278" t="s">
        <v>422</v>
      </c>
      <c r="AI285" s="278" t="s">
        <v>423</v>
      </c>
      <c r="AJ285" s="278" t="s">
        <v>422</v>
      </c>
      <c r="AK285" s="278" t="s">
        <v>423</v>
      </c>
      <c r="AL285" s="279" t="s">
        <v>140</v>
      </c>
      <c r="AM285" s="241"/>
      <c r="AN285" s="241"/>
    </row>
    <row r="286" spans="1:40" ht="15" customHeight="1" x14ac:dyDescent="0.3">
      <c r="A286" s="185">
        <v>284</v>
      </c>
      <c r="B286" s="230" t="s">
        <v>1450</v>
      </c>
      <c r="C286" s="247" t="s">
        <v>1618</v>
      </c>
      <c r="D286" s="200" t="s">
        <v>1881</v>
      </c>
      <c r="E286" s="230"/>
      <c r="F286" s="383" t="s">
        <v>1601</v>
      </c>
      <c r="G286" s="368" t="s">
        <v>1604</v>
      </c>
      <c r="H286" s="248" t="s">
        <v>422</v>
      </c>
      <c r="I286" s="317">
        <v>12</v>
      </c>
      <c r="J286" s="317">
        <v>8.1999999999999993</v>
      </c>
      <c r="K286" s="317">
        <v>0</v>
      </c>
      <c r="L286" s="212">
        <v>1.5</v>
      </c>
      <c r="M286" s="212">
        <f t="shared" si="40"/>
        <v>21.7</v>
      </c>
      <c r="N286" s="212">
        <f t="shared" si="41"/>
        <v>96</v>
      </c>
      <c r="O286" s="212">
        <f t="shared" si="42"/>
        <v>32.799999999999997</v>
      </c>
      <c r="P286" s="212">
        <f t="shared" si="43"/>
        <v>0</v>
      </c>
      <c r="Q286" s="212">
        <f t="shared" si="44"/>
        <v>12</v>
      </c>
      <c r="R286" s="212">
        <f t="shared" si="45"/>
        <v>140.80000000000001</v>
      </c>
      <c r="S286" s="384" t="s">
        <v>1465</v>
      </c>
      <c r="T286" s="384" t="s">
        <v>1464</v>
      </c>
      <c r="U286" s="280">
        <v>180</v>
      </c>
      <c r="V286" s="280">
        <v>186</v>
      </c>
      <c r="W286" s="280">
        <v>186</v>
      </c>
      <c r="X286" s="374">
        <v>44232</v>
      </c>
      <c r="Y286" s="374">
        <v>44301</v>
      </c>
      <c r="Z286" s="276">
        <v>44316</v>
      </c>
      <c r="AA286" s="273">
        <f t="shared" si="46"/>
        <v>2021</v>
      </c>
      <c r="AB286" s="273">
        <f t="shared" si="47"/>
        <v>4</v>
      </c>
      <c r="AC286" s="278" t="s">
        <v>920</v>
      </c>
      <c r="AD286" s="278" t="s">
        <v>422</v>
      </c>
      <c r="AE286" s="278" t="s">
        <v>422</v>
      </c>
      <c r="AF286" s="278" t="s">
        <v>422</v>
      </c>
      <c r="AG286" s="278" t="s">
        <v>422</v>
      </c>
      <c r="AH286" s="278" t="s">
        <v>422</v>
      </c>
      <c r="AI286" s="278" t="s">
        <v>423</v>
      </c>
      <c r="AJ286" s="278" t="s">
        <v>423</v>
      </c>
      <c r="AK286" s="278" t="s">
        <v>423</v>
      </c>
      <c r="AL286" s="279" t="s">
        <v>1240</v>
      </c>
      <c r="AM286" s="241"/>
      <c r="AN286" s="241"/>
    </row>
    <row r="287" spans="1:40" ht="15" customHeight="1" x14ac:dyDescent="0.3">
      <c r="A287" s="185">
        <v>287</v>
      </c>
      <c r="B287" s="230" t="s">
        <v>1456</v>
      </c>
      <c r="C287" s="247" t="s">
        <v>1618</v>
      </c>
      <c r="D287" s="200" t="s">
        <v>1881</v>
      </c>
      <c r="E287" s="370" t="s">
        <v>1596</v>
      </c>
      <c r="F287" s="383" t="s">
        <v>1601</v>
      </c>
      <c r="G287" s="368" t="s">
        <v>1604</v>
      </c>
      <c r="H287" s="381" t="s">
        <v>422</v>
      </c>
      <c r="I287" s="381">
        <v>1.5</v>
      </c>
      <c r="J287" s="383">
        <v>13</v>
      </c>
      <c r="K287" s="317">
        <v>0</v>
      </c>
      <c r="L287" s="212">
        <v>1</v>
      </c>
      <c r="M287" s="212">
        <f t="shared" si="40"/>
        <v>15.5</v>
      </c>
      <c r="N287" s="212">
        <f t="shared" si="41"/>
        <v>12</v>
      </c>
      <c r="O287" s="212">
        <f t="shared" si="42"/>
        <v>52</v>
      </c>
      <c r="P287" s="212">
        <f t="shared" si="43"/>
        <v>0</v>
      </c>
      <c r="Q287" s="212">
        <f t="shared" si="44"/>
        <v>8</v>
      </c>
      <c r="R287" s="212">
        <f t="shared" si="45"/>
        <v>72</v>
      </c>
      <c r="S287" s="384" t="s">
        <v>1458</v>
      </c>
      <c r="T287" s="384" t="s">
        <v>1462</v>
      </c>
      <c r="U287" s="280">
        <v>60</v>
      </c>
      <c r="V287" s="280">
        <v>62</v>
      </c>
      <c r="W287" s="280">
        <v>62</v>
      </c>
      <c r="X287" s="374">
        <v>44240</v>
      </c>
      <c r="Y287" s="374">
        <v>44259</v>
      </c>
      <c r="Z287" s="276">
        <v>44316</v>
      </c>
      <c r="AA287" s="273">
        <f t="shared" si="46"/>
        <v>2021</v>
      </c>
      <c r="AB287" s="273">
        <f t="shared" si="47"/>
        <v>4</v>
      </c>
      <c r="AC287" s="278" t="s">
        <v>920</v>
      </c>
      <c r="AD287" s="278" t="s">
        <v>422</v>
      </c>
      <c r="AE287" s="278" t="s">
        <v>422</v>
      </c>
      <c r="AF287" s="278" t="s">
        <v>422</v>
      </c>
      <c r="AG287" s="278" t="s">
        <v>422</v>
      </c>
      <c r="AH287" s="278" t="s">
        <v>422</v>
      </c>
      <c r="AI287" s="278" t="s">
        <v>423</v>
      </c>
      <c r="AJ287" s="278" t="s">
        <v>423</v>
      </c>
      <c r="AK287" s="278" t="s">
        <v>423</v>
      </c>
      <c r="AL287" s="279" t="s">
        <v>140</v>
      </c>
      <c r="AM287" s="241"/>
      <c r="AN287" s="242" t="s">
        <v>1578</v>
      </c>
    </row>
    <row r="288" spans="1:40" ht="15" customHeight="1" x14ac:dyDescent="0.3">
      <c r="A288" s="185">
        <v>322</v>
      </c>
      <c r="B288" s="230" t="s">
        <v>1503</v>
      </c>
      <c r="C288" s="247" t="s">
        <v>1618</v>
      </c>
      <c r="D288" s="200" t="s">
        <v>1881</v>
      </c>
      <c r="E288" s="230"/>
      <c r="F288" s="383" t="s">
        <v>1601</v>
      </c>
      <c r="G288" s="370" t="s">
        <v>1604</v>
      </c>
      <c r="H288" s="248" t="s">
        <v>422</v>
      </c>
      <c r="I288" s="317">
        <v>1</v>
      </c>
      <c r="J288" s="317">
        <v>6.8</v>
      </c>
      <c r="K288" s="317">
        <v>0</v>
      </c>
      <c r="L288" s="212">
        <v>1</v>
      </c>
      <c r="M288" s="212">
        <f t="shared" si="40"/>
        <v>8.8000000000000007</v>
      </c>
      <c r="N288" s="212">
        <f t="shared" si="41"/>
        <v>8</v>
      </c>
      <c r="O288" s="212">
        <f t="shared" si="42"/>
        <v>27.2</v>
      </c>
      <c r="P288" s="212">
        <f t="shared" si="43"/>
        <v>0</v>
      </c>
      <c r="Q288" s="212">
        <f t="shared" si="44"/>
        <v>8</v>
      </c>
      <c r="R288" s="212">
        <f t="shared" si="45"/>
        <v>43.2</v>
      </c>
      <c r="S288" s="384" t="s">
        <v>1513</v>
      </c>
      <c r="T288" s="384" t="s">
        <v>1512</v>
      </c>
      <c r="U288" s="280">
        <f>60*4</f>
        <v>240</v>
      </c>
      <c r="V288" s="280">
        <f>62*4</f>
        <v>248</v>
      </c>
      <c r="W288" s="280">
        <f>62*4</f>
        <v>248</v>
      </c>
      <c r="X288" s="374">
        <v>44278</v>
      </c>
      <c r="Y288" s="374">
        <v>44309</v>
      </c>
      <c r="Z288" s="276">
        <v>44316</v>
      </c>
      <c r="AA288" s="273">
        <f t="shared" si="46"/>
        <v>2021</v>
      </c>
      <c r="AB288" s="273">
        <f t="shared" si="47"/>
        <v>4</v>
      </c>
      <c r="AC288" s="278" t="s">
        <v>920</v>
      </c>
      <c r="AD288" s="278" t="s">
        <v>422</v>
      </c>
      <c r="AE288" s="278" t="s">
        <v>423</v>
      </c>
      <c r="AF288" s="278" t="s">
        <v>422</v>
      </c>
      <c r="AG288" s="278" t="s">
        <v>422</v>
      </c>
      <c r="AH288" s="278" t="s">
        <v>423</v>
      </c>
      <c r="AI288" s="278" t="s">
        <v>423</v>
      </c>
      <c r="AJ288" s="278" t="s">
        <v>423</v>
      </c>
      <c r="AK288" s="278" t="s">
        <v>423</v>
      </c>
      <c r="AL288" s="279" t="s">
        <v>1372</v>
      </c>
      <c r="AM288" s="241"/>
      <c r="AN288" s="241"/>
    </row>
    <row r="289" spans="1:40" ht="15" customHeight="1" x14ac:dyDescent="0.3">
      <c r="A289" s="185">
        <v>323</v>
      </c>
      <c r="B289" s="230" t="s">
        <v>1504</v>
      </c>
      <c r="C289" s="247" t="s">
        <v>1618</v>
      </c>
      <c r="D289" s="200" t="s">
        <v>1881</v>
      </c>
      <c r="E289" s="230"/>
      <c r="F289" s="383" t="s">
        <v>1601</v>
      </c>
      <c r="G289" s="370" t="s">
        <v>1604</v>
      </c>
      <c r="H289" s="248" t="s">
        <v>422</v>
      </c>
      <c r="I289" s="317">
        <v>1.2</v>
      </c>
      <c r="J289" s="317">
        <v>7.5</v>
      </c>
      <c r="K289" s="317">
        <v>0</v>
      </c>
      <c r="L289" s="212">
        <v>1.5</v>
      </c>
      <c r="M289" s="212">
        <f t="shared" si="40"/>
        <v>10.199999999999999</v>
      </c>
      <c r="N289" s="212">
        <f t="shared" si="41"/>
        <v>9.6</v>
      </c>
      <c r="O289" s="212">
        <f t="shared" si="42"/>
        <v>30</v>
      </c>
      <c r="P289" s="212">
        <f t="shared" si="43"/>
        <v>0</v>
      </c>
      <c r="Q289" s="212">
        <f t="shared" si="44"/>
        <v>12</v>
      </c>
      <c r="R289" s="212">
        <f t="shared" si="45"/>
        <v>51.6</v>
      </c>
      <c r="S289" s="384" t="s">
        <v>1514</v>
      </c>
      <c r="T289" s="384" t="s">
        <v>1515</v>
      </c>
      <c r="U289" s="280">
        <v>240</v>
      </c>
      <c r="V289" s="280">
        <f>62*4</f>
        <v>248</v>
      </c>
      <c r="W289" s="280">
        <f>62*4</f>
        <v>248</v>
      </c>
      <c r="X289" s="374">
        <v>44278</v>
      </c>
      <c r="Y289" s="374">
        <v>44309</v>
      </c>
      <c r="Z289" s="276">
        <v>44316</v>
      </c>
      <c r="AA289" s="273">
        <f t="shared" si="46"/>
        <v>2021</v>
      </c>
      <c r="AB289" s="273">
        <f t="shared" si="47"/>
        <v>4</v>
      </c>
      <c r="AC289" s="278" t="s">
        <v>920</v>
      </c>
      <c r="AD289" s="278" t="s">
        <v>422</v>
      </c>
      <c r="AE289" s="278" t="s">
        <v>423</v>
      </c>
      <c r="AF289" s="278" t="s">
        <v>422</v>
      </c>
      <c r="AG289" s="278" t="s">
        <v>422</v>
      </c>
      <c r="AH289" s="278" t="s">
        <v>423</v>
      </c>
      <c r="AI289" s="278" t="s">
        <v>423</v>
      </c>
      <c r="AJ289" s="278" t="s">
        <v>423</v>
      </c>
      <c r="AK289" s="278" t="s">
        <v>423</v>
      </c>
      <c r="AL289" s="279" t="s">
        <v>1240</v>
      </c>
      <c r="AM289" s="241"/>
      <c r="AN289" s="241"/>
    </row>
    <row r="290" spans="1:40" ht="15" customHeight="1" x14ac:dyDescent="0.3">
      <c r="A290" s="185">
        <v>327</v>
      </c>
      <c r="B290" s="230" t="s">
        <v>1552</v>
      </c>
      <c r="C290" s="247" t="s">
        <v>1616</v>
      </c>
      <c r="D290" s="200" t="s">
        <v>1848</v>
      </c>
      <c r="E290" s="370" t="s">
        <v>1596</v>
      </c>
      <c r="F290" s="383" t="s">
        <v>1597</v>
      </c>
      <c r="G290" s="370" t="s">
        <v>1953</v>
      </c>
      <c r="H290" s="248" t="s">
        <v>422</v>
      </c>
      <c r="I290" s="317">
        <v>2</v>
      </c>
      <c r="J290" s="356">
        <v>9</v>
      </c>
      <c r="K290" s="356">
        <v>10</v>
      </c>
      <c r="L290" s="212">
        <v>1</v>
      </c>
      <c r="M290" s="212">
        <f t="shared" si="40"/>
        <v>22</v>
      </c>
      <c r="N290" s="212">
        <f t="shared" si="41"/>
        <v>16</v>
      </c>
      <c r="O290" s="212">
        <f t="shared" si="42"/>
        <v>36</v>
      </c>
      <c r="P290" s="212">
        <f t="shared" si="43"/>
        <v>66.666666666666671</v>
      </c>
      <c r="Q290" s="212">
        <f t="shared" si="44"/>
        <v>8</v>
      </c>
      <c r="R290" s="212">
        <f t="shared" si="45"/>
        <v>126.66666666666667</v>
      </c>
      <c r="S290" s="384" t="s">
        <v>1560</v>
      </c>
      <c r="T290" s="384" t="s">
        <v>1559</v>
      </c>
      <c r="U290" s="280">
        <v>7</v>
      </c>
      <c r="V290" s="280">
        <v>8</v>
      </c>
      <c r="W290" s="280">
        <v>8</v>
      </c>
      <c r="X290" s="374">
        <v>44293</v>
      </c>
      <c r="Y290" s="374">
        <v>44298</v>
      </c>
      <c r="Z290" s="276">
        <v>44318</v>
      </c>
      <c r="AA290" s="273">
        <f t="shared" si="46"/>
        <v>2021</v>
      </c>
      <c r="AB290" s="273">
        <f t="shared" si="47"/>
        <v>5</v>
      </c>
      <c r="AC290" s="278" t="s">
        <v>920</v>
      </c>
      <c r="AD290" s="278" t="s">
        <v>422</v>
      </c>
      <c r="AE290" s="278" t="s">
        <v>422</v>
      </c>
      <c r="AF290" s="278" t="s">
        <v>422</v>
      </c>
      <c r="AG290" s="278" t="s">
        <v>422</v>
      </c>
      <c r="AH290" s="278" t="s">
        <v>422</v>
      </c>
      <c r="AI290" s="278" t="s">
        <v>422</v>
      </c>
      <c r="AJ290" s="278" t="s">
        <v>423</v>
      </c>
      <c r="AK290" s="278" t="s">
        <v>423</v>
      </c>
      <c r="AL290" s="279" t="s">
        <v>1424</v>
      </c>
      <c r="AM290" s="241"/>
      <c r="AN290" s="242" t="s">
        <v>1581</v>
      </c>
    </row>
    <row r="291" spans="1:40" s="295" customFormat="1" ht="15" customHeight="1" x14ac:dyDescent="0.3">
      <c r="A291" s="185">
        <v>328</v>
      </c>
      <c r="B291" s="230" t="s">
        <v>1553</v>
      </c>
      <c r="C291" s="247" t="s">
        <v>1616</v>
      </c>
      <c r="D291" s="199" t="s">
        <v>1848</v>
      </c>
      <c r="E291" s="370" t="s">
        <v>1596</v>
      </c>
      <c r="F291" s="383" t="s">
        <v>1597</v>
      </c>
      <c r="G291" s="370" t="s">
        <v>1953</v>
      </c>
      <c r="H291" s="248">
        <v>12</v>
      </c>
      <c r="I291" s="317">
        <v>2</v>
      </c>
      <c r="J291" s="356">
        <v>9</v>
      </c>
      <c r="K291" s="356">
        <v>10</v>
      </c>
      <c r="L291" s="212">
        <v>1</v>
      </c>
      <c r="M291" s="212">
        <f t="shared" si="40"/>
        <v>22</v>
      </c>
      <c r="N291" s="212">
        <f t="shared" si="41"/>
        <v>16</v>
      </c>
      <c r="O291" s="212">
        <f t="shared" si="42"/>
        <v>36</v>
      </c>
      <c r="P291" s="212">
        <f t="shared" si="43"/>
        <v>66.666666666666671</v>
      </c>
      <c r="Q291" s="212">
        <f t="shared" si="44"/>
        <v>8</v>
      </c>
      <c r="R291" s="212">
        <f t="shared" si="45"/>
        <v>126.66666666666667</v>
      </c>
      <c r="S291" s="384" t="s">
        <v>1567</v>
      </c>
      <c r="T291" s="384" t="s">
        <v>1571</v>
      </c>
      <c r="U291" s="280">
        <v>7</v>
      </c>
      <c r="V291" s="280">
        <v>8</v>
      </c>
      <c r="W291" s="280">
        <v>8</v>
      </c>
      <c r="X291" s="374">
        <v>44293</v>
      </c>
      <c r="Y291" s="374">
        <v>44298</v>
      </c>
      <c r="Z291" s="276">
        <v>44318</v>
      </c>
      <c r="AA291" s="273">
        <f t="shared" si="46"/>
        <v>2021</v>
      </c>
      <c r="AB291" s="273">
        <f t="shared" si="47"/>
        <v>5</v>
      </c>
      <c r="AC291" s="278" t="s">
        <v>920</v>
      </c>
      <c r="AD291" s="278" t="s">
        <v>422</v>
      </c>
      <c r="AE291" s="278" t="s">
        <v>422</v>
      </c>
      <c r="AF291" s="278" t="s">
        <v>422</v>
      </c>
      <c r="AG291" s="278" t="s">
        <v>422</v>
      </c>
      <c r="AH291" s="278" t="s">
        <v>422</v>
      </c>
      <c r="AI291" s="278" t="s">
        <v>422</v>
      </c>
      <c r="AJ291" s="278" t="s">
        <v>423</v>
      </c>
      <c r="AK291" s="278" t="s">
        <v>423</v>
      </c>
      <c r="AL291" s="279" t="s">
        <v>1424</v>
      </c>
      <c r="AM291" s="241"/>
      <c r="AN291" s="242" t="s">
        <v>1581</v>
      </c>
    </row>
    <row r="292" spans="1:40" s="295" customFormat="1" ht="15" customHeight="1" x14ac:dyDescent="0.3">
      <c r="A292" s="185">
        <v>329</v>
      </c>
      <c r="B292" s="230" t="s">
        <v>1554</v>
      </c>
      <c r="C292" s="247" t="s">
        <v>1616</v>
      </c>
      <c r="D292" s="199" t="s">
        <v>1848</v>
      </c>
      <c r="E292" s="370" t="s">
        <v>1596</v>
      </c>
      <c r="F292" s="383" t="s">
        <v>1597</v>
      </c>
      <c r="G292" s="370" t="s">
        <v>1953</v>
      </c>
      <c r="H292" s="248" t="s">
        <v>422</v>
      </c>
      <c r="I292" s="317">
        <v>2</v>
      </c>
      <c r="J292" s="317">
        <v>9</v>
      </c>
      <c r="K292" s="356">
        <v>10</v>
      </c>
      <c r="L292" s="212">
        <v>1</v>
      </c>
      <c r="M292" s="212">
        <f t="shared" si="40"/>
        <v>22</v>
      </c>
      <c r="N292" s="212">
        <f t="shared" si="41"/>
        <v>16</v>
      </c>
      <c r="O292" s="212">
        <f t="shared" si="42"/>
        <v>36</v>
      </c>
      <c r="P292" s="212">
        <f t="shared" si="43"/>
        <v>66.666666666666671</v>
      </c>
      <c r="Q292" s="212">
        <f t="shared" si="44"/>
        <v>8</v>
      </c>
      <c r="R292" s="212">
        <f t="shared" si="45"/>
        <v>126.66666666666667</v>
      </c>
      <c r="S292" s="384" t="s">
        <v>1562</v>
      </c>
      <c r="T292" s="384" t="s">
        <v>1572</v>
      </c>
      <c r="U292" s="280">
        <v>7</v>
      </c>
      <c r="V292" s="280">
        <v>8</v>
      </c>
      <c r="W292" s="280">
        <v>8</v>
      </c>
      <c r="X292" s="374">
        <v>44293</v>
      </c>
      <c r="Y292" s="374">
        <v>44298</v>
      </c>
      <c r="Z292" s="276">
        <v>44318</v>
      </c>
      <c r="AA292" s="273">
        <f t="shared" si="46"/>
        <v>2021</v>
      </c>
      <c r="AB292" s="273">
        <f t="shared" si="47"/>
        <v>5</v>
      </c>
      <c r="AC292" s="278" t="s">
        <v>920</v>
      </c>
      <c r="AD292" s="278" t="s">
        <v>422</v>
      </c>
      <c r="AE292" s="278" t="s">
        <v>422</v>
      </c>
      <c r="AF292" s="278" t="s">
        <v>422</v>
      </c>
      <c r="AG292" s="278" t="s">
        <v>422</v>
      </c>
      <c r="AH292" s="278" t="s">
        <v>422</v>
      </c>
      <c r="AI292" s="278" t="s">
        <v>422</v>
      </c>
      <c r="AJ292" s="278" t="s">
        <v>423</v>
      </c>
      <c r="AK292" s="278" t="s">
        <v>423</v>
      </c>
      <c r="AL292" s="279" t="s">
        <v>1424</v>
      </c>
      <c r="AM292" s="241"/>
      <c r="AN292" s="242" t="s">
        <v>1581</v>
      </c>
    </row>
    <row r="293" spans="1:40" s="295" customFormat="1" ht="15" customHeight="1" x14ac:dyDescent="0.3">
      <c r="A293" s="185">
        <v>330</v>
      </c>
      <c r="B293" s="230" t="s">
        <v>1555</v>
      </c>
      <c r="C293" s="247" t="s">
        <v>1616</v>
      </c>
      <c r="D293" s="199" t="s">
        <v>1848</v>
      </c>
      <c r="E293" s="370" t="s">
        <v>1596</v>
      </c>
      <c r="F293" s="383" t="s">
        <v>1597</v>
      </c>
      <c r="G293" s="370" t="s">
        <v>1953</v>
      </c>
      <c r="H293" s="248"/>
      <c r="I293" s="317">
        <v>2</v>
      </c>
      <c r="J293" s="356">
        <v>9</v>
      </c>
      <c r="K293" s="356">
        <v>10</v>
      </c>
      <c r="L293" s="212">
        <v>1</v>
      </c>
      <c r="M293" s="212">
        <f t="shared" si="40"/>
        <v>22</v>
      </c>
      <c r="N293" s="212">
        <f t="shared" si="41"/>
        <v>16</v>
      </c>
      <c r="O293" s="212">
        <f t="shared" si="42"/>
        <v>36</v>
      </c>
      <c r="P293" s="212">
        <f t="shared" si="43"/>
        <v>66.666666666666671</v>
      </c>
      <c r="Q293" s="212">
        <f t="shared" si="44"/>
        <v>8</v>
      </c>
      <c r="R293" s="212">
        <f t="shared" si="45"/>
        <v>126.66666666666667</v>
      </c>
      <c r="S293" s="384" t="s">
        <v>1569</v>
      </c>
      <c r="T293" s="384" t="s">
        <v>1575</v>
      </c>
      <c r="U293" s="280">
        <v>7</v>
      </c>
      <c r="V293" s="280">
        <v>8</v>
      </c>
      <c r="W293" s="280">
        <v>8</v>
      </c>
      <c r="X293" s="374">
        <v>44293</v>
      </c>
      <c r="Y293" s="374">
        <v>44298</v>
      </c>
      <c r="Z293" s="276">
        <v>44318</v>
      </c>
      <c r="AA293" s="273">
        <f t="shared" si="46"/>
        <v>2021</v>
      </c>
      <c r="AB293" s="273">
        <f t="shared" si="47"/>
        <v>5</v>
      </c>
      <c r="AC293" s="278" t="s">
        <v>920</v>
      </c>
      <c r="AD293" s="278" t="s">
        <v>422</v>
      </c>
      <c r="AE293" s="278" t="s">
        <v>422</v>
      </c>
      <c r="AF293" s="278" t="s">
        <v>422</v>
      </c>
      <c r="AG293" s="278" t="s">
        <v>422</v>
      </c>
      <c r="AH293" s="278" t="s">
        <v>422</v>
      </c>
      <c r="AI293" s="278" t="s">
        <v>422</v>
      </c>
      <c r="AJ293" s="278" t="s">
        <v>423</v>
      </c>
      <c r="AK293" s="278" t="s">
        <v>423</v>
      </c>
      <c r="AL293" s="279"/>
      <c r="AM293" s="241"/>
      <c r="AN293" s="242" t="s">
        <v>1581</v>
      </c>
    </row>
    <row r="294" spans="1:40" s="295" customFormat="1" ht="15" customHeight="1" x14ac:dyDescent="0.3">
      <c r="A294" s="185">
        <v>331</v>
      </c>
      <c r="B294" s="230" t="s">
        <v>1556</v>
      </c>
      <c r="C294" s="247" t="s">
        <v>1616</v>
      </c>
      <c r="D294" s="199" t="s">
        <v>1848</v>
      </c>
      <c r="E294" s="370" t="s">
        <v>1596</v>
      </c>
      <c r="F294" s="383" t="s">
        <v>1597</v>
      </c>
      <c r="G294" s="370" t="s">
        <v>1953</v>
      </c>
      <c r="H294" s="248"/>
      <c r="I294" s="317">
        <v>2</v>
      </c>
      <c r="J294" s="356">
        <v>9</v>
      </c>
      <c r="K294" s="356">
        <v>10</v>
      </c>
      <c r="L294" s="212">
        <v>1</v>
      </c>
      <c r="M294" s="212">
        <f t="shared" si="40"/>
        <v>22</v>
      </c>
      <c r="N294" s="212">
        <f t="shared" si="41"/>
        <v>16</v>
      </c>
      <c r="O294" s="212">
        <f t="shared" si="42"/>
        <v>36</v>
      </c>
      <c r="P294" s="212">
        <f t="shared" si="43"/>
        <v>66.666666666666671</v>
      </c>
      <c r="Q294" s="212">
        <f t="shared" si="44"/>
        <v>8</v>
      </c>
      <c r="R294" s="212">
        <f t="shared" si="45"/>
        <v>126.66666666666667</v>
      </c>
      <c r="S294" s="384" t="s">
        <v>1568</v>
      </c>
      <c r="T294" s="384" t="s">
        <v>1574</v>
      </c>
      <c r="U294" s="280">
        <v>7</v>
      </c>
      <c r="V294" s="280">
        <v>8</v>
      </c>
      <c r="W294" s="280">
        <v>8</v>
      </c>
      <c r="X294" s="374">
        <v>44293</v>
      </c>
      <c r="Y294" s="374">
        <v>44298</v>
      </c>
      <c r="Z294" s="276">
        <v>44318</v>
      </c>
      <c r="AA294" s="273">
        <f t="shared" si="46"/>
        <v>2021</v>
      </c>
      <c r="AB294" s="273">
        <f t="shared" si="47"/>
        <v>5</v>
      </c>
      <c r="AC294" s="278" t="s">
        <v>920</v>
      </c>
      <c r="AD294" s="278" t="s">
        <v>422</v>
      </c>
      <c r="AE294" s="278" t="s">
        <v>422</v>
      </c>
      <c r="AF294" s="278" t="s">
        <v>422</v>
      </c>
      <c r="AG294" s="278" t="s">
        <v>422</v>
      </c>
      <c r="AH294" s="278" t="s">
        <v>422</v>
      </c>
      <c r="AI294" s="278" t="s">
        <v>422</v>
      </c>
      <c r="AJ294" s="278" t="s">
        <v>422</v>
      </c>
      <c r="AK294" s="278" t="s">
        <v>423</v>
      </c>
      <c r="AL294" s="279"/>
      <c r="AM294" s="241"/>
      <c r="AN294" s="242" t="s">
        <v>1581</v>
      </c>
    </row>
    <row r="295" spans="1:40" s="295" customFormat="1" ht="15" customHeight="1" x14ac:dyDescent="0.3">
      <c r="A295" s="185">
        <v>332</v>
      </c>
      <c r="B295" s="230" t="s">
        <v>1557</v>
      </c>
      <c r="C295" s="247" t="s">
        <v>1616</v>
      </c>
      <c r="D295" s="199" t="s">
        <v>1848</v>
      </c>
      <c r="E295" s="370" t="s">
        <v>1596</v>
      </c>
      <c r="F295" s="383" t="s">
        <v>1597</v>
      </c>
      <c r="G295" s="370" t="s">
        <v>1953</v>
      </c>
      <c r="H295" s="248" t="s">
        <v>422</v>
      </c>
      <c r="I295" s="317">
        <v>2</v>
      </c>
      <c r="J295" s="317">
        <v>5.5</v>
      </c>
      <c r="K295" s="356">
        <v>6</v>
      </c>
      <c r="L295" s="212">
        <v>1</v>
      </c>
      <c r="M295" s="212">
        <f t="shared" si="40"/>
        <v>14.5</v>
      </c>
      <c r="N295" s="212">
        <f t="shared" si="41"/>
        <v>16</v>
      </c>
      <c r="O295" s="212">
        <f t="shared" si="42"/>
        <v>22</v>
      </c>
      <c r="P295" s="212">
        <f t="shared" si="43"/>
        <v>40</v>
      </c>
      <c r="Q295" s="212">
        <f t="shared" si="44"/>
        <v>8</v>
      </c>
      <c r="R295" s="212">
        <f t="shared" si="45"/>
        <v>86</v>
      </c>
      <c r="S295" s="384" t="s">
        <v>1563</v>
      </c>
      <c r="T295" s="384" t="s">
        <v>1573</v>
      </c>
      <c r="U295" s="280">
        <v>7</v>
      </c>
      <c r="V295" s="280">
        <v>8</v>
      </c>
      <c r="W295" s="280">
        <v>8</v>
      </c>
      <c r="X295" s="374">
        <v>44293</v>
      </c>
      <c r="Y295" s="374">
        <v>44298</v>
      </c>
      <c r="Z295" s="276">
        <v>44318</v>
      </c>
      <c r="AA295" s="273">
        <f t="shared" si="46"/>
        <v>2021</v>
      </c>
      <c r="AB295" s="273">
        <f t="shared" si="47"/>
        <v>5</v>
      </c>
      <c r="AC295" s="278" t="s">
        <v>920</v>
      </c>
      <c r="AD295" s="278" t="s">
        <v>422</v>
      </c>
      <c r="AE295" s="278" t="s">
        <v>422</v>
      </c>
      <c r="AF295" s="278" t="s">
        <v>422</v>
      </c>
      <c r="AG295" s="278" t="s">
        <v>422</v>
      </c>
      <c r="AH295" s="278" t="s">
        <v>423</v>
      </c>
      <c r="AI295" s="278" t="s">
        <v>422</v>
      </c>
      <c r="AJ295" s="278" t="s">
        <v>423</v>
      </c>
      <c r="AK295" s="278" t="s">
        <v>423</v>
      </c>
      <c r="AL295" s="279" t="s">
        <v>1424</v>
      </c>
      <c r="AM295" s="241"/>
      <c r="AN295" s="242" t="s">
        <v>1581</v>
      </c>
    </row>
    <row r="296" spans="1:40" s="295" customFormat="1" ht="15" customHeight="1" x14ac:dyDescent="0.3">
      <c r="A296" s="185">
        <v>333</v>
      </c>
      <c r="B296" s="230" t="s">
        <v>1558</v>
      </c>
      <c r="C296" s="247" t="s">
        <v>1616</v>
      </c>
      <c r="D296" s="199" t="s">
        <v>1848</v>
      </c>
      <c r="E296" s="370" t="s">
        <v>1596</v>
      </c>
      <c r="F296" s="383" t="s">
        <v>1597</v>
      </c>
      <c r="G296" s="370" t="s">
        <v>1953</v>
      </c>
      <c r="H296" s="248" t="s">
        <v>422</v>
      </c>
      <c r="I296" s="317">
        <v>1</v>
      </c>
      <c r="J296" s="317">
        <v>3.5</v>
      </c>
      <c r="K296" s="356">
        <v>5</v>
      </c>
      <c r="L296" s="212">
        <v>0.5</v>
      </c>
      <c r="M296" s="212">
        <f t="shared" si="40"/>
        <v>10</v>
      </c>
      <c r="N296" s="212">
        <f t="shared" si="41"/>
        <v>8</v>
      </c>
      <c r="O296" s="212">
        <f t="shared" si="42"/>
        <v>14</v>
      </c>
      <c r="P296" s="212">
        <f t="shared" si="43"/>
        <v>33.333333333333336</v>
      </c>
      <c r="Q296" s="212">
        <f t="shared" si="44"/>
        <v>4</v>
      </c>
      <c r="R296" s="212">
        <f t="shared" si="45"/>
        <v>59.333333333333336</v>
      </c>
      <c r="S296" s="384" t="s">
        <v>1564</v>
      </c>
      <c r="T296" s="384" t="s">
        <v>1576</v>
      </c>
      <c r="U296" s="280">
        <v>7</v>
      </c>
      <c r="V296" s="280">
        <v>8</v>
      </c>
      <c r="W296" s="280">
        <v>8</v>
      </c>
      <c r="X296" s="374">
        <v>44293</v>
      </c>
      <c r="Y296" s="374">
        <v>44298</v>
      </c>
      <c r="Z296" s="276">
        <v>44318</v>
      </c>
      <c r="AA296" s="273">
        <f t="shared" si="46"/>
        <v>2021</v>
      </c>
      <c r="AB296" s="273">
        <f t="shared" si="47"/>
        <v>5</v>
      </c>
      <c r="AC296" s="278" t="s">
        <v>920</v>
      </c>
      <c r="AD296" s="278" t="s">
        <v>422</v>
      </c>
      <c r="AE296" s="278" t="s">
        <v>422</v>
      </c>
      <c r="AF296" s="278" t="s">
        <v>422</v>
      </c>
      <c r="AG296" s="278" t="s">
        <v>422</v>
      </c>
      <c r="AH296" s="278" t="s">
        <v>423</v>
      </c>
      <c r="AI296" s="278" t="s">
        <v>422</v>
      </c>
      <c r="AJ296" s="278" t="s">
        <v>423</v>
      </c>
      <c r="AK296" s="278" t="s">
        <v>423</v>
      </c>
      <c r="AL296" s="279" t="s">
        <v>1424</v>
      </c>
      <c r="AM296" s="241"/>
      <c r="AN296" s="242" t="s">
        <v>1581</v>
      </c>
    </row>
    <row r="297" spans="1:40" s="295" customFormat="1" ht="15" customHeight="1" x14ac:dyDescent="0.3">
      <c r="A297" s="185">
        <v>334</v>
      </c>
      <c r="B297" s="230" t="s">
        <v>1561</v>
      </c>
      <c r="C297" s="247" t="s">
        <v>1616</v>
      </c>
      <c r="D297" s="199" t="s">
        <v>1848</v>
      </c>
      <c r="E297" s="370" t="s">
        <v>1596</v>
      </c>
      <c r="F297" s="383" t="s">
        <v>1597</v>
      </c>
      <c r="G297" s="370" t="s">
        <v>1953</v>
      </c>
      <c r="H297" s="248"/>
      <c r="I297" s="317">
        <v>1</v>
      </c>
      <c r="J297" s="356">
        <v>2.5</v>
      </c>
      <c r="K297" s="356">
        <v>5</v>
      </c>
      <c r="L297" s="212">
        <v>0.5</v>
      </c>
      <c r="M297" s="212">
        <f t="shared" si="40"/>
        <v>9</v>
      </c>
      <c r="N297" s="212">
        <f t="shared" si="41"/>
        <v>8</v>
      </c>
      <c r="O297" s="212">
        <f t="shared" si="42"/>
        <v>10</v>
      </c>
      <c r="P297" s="212">
        <f t="shared" si="43"/>
        <v>33.333333333333336</v>
      </c>
      <c r="Q297" s="212">
        <f t="shared" si="44"/>
        <v>4</v>
      </c>
      <c r="R297" s="212">
        <f t="shared" si="45"/>
        <v>55.333333333333336</v>
      </c>
      <c r="S297" s="384" t="s">
        <v>1565</v>
      </c>
      <c r="T297" s="384" t="s">
        <v>1816</v>
      </c>
      <c r="U297" s="280">
        <v>7</v>
      </c>
      <c r="V297" s="280">
        <v>8</v>
      </c>
      <c r="W297" s="280">
        <v>8</v>
      </c>
      <c r="X297" s="374">
        <v>44293</v>
      </c>
      <c r="Y297" s="374">
        <v>44298</v>
      </c>
      <c r="Z297" s="276">
        <v>44318</v>
      </c>
      <c r="AA297" s="273">
        <f t="shared" si="46"/>
        <v>2021</v>
      </c>
      <c r="AB297" s="273">
        <f t="shared" si="47"/>
        <v>5</v>
      </c>
      <c r="AC297" s="278" t="s">
        <v>920</v>
      </c>
      <c r="AD297" s="278" t="s">
        <v>422</v>
      </c>
      <c r="AE297" s="278" t="s">
        <v>422</v>
      </c>
      <c r="AF297" s="278" t="s">
        <v>422</v>
      </c>
      <c r="AG297" s="278" t="s">
        <v>422</v>
      </c>
      <c r="AH297" s="278" t="s">
        <v>423</v>
      </c>
      <c r="AI297" s="278" t="s">
        <v>422</v>
      </c>
      <c r="AJ297" s="278" t="s">
        <v>423</v>
      </c>
      <c r="AK297" s="278" t="s">
        <v>423</v>
      </c>
      <c r="AL297" s="279"/>
      <c r="AM297" s="241"/>
      <c r="AN297" s="242" t="s">
        <v>1581</v>
      </c>
    </row>
    <row r="298" spans="1:40" s="295" customFormat="1" ht="15" customHeight="1" x14ac:dyDescent="0.3">
      <c r="A298" s="185">
        <v>335</v>
      </c>
      <c r="B298" s="230" t="s">
        <v>1570</v>
      </c>
      <c r="C298" s="247" t="s">
        <v>1616</v>
      </c>
      <c r="D298" s="199" t="s">
        <v>1848</v>
      </c>
      <c r="E298" s="370" t="s">
        <v>1596</v>
      </c>
      <c r="F298" s="383" t="s">
        <v>1597</v>
      </c>
      <c r="G298" s="370" t="s">
        <v>1953</v>
      </c>
      <c r="H298" s="248"/>
      <c r="I298" s="317">
        <v>1</v>
      </c>
      <c r="J298" s="356">
        <v>2.5</v>
      </c>
      <c r="K298" s="356">
        <v>5</v>
      </c>
      <c r="L298" s="212">
        <v>0.5</v>
      </c>
      <c r="M298" s="212">
        <f t="shared" si="40"/>
        <v>9</v>
      </c>
      <c r="N298" s="212">
        <f t="shared" si="41"/>
        <v>8</v>
      </c>
      <c r="O298" s="212">
        <f t="shared" si="42"/>
        <v>10</v>
      </c>
      <c r="P298" s="212">
        <f t="shared" si="43"/>
        <v>33.333333333333336</v>
      </c>
      <c r="Q298" s="212">
        <f t="shared" si="44"/>
        <v>4</v>
      </c>
      <c r="R298" s="212">
        <f t="shared" si="45"/>
        <v>55.333333333333336</v>
      </c>
      <c r="S298" s="384" t="s">
        <v>1566</v>
      </c>
      <c r="T298" s="384" t="s">
        <v>1577</v>
      </c>
      <c r="U298" s="280">
        <v>7</v>
      </c>
      <c r="V298" s="280">
        <v>8</v>
      </c>
      <c r="W298" s="280">
        <v>8</v>
      </c>
      <c r="X298" s="374">
        <v>44293</v>
      </c>
      <c r="Y298" s="374">
        <v>44298</v>
      </c>
      <c r="Z298" s="276">
        <v>44318</v>
      </c>
      <c r="AA298" s="273">
        <f t="shared" si="46"/>
        <v>2021</v>
      </c>
      <c r="AB298" s="273">
        <f t="shared" si="47"/>
        <v>5</v>
      </c>
      <c r="AC298" s="278" t="s">
        <v>920</v>
      </c>
      <c r="AD298" s="278" t="s">
        <v>422</v>
      </c>
      <c r="AE298" s="278" t="s">
        <v>422</v>
      </c>
      <c r="AF298" s="278" t="s">
        <v>422</v>
      </c>
      <c r="AG298" s="278" t="s">
        <v>422</v>
      </c>
      <c r="AH298" s="278" t="s">
        <v>423</v>
      </c>
      <c r="AI298" s="278" t="s">
        <v>422</v>
      </c>
      <c r="AJ298" s="278" t="s">
        <v>423</v>
      </c>
      <c r="AK298" s="278" t="s">
        <v>423</v>
      </c>
      <c r="AL298" s="279"/>
      <c r="AM298" s="241"/>
      <c r="AN298" s="242" t="s">
        <v>1581</v>
      </c>
    </row>
    <row r="299" spans="1:40" s="295" customFormat="1" ht="15" customHeight="1" x14ac:dyDescent="0.3">
      <c r="A299" s="185">
        <v>274</v>
      </c>
      <c r="B299" s="230" t="s">
        <v>1409</v>
      </c>
      <c r="C299" s="247" t="s">
        <v>1621</v>
      </c>
      <c r="D299" s="200" t="s">
        <v>1881</v>
      </c>
      <c r="E299" s="230" t="s">
        <v>422</v>
      </c>
      <c r="F299" s="383" t="s">
        <v>1599</v>
      </c>
      <c r="G299" s="368" t="s">
        <v>1604</v>
      </c>
      <c r="H299" s="248" t="s">
        <v>422</v>
      </c>
      <c r="I299" s="317">
        <v>1</v>
      </c>
      <c r="J299" s="317">
        <v>5</v>
      </c>
      <c r="K299" s="317">
        <v>0</v>
      </c>
      <c r="L299" s="212">
        <v>1</v>
      </c>
      <c r="M299" s="212">
        <f t="shared" si="40"/>
        <v>7</v>
      </c>
      <c r="N299" s="212">
        <f t="shared" si="41"/>
        <v>8</v>
      </c>
      <c r="O299" s="212">
        <f t="shared" si="42"/>
        <v>20</v>
      </c>
      <c r="P299" s="212">
        <f t="shared" si="43"/>
        <v>0</v>
      </c>
      <c r="Q299" s="212">
        <f t="shared" si="44"/>
        <v>8</v>
      </c>
      <c r="R299" s="212">
        <f t="shared" si="45"/>
        <v>36</v>
      </c>
      <c r="S299" s="384" t="s">
        <v>1419</v>
      </c>
      <c r="T299" s="384" t="s">
        <v>1422</v>
      </c>
      <c r="U299" s="280">
        <v>32</v>
      </c>
      <c r="V299" s="280">
        <v>32</v>
      </c>
      <c r="W299" s="280">
        <v>32</v>
      </c>
      <c r="X299" s="374">
        <v>44176</v>
      </c>
      <c r="Y299" s="374">
        <v>44179</v>
      </c>
      <c r="Z299" s="276">
        <v>44320</v>
      </c>
      <c r="AA299" s="273">
        <f t="shared" si="46"/>
        <v>2021</v>
      </c>
      <c r="AB299" s="273">
        <f t="shared" si="47"/>
        <v>5</v>
      </c>
      <c r="AC299" s="278" t="s">
        <v>920</v>
      </c>
      <c r="AD299" s="278" t="s">
        <v>422</v>
      </c>
      <c r="AE299" s="278" t="s">
        <v>423</v>
      </c>
      <c r="AF299" s="278" t="s">
        <v>422</v>
      </c>
      <c r="AG299" s="278" t="s">
        <v>422</v>
      </c>
      <c r="AH299" s="278" t="s">
        <v>423</v>
      </c>
      <c r="AI299" s="278" t="s">
        <v>423</v>
      </c>
      <c r="AJ299" s="278" t="s">
        <v>423</v>
      </c>
      <c r="AK299" s="278" t="s">
        <v>423</v>
      </c>
      <c r="AL299" s="279" t="s">
        <v>1424</v>
      </c>
      <c r="AM299" s="241"/>
      <c r="AN299" s="241"/>
    </row>
    <row r="300" spans="1:40" s="295" customFormat="1" ht="15" customHeight="1" x14ac:dyDescent="0.3">
      <c r="A300" s="185">
        <v>275</v>
      </c>
      <c r="B300" s="230" t="s">
        <v>1410</v>
      </c>
      <c r="C300" s="247" t="s">
        <v>1621</v>
      </c>
      <c r="D300" s="200" t="s">
        <v>1881</v>
      </c>
      <c r="E300" s="230" t="s">
        <v>422</v>
      </c>
      <c r="F300" s="383" t="s">
        <v>1599</v>
      </c>
      <c r="G300" s="368" t="s">
        <v>1604</v>
      </c>
      <c r="H300" s="248" t="s">
        <v>422</v>
      </c>
      <c r="I300" s="317">
        <v>1</v>
      </c>
      <c r="J300" s="317">
        <v>6</v>
      </c>
      <c r="K300" s="317">
        <v>0</v>
      </c>
      <c r="L300" s="212">
        <v>1</v>
      </c>
      <c r="M300" s="212">
        <f t="shared" si="40"/>
        <v>8</v>
      </c>
      <c r="N300" s="212">
        <f t="shared" si="41"/>
        <v>8</v>
      </c>
      <c r="O300" s="212">
        <f t="shared" si="42"/>
        <v>24</v>
      </c>
      <c r="P300" s="212">
        <f t="shared" si="43"/>
        <v>0</v>
      </c>
      <c r="Q300" s="212">
        <f t="shared" si="44"/>
        <v>8</v>
      </c>
      <c r="R300" s="212">
        <f t="shared" si="45"/>
        <v>40</v>
      </c>
      <c r="S300" s="384" t="s">
        <v>1420</v>
      </c>
      <c r="T300" s="384" t="s">
        <v>1423</v>
      </c>
      <c r="U300" s="280">
        <v>32</v>
      </c>
      <c r="V300" s="280">
        <v>32</v>
      </c>
      <c r="W300" s="280">
        <v>32</v>
      </c>
      <c r="X300" s="374">
        <v>44176</v>
      </c>
      <c r="Y300" s="374">
        <v>44179</v>
      </c>
      <c r="Z300" s="276">
        <v>44320</v>
      </c>
      <c r="AA300" s="273">
        <f t="shared" si="46"/>
        <v>2021</v>
      </c>
      <c r="AB300" s="273">
        <f t="shared" si="47"/>
        <v>5</v>
      </c>
      <c r="AC300" s="278" t="s">
        <v>920</v>
      </c>
      <c r="AD300" s="278" t="s">
        <v>422</v>
      </c>
      <c r="AE300" s="278" t="s">
        <v>423</v>
      </c>
      <c r="AF300" s="278" t="s">
        <v>422</v>
      </c>
      <c r="AG300" s="278" t="s">
        <v>422</v>
      </c>
      <c r="AH300" s="278" t="s">
        <v>423</v>
      </c>
      <c r="AI300" s="278" t="s">
        <v>423</v>
      </c>
      <c r="AJ300" s="278" t="s">
        <v>423</v>
      </c>
      <c r="AK300" s="278" t="s">
        <v>423</v>
      </c>
      <c r="AL300" s="279" t="s">
        <v>1424</v>
      </c>
      <c r="AM300" s="241"/>
      <c r="AN300" s="241"/>
    </row>
    <row r="301" spans="1:40" s="295" customFormat="1" ht="15" customHeight="1" x14ac:dyDescent="0.3">
      <c r="A301" s="185">
        <v>276</v>
      </c>
      <c r="B301" s="230" t="s">
        <v>1411</v>
      </c>
      <c r="C301" s="247" t="s">
        <v>1621</v>
      </c>
      <c r="D301" s="200" t="s">
        <v>1881</v>
      </c>
      <c r="E301" s="230" t="s">
        <v>422</v>
      </c>
      <c r="F301" s="383" t="s">
        <v>1599</v>
      </c>
      <c r="G301" s="368" t="s">
        <v>1604</v>
      </c>
      <c r="H301" s="248" t="s">
        <v>422</v>
      </c>
      <c r="I301" s="317">
        <v>1</v>
      </c>
      <c r="J301" s="317">
        <v>7</v>
      </c>
      <c r="K301" s="317">
        <v>0</v>
      </c>
      <c r="L301" s="212">
        <v>1.5</v>
      </c>
      <c r="M301" s="212">
        <f t="shared" si="40"/>
        <v>9.5</v>
      </c>
      <c r="N301" s="212">
        <f t="shared" si="41"/>
        <v>8</v>
      </c>
      <c r="O301" s="212">
        <f t="shared" si="42"/>
        <v>28</v>
      </c>
      <c r="P301" s="212">
        <f t="shared" si="43"/>
        <v>0</v>
      </c>
      <c r="Q301" s="212">
        <f t="shared" si="44"/>
        <v>12</v>
      </c>
      <c r="R301" s="212">
        <f t="shared" si="45"/>
        <v>48</v>
      </c>
      <c r="S301" s="384" t="s">
        <v>1421</v>
      </c>
      <c r="T301" s="384" t="s">
        <v>1425</v>
      </c>
      <c r="U301" s="280">
        <v>41</v>
      </c>
      <c r="V301" s="280">
        <v>41</v>
      </c>
      <c r="W301" s="280">
        <v>41</v>
      </c>
      <c r="X301" s="374">
        <v>44176</v>
      </c>
      <c r="Y301" s="374">
        <v>44179</v>
      </c>
      <c r="Z301" s="276">
        <v>44320</v>
      </c>
      <c r="AA301" s="273">
        <f t="shared" si="46"/>
        <v>2021</v>
      </c>
      <c r="AB301" s="273">
        <f t="shared" si="47"/>
        <v>5</v>
      </c>
      <c r="AC301" s="278" t="s">
        <v>920</v>
      </c>
      <c r="AD301" s="278" t="s">
        <v>422</v>
      </c>
      <c r="AE301" s="278" t="s">
        <v>423</v>
      </c>
      <c r="AF301" s="278" t="s">
        <v>422</v>
      </c>
      <c r="AG301" s="278" t="s">
        <v>422</v>
      </c>
      <c r="AH301" s="278" t="s">
        <v>423</v>
      </c>
      <c r="AI301" s="278" t="s">
        <v>423</v>
      </c>
      <c r="AJ301" s="278" t="s">
        <v>423</v>
      </c>
      <c r="AK301" s="278" t="s">
        <v>423</v>
      </c>
      <c r="AL301" s="279" t="s">
        <v>1424</v>
      </c>
      <c r="AM301" s="241"/>
      <c r="AN301" s="241"/>
    </row>
    <row r="302" spans="1:40" s="295" customFormat="1" ht="15" customHeight="1" x14ac:dyDescent="0.3">
      <c r="A302" s="185">
        <v>312</v>
      </c>
      <c r="B302" s="230" t="s">
        <v>1486</v>
      </c>
      <c r="C302" s="247" t="s">
        <v>1615</v>
      </c>
      <c r="D302" s="199" t="s">
        <v>1881</v>
      </c>
      <c r="E302" s="370" t="s">
        <v>1596</v>
      </c>
      <c r="F302" s="383" t="s">
        <v>1601</v>
      </c>
      <c r="G302" s="370" t="s">
        <v>1604</v>
      </c>
      <c r="H302" s="248" t="s">
        <v>422</v>
      </c>
      <c r="I302" s="317">
        <v>2</v>
      </c>
      <c r="J302" s="317">
        <v>13.5</v>
      </c>
      <c r="K302" s="317">
        <v>0</v>
      </c>
      <c r="L302" s="212">
        <v>1</v>
      </c>
      <c r="M302" s="212">
        <f t="shared" si="40"/>
        <v>16.5</v>
      </c>
      <c r="N302" s="212">
        <f t="shared" si="41"/>
        <v>16</v>
      </c>
      <c r="O302" s="212">
        <f t="shared" si="42"/>
        <v>54</v>
      </c>
      <c r="P302" s="212">
        <f t="shared" si="43"/>
        <v>0</v>
      </c>
      <c r="Q302" s="212">
        <f t="shared" si="44"/>
        <v>8</v>
      </c>
      <c r="R302" s="212">
        <f t="shared" si="45"/>
        <v>78</v>
      </c>
      <c r="S302" s="384" t="s">
        <v>1487</v>
      </c>
      <c r="T302" s="384" t="s">
        <v>1488</v>
      </c>
      <c r="U302" s="280">
        <v>120</v>
      </c>
      <c r="V302" s="280">
        <v>122</v>
      </c>
      <c r="W302" s="280">
        <v>122</v>
      </c>
      <c r="X302" s="374">
        <v>44256</v>
      </c>
      <c r="Y302" s="374">
        <v>44317</v>
      </c>
      <c r="Z302" s="276">
        <v>44354</v>
      </c>
      <c r="AA302" s="273">
        <f t="shared" si="46"/>
        <v>2021</v>
      </c>
      <c r="AB302" s="273">
        <f t="shared" si="47"/>
        <v>6</v>
      </c>
      <c r="AC302" s="305" t="s">
        <v>920</v>
      </c>
      <c r="AD302" s="278" t="s">
        <v>422</v>
      </c>
      <c r="AE302" s="278" t="s">
        <v>422</v>
      </c>
      <c r="AF302" s="278" t="s">
        <v>422</v>
      </c>
      <c r="AG302" s="278" t="s">
        <v>422</v>
      </c>
      <c r="AH302" s="278" t="s">
        <v>422</v>
      </c>
      <c r="AI302" s="278" t="s">
        <v>423</v>
      </c>
      <c r="AJ302" s="278" t="s">
        <v>423</v>
      </c>
      <c r="AK302" s="278" t="s">
        <v>423</v>
      </c>
      <c r="AL302" s="279" t="s">
        <v>140</v>
      </c>
      <c r="AM302" s="241"/>
      <c r="AN302" s="241"/>
    </row>
    <row r="303" spans="1:40" s="295" customFormat="1" ht="15" customHeight="1" x14ac:dyDescent="0.3">
      <c r="A303" s="185">
        <v>313</v>
      </c>
      <c r="B303" s="230" t="s">
        <v>1485</v>
      </c>
      <c r="C303" s="247" t="s">
        <v>1615</v>
      </c>
      <c r="D303" s="199" t="s">
        <v>1881</v>
      </c>
      <c r="E303" s="230"/>
      <c r="F303" s="383" t="s">
        <v>1597</v>
      </c>
      <c r="G303" s="370" t="s">
        <v>1604</v>
      </c>
      <c r="H303" s="248" t="s">
        <v>422</v>
      </c>
      <c r="I303" s="356">
        <v>2</v>
      </c>
      <c r="J303" s="317">
        <v>13</v>
      </c>
      <c r="K303" s="317">
        <v>0</v>
      </c>
      <c r="L303" s="212">
        <v>1</v>
      </c>
      <c r="M303" s="212">
        <f t="shared" si="40"/>
        <v>16</v>
      </c>
      <c r="N303" s="212">
        <f t="shared" si="41"/>
        <v>16</v>
      </c>
      <c r="O303" s="212">
        <f t="shared" si="42"/>
        <v>52</v>
      </c>
      <c r="P303" s="212">
        <f t="shared" si="43"/>
        <v>0</v>
      </c>
      <c r="Q303" s="212">
        <f t="shared" si="44"/>
        <v>8</v>
      </c>
      <c r="R303" s="212">
        <f t="shared" si="45"/>
        <v>76</v>
      </c>
      <c r="S303" s="384" t="s">
        <v>1489</v>
      </c>
      <c r="T303" s="384" t="s">
        <v>1490</v>
      </c>
      <c r="U303" s="280">
        <v>52</v>
      </c>
      <c r="V303" s="280">
        <v>52</v>
      </c>
      <c r="W303" s="280">
        <v>52</v>
      </c>
      <c r="X303" s="374">
        <v>44267</v>
      </c>
      <c r="Y303" s="374">
        <v>44300</v>
      </c>
      <c r="Z303" s="276">
        <v>44354</v>
      </c>
      <c r="AA303" s="273">
        <f t="shared" si="46"/>
        <v>2021</v>
      </c>
      <c r="AB303" s="273">
        <f t="shared" si="47"/>
        <v>6</v>
      </c>
      <c r="AC303" s="305" t="s">
        <v>920</v>
      </c>
      <c r="AD303" s="278" t="s">
        <v>422</v>
      </c>
      <c r="AE303" s="278" t="s">
        <v>423</v>
      </c>
      <c r="AF303" s="278" t="s">
        <v>422</v>
      </c>
      <c r="AG303" s="278" t="s">
        <v>422</v>
      </c>
      <c r="AH303" s="278" t="s">
        <v>422</v>
      </c>
      <c r="AI303" s="278" t="s">
        <v>423</v>
      </c>
      <c r="AJ303" s="278" t="s">
        <v>423</v>
      </c>
      <c r="AK303" s="278" t="s">
        <v>423</v>
      </c>
      <c r="AL303" s="279" t="s">
        <v>491</v>
      </c>
      <c r="AM303" s="241"/>
      <c r="AN303" s="241"/>
    </row>
    <row r="304" spans="1:40" s="295" customFormat="1" ht="15" customHeight="1" x14ac:dyDescent="0.3">
      <c r="A304" s="185">
        <v>314</v>
      </c>
      <c r="B304" s="230" t="s">
        <v>1493</v>
      </c>
      <c r="C304" s="247" t="s">
        <v>1615</v>
      </c>
      <c r="D304" s="199" t="s">
        <v>1881</v>
      </c>
      <c r="E304" s="230"/>
      <c r="F304" s="383" t="s">
        <v>1597</v>
      </c>
      <c r="G304" s="370" t="s">
        <v>1604</v>
      </c>
      <c r="H304" s="248" t="s">
        <v>422</v>
      </c>
      <c r="I304" s="356">
        <v>2</v>
      </c>
      <c r="J304" s="317">
        <v>4.7</v>
      </c>
      <c r="K304" s="317">
        <v>0</v>
      </c>
      <c r="L304" s="212">
        <v>1</v>
      </c>
      <c r="M304" s="212">
        <f t="shared" si="40"/>
        <v>7.7</v>
      </c>
      <c r="N304" s="212">
        <f t="shared" si="41"/>
        <v>16</v>
      </c>
      <c r="O304" s="212">
        <f t="shared" si="42"/>
        <v>18.8</v>
      </c>
      <c r="P304" s="212">
        <f t="shared" si="43"/>
        <v>0</v>
      </c>
      <c r="Q304" s="212">
        <f t="shared" si="44"/>
        <v>8</v>
      </c>
      <c r="R304" s="212">
        <f t="shared" si="45"/>
        <v>42.8</v>
      </c>
      <c r="S304" s="384" t="s">
        <v>1491</v>
      </c>
      <c r="T304" s="384" t="s">
        <v>1492</v>
      </c>
      <c r="U304" s="280">
        <v>42</v>
      </c>
      <c r="V304" s="280">
        <v>44</v>
      </c>
      <c r="W304" s="280">
        <v>44</v>
      </c>
      <c r="X304" s="374">
        <v>44267</v>
      </c>
      <c r="Y304" s="374">
        <v>44300</v>
      </c>
      <c r="Z304" s="276">
        <v>44354</v>
      </c>
      <c r="AA304" s="273">
        <f t="shared" si="46"/>
        <v>2021</v>
      </c>
      <c r="AB304" s="273">
        <f t="shared" si="47"/>
        <v>6</v>
      </c>
      <c r="AC304" s="305" t="s">
        <v>920</v>
      </c>
      <c r="AD304" s="278" t="s">
        <v>422</v>
      </c>
      <c r="AE304" s="278" t="s">
        <v>423</v>
      </c>
      <c r="AF304" s="278" t="s">
        <v>422</v>
      </c>
      <c r="AG304" s="278" t="s">
        <v>422</v>
      </c>
      <c r="AH304" s="278" t="s">
        <v>423</v>
      </c>
      <c r="AI304" s="278" t="s">
        <v>423</v>
      </c>
      <c r="AJ304" s="278" t="s">
        <v>423</v>
      </c>
      <c r="AK304" s="278" t="s">
        <v>423</v>
      </c>
      <c r="AL304" s="279" t="s">
        <v>1240</v>
      </c>
      <c r="AM304" s="241"/>
      <c r="AN304" s="241"/>
    </row>
    <row r="305" spans="1:40" s="295" customFormat="1" ht="15" customHeight="1" x14ac:dyDescent="0.3">
      <c r="A305" s="185">
        <v>315</v>
      </c>
      <c r="B305" s="230" t="s">
        <v>1494</v>
      </c>
      <c r="C305" s="247" t="s">
        <v>1615</v>
      </c>
      <c r="D305" s="199" t="s">
        <v>1881</v>
      </c>
      <c r="E305" s="230"/>
      <c r="F305" s="383" t="s">
        <v>1601</v>
      </c>
      <c r="G305" s="370" t="s">
        <v>1604</v>
      </c>
      <c r="H305" s="248" t="s">
        <v>422</v>
      </c>
      <c r="I305" s="317">
        <v>2</v>
      </c>
      <c r="J305" s="317">
        <v>15</v>
      </c>
      <c r="K305" s="317">
        <v>0</v>
      </c>
      <c r="L305" s="212">
        <v>1.5</v>
      </c>
      <c r="M305" s="212">
        <f t="shared" si="40"/>
        <v>18.5</v>
      </c>
      <c r="N305" s="212">
        <f t="shared" si="41"/>
        <v>16</v>
      </c>
      <c r="O305" s="212">
        <f t="shared" si="42"/>
        <v>60</v>
      </c>
      <c r="P305" s="212">
        <f t="shared" si="43"/>
        <v>0</v>
      </c>
      <c r="Q305" s="212">
        <f t="shared" si="44"/>
        <v>12</v>
      </c>
      <c r="R305" s="212">
        <f t="shared" si="45"/>
        <v>88</v>
      </c>
      <c r="S305" s="384" t="s">
        <v>1496</v>
      </c>
      <c r="T305" s="384" t="s">
        <v>1895</v>
      </c>
      <c r="U305" s="280">
        <v>189</v>
      </c>
      <c r="V305" s="280">
        <v>193</v>
      </c>
      <c r="W305" s="280">
        <v>193</v>
      </c>
      <c r="X305" s="374">
        <v>44272</v>
      </c>
      <c r="Y305" s="374">
        <v>44348</v>
      </c>
      <c r="Z305" s="276">
        <v>44354</v>
      </c>
      <c r="AA305" s="273">
        <f t="shared" si="46"/>
        <v>2021</v>
      </c>
      <c r="AB305" s="273">
        <f t="shared" si="47"/>
        <v>6</v>
      </c>
      <c r="AC305" s="305" t="s">
        <v>920</v>
      </c>
      <c r="AD305" s="278" t="s">
        <v>422</v>
      </c>
      <c r="AE305" s="278" t="s">
        <v>422</v>
      </c>
      <c r="AF305" s="278" t="s">
        <v>422</v>
      </c>
      <c r="AG305" s="278" t="s">
        <v>422</v>
      </c>
      <c r="AH305" s="278" t="s">
        <v>422</v>
      </c>
      <c r="AI305" s="278" t="s">
        <v>423</v>
      </c>
      <c r="AJ305" s="278" t="s">
        <v>422</v>
      </c>
      <c r="AK305" s="278" t="s">
        <v>423</v>
      </c>
      <c r="AL305" s="279" t="s">
        <v>1240</v>
      </c>
      <c r="AM305" s="241"/>
      <c r="AN305" s="241"/>
    </row>
    <row r="306" spans="1:40" s="295" customFormat="1" ht="15" customHeight="1" x14ac:dyDescent="0.3">
      <c r="A306" s="185">
        <v>316</v>
      </c>
      <c r="B306" s="230" t="s">
        <v>1497</v>
      </c>
      <c r="C306" s="247" t="s">
        <v>1615</v>
      </c>
      <c r="D306" s="199" t="s">
        <v>1881</v>
      </c>
      <c r="E306" s="230"/>
      <c r="F306" s="383" t="s">
        <v>1601</v>
      </c>
      <c r="G306" s="370" t="s">
        <v>1604</v>
      </c>
      <c r="H306" s="248" t="s">
        <v>422</v>
      </c>
      <c r="I306" s="317">
        <v>2</v>
      </c>
      <c r="J306" s="317">
        <v>14</v>
      </c>
      <c r="K306" s="317">
        <v>0</v>
      </c>
      <c r="L306" s="212">
        <v>1</v>
      </c>
      <c r="M306" s="212">
        <f t="shared" si="40"/>
        <v>17</v>
      </c>
      <c r="N306" s="212">
        <f t="shared" si="41"/>
        <v>16</v>
      </c>
      <c r="O306" s="212">
        <f t="shared" si="42"/>
        <v>56</v>
      </c>
      <c r="P306" s="212">
        <f t="shared" si="43"/>
        <v>0</v>
      </c>
      <c r="Q306" s="212">
        <f t="shared" si="44"/>
        <v>8</v>
      </c>
      <c r="R306" s="212">
        <f t="shared" si="45"/>
        <v>80</v>
      </c>
      <c r="S306" s="384" t="s">
        <v>1505</v>
      </c>
      <c r="T306" s="384" t="s">
        <v>1896</v>
      </c>
      <c r="U306" s="280">
        <v>62</v>
      </c>
      <c r="V306" s="280">
        <v>66</v>
      </c>
      <c r="W306" s="280">
        <v>66</v>
      </c>
      <c r="X306" s="374">
        <v>44272</v>
      </c>
      <c r="Y306" s="374">
        <v>44348</v>
      </c>
      <c r="Z306" s="276">
        <v>44354</v>
      </c>
      <c r="AA306" s="273">
        <f t="shared" si="46"/>
        <v>2021</v>
      </c>
      <c r="AB306" s="273">
        <f t="shared" si="47"/>
        <v>6</v>
      </c>
      <c r="AC306" s="305" t="s">
        <v>920</v>
      </c>
      <c r="AD306" s="278" t="s">
        <v>422</v>
      </c>
      <c r="AE306" s="278" t="s">
        <v>422</v>
      </c>
      <c r="AF306" s="278" t="s">
        <v>422</v>
      </c>
      <c r="AG306" s="278" t="s">
        <v>422</v>
      </c>
      <c r="AH306" s="278" t="s">
        <v>422</v>
      </c>
      <c r="AI306" s="278" t="s">
        <v>423</v>
      </c>
      <c r="AJ306" s="278" t="s">
        <v>423</v>
      </c>
      <c r="AK306" s="278" t="s">
        <v>423</v>
      </c>
      <c r="AL306" s="279" t="s">
        <v>1240</v>
      </c>
      <c r="AM306" s="241"/>
      <c r="AN306" s="241"/>
    </row>
    <row r="307" spans="1:40" s="295" customFormat="1" ht="15" customHeight="1" x14ac:dyDescent="0.3">
      <c r="A307" s="185">
        <v>317</v>
      </c>
      <c r="B307" s="230" t="s">
        <v>1498</v>
      </c>
      <c r="C307" s="247" t="s">
        <v>1615</v>
      </c>
      <c r="D307" s="199" t="s">
        <v>1881</v>
      </c>
      <c r="E307" s="230"/>
      <c r="F307" s="383" t="s">
        <v>1601</v>
      </c>
      <c r="G307" s="370" t="s">
        <v>1604</v>
      </c>
      <c r="H307" s="248" t="s">
        <v>422</v>
      </c>
      <c r="I307" s="317">
        <v>2</v>
      </c>
      <c r="J307" s="361">
        <v>10</v>
      </c>
      <c r="K307" s="317">
        <v>0</v>
      </c>
      <c r="L307" s="212">
        <v>1</v>
      </c>
      <c r="M307" s="212">
        <f t="shared" si="40"/>
        <v>13</v>
      </c>
      <c r="N307" s="212">
        <f t="shared" si="41"/>
        <v>16</v>
      </c>
      <c r="O307" s="212">
        <f t="shared" si="42"/>
        <v>40</v>
      </c>
      <c r="P307" s="212">
        <f t="shared" si="43"/>
        <v>0</v>
      </c>
      <c r="Q307" s="212">
        <f t="shared" si="44"/>
        <v>8</v>
      </c>
      <c r="R307" s="212">
        <f t="shared" si="45"/>
        <v>64</v>
      </c>
      <c r="S307" s="384" t="s">
        <v>1922</v>
      </c>
      <c r="T307" s="384" t="s">
        <v>1897</v>
      </c>
      <c r="U307" s="280">
        <v>35</v>
      </c>
      <c r="V307" s="280">
        <v>37</v>
      </c>
      <c r="W307" s="280">
        <v>37</v>
      </c>
      <c r="X307" s="374">
        <v>44272</v>
      </c>
      <c r="Y307" s="374">
        <v>44348</v>
      </c>
      <c r="Z307" s="276">
        <v>44354</v>
      </c>
      <c r="AA307" s="273">
        <f t="shared" si="46"/>
        <v>2021</v>
      </c>
      <c r="AB307" s="273">
        <f t="shared" si="47"/>
        <v>6</v>
      </c>
      <c r="AC307" s="305" t="s">
        <v>920</v>
      </c>
      <c r="AD307" s="278" t="s">
        <v>422</v>
      </c>
      <c r="AE307" s="278" t="s">
        <v>422</v>
      </c>
      <c r="AF307" s="278" t="s">
        <v>422</v>
      </c>
      <c r="AG307" s="278" t="s">
        <v>422</v>
      </c>
      <c r="AH307" s="278" t="s">
        <v>422</v>
      </c>
      <c r="AI307" s="278" t="s">
        <v>423</v>
      </c>
      <c r="AJ307" s="278" t="s">
        <v>422</v>
      </c>
      <c r="AK307" s="278" t="s">
        <v>423</v>
      </c>
      <c r="AL307" s="279" t="s">
        <v>140</v>
      </c>
      <c r="AM307" s="241"/>
      <c r="AN307" s="241"/>
    </row>
    <row r="308" spans="1:40" ht="15" customHeight="1" x14ac:dyDescent="0.3">
      <c r="A308" s="185">
        <v>318</v>
      </c>
      <c r="B308" s="230" t="s">
        <v>1499</v>
      </c>
      <c r="C308" s="247" t="s">
        <v>1615</v>
      </c>
      <c r="D308" s="200" t="s">
        <v>1881</v>
      </c>
      <c r="E308" s="383"/>
      <c r="F308" s="383" t="s">
        <v>1601</v>
      </c>
      <c r="G308" s="370" t="s">
        <v>1604</v>
      </c>
      <c r="H308" s="248" t="s">
        <v>422</v>
      </c>
      <c r="I308" s="356">
        <v>2</v>
      </c>
      <c r="J308" s="317">
        <v>6.7</v>
      </c>
      <c r="K308" s="317">
        <v>0</v>
      </c>
      <c r="L308" s="212">
        <v>1.5</v>
      </c>
      <c r="M308" s="212">
        <f t="shared" si="40"/>
        <v>10.199999999999999</v>
      </c>
      <c r="N308" s="212">
        <f t="shared" si="41"/>
        <v>16</v>
      </c>
      <c r="O308" s="212">
        <f t="shared" si="42"/>
        <v>26.8</v>
      </c>
      <c r="P308" s="212">
        <f t="shared" si="43"/>
        <v>0</v>
      </c>
      <c r="Q308" s="212">
        <f t="shared" si="44"/>
        <v>12</v>
      </c>
      <c r="R308" s="212">
        <f t="shared" si="45"/>
        <v>54.8</v>
      </c>
      <c r="S308" s="384" t="s">
        <v>1638</v>
      </c>
      <c r="T308" s="384" t="s">
        <v>1898</v>
      </c>
      <c r="U308" s="280">
        <v>131</v>
      </c>
      <c r="V308" s="280">
        <v>135</v>
      </c>
      <c r="W308" s="280">
        <v>135</v>
      </c>
      <c r="X308" s="374">
        <v>44272</v>
      </c>
      <c r="Y308" s="374">
        <v>44348</v>
      </c>
      <c r="Z308" s="276">
        <v>44354</v>
      </c>
      <c r="AA308" s="273">
        <f t="shared" si="46"/>
        <v>2021</v>
      </c>
      <c r="AB308" s="273">
        <f t="shared" si="47"/>
        <v>6</v>
      </c>
      <c r="AC308" s="305" t="s">
        <v>920</v>
      </c>
      <c r="AD308" s="278" t="s">
        <v>422</v>
      </c>
      <c r="AE308" s="278" t="s">
        <v>423</v>
      </c>
      <c r="AF308" s="278" t="s">
        <v>422</v>
      </c>
      <c r="AG308" s="278" t="s">
        <v>422</v>
      </c>
      <c r="AH308" s="278" t="s">
        <v>423</v>
      </c>
      <c r="AI308" s="278" t="s">
        <v>423</v>
      </c>
      <c r="AJ308" s="278" t="s">
        <v>423</v>
      </c>
      <c r="AK308" s="278" t="s">
        <v>423</v>
      </c>
      <c r="AL308" s="279" t="s">
        <v>1240</v>
      </c>
      <c r="AM308" s="241"/>
      <c r="AN308" s="241"/>
    </row>
    <row r="309" spans="1:40" ht="15" customHeight="1" x14ac:dyDescent="0.3">
      <c r="A309" s="185">
        <v>324</v>
      </c>
      <c r="B309" s="230" t="s">
        <v>1543</v>
      </c>
      <c r="C309" s="247" t="s">
        <v>1615</v>
      </c>
      <c r="D309" s="200" t="s">
        <v>1881</v>
      </c>
      <c r="E309" s="370" t="s">
        <v>1596</v>
      </c>
      <c r="F309" s="383" t="s">
        <v>1601</v>
      </c>
      <c r="G309" s="370" t="s">
        <v>1604</v>
      </c>
      <c r="H309" s="248" t="s">
        <v>422</v>
      </c>
      <c r="I309" s="317">
        <v>1.3</v>
      </c>
      <c r="J309" s="317">
        <v>5.5</v>
      </c>
      <c r="K309" s="317">
        <v>0</v>
      </c>
      <c r="L309" s="212">
        <v>1</v>
      </c>
      <c r="M309" s="212">
        <f t="shared" si="40"/>
        <v>7.8</v>
      </c>
      <c r="N309" s="212">
        <f t="shared" si="41"/>
        <v>10.4</v>
      </c>
      <c r="O309" s="212">
        <f t="shared" si="42"/>
        <v>22</v>
      </c>
      <c r="P309" s="212">
        <f t="shared" si="43"/>
        <v>0</v>
      </c>
      <c r="Q309" s="212">
        <f t="shared" si="44"/>
        <v>8</v>
      </c>
      <c r="R309" s="212">
        <f t="shared" si="45"/>
        <v>40.4</v>
      </c>
      <c r="S309" s="384" t="s">
        <v>1546</v>
      </c>
      <c r="T309" s="384" t="s">
        <v>1547</v>
      </c>
      <c r="U309" s="280">
        <v>84</v>
      </c>
      <c r="V309" s="280">
        <v>86</v>
      </c>
      <c r="W309" s="280">
        <v>86</v>
      </c>
      <c r="X309" s="374">
        <v>44286</v>
      </c>
      <c r="Y309" s="374">
        <v>44317</v>
      </c>
      <c r="Z309" s="276">
        <v>44354</v>
      </c>
      <c r="AA309" s="273">
        <f t="shared" si="46"/>
        <v>2021</v>
      </c>
      <c r="AB309" s="273">
        <f t="shared" si="47"/>
        <v>6</v>
      </c>
      <c r="AC309" s="278" t="s">
        <v>920</v>
      </c>
      <c r="AD309" s="278" t="s">
        <v>422</v>
      </c>
      <c r="AE309" s="278" t="s">
        <v>423</v>
      </c>
      <c r="AF309" s="278" t="s">
        <v>422</v>
      </c>
      <c r="AG309" s="278" t="s">
        <v>422</v>
      </c>
      <c r="AH309" s="278" t="s">
        <v>423</v>
      </c>
      <c r="AI309" s="278" t="s">
        <v>423</v>
      </c>
      <c r="AJ309" s="278" t="s">
        <v>423</v>
      </c>
      <c r="AK309" s="278" t="s">
        <v>423</v>
      </c>
      <c r="AL309" s="279" t="s">
        <v>140</v>
      </c>
      <c r="AM309" s="241"/>
      <c r="AN309" s="241"/>
    </row>
    <row r="310" spans="1:40" ht="15" customHeight="1" x14ac:dyDescent="0.3">
      <c r="A310" s="185">
        <v>325</v>
      </c>
      <c r="B310" s="230" t="s">
        <v>1544</v>
      </c>
      <c r="C310" s="247" t="s">
        <v>1615</v>
      </c>
      <c r="D310" s="200" t="s">
        <v>1881</v>
      </c>
      <c r="E310" s="370" t="s">
        <v>1596</v>
      </c>
      <c r="F310" s="383" t="s">
        <v>1601</v>
      </c>
      <c r="G310" s="370" t="s">
        <v>1604</v>
      </c>
      <c r="H310" s="248" t="s">
        <v>422</v>
      </c>
      <c r="I310" s="317">
        <v>1.3</v>
      </c>
      <c r="J310" s="317">
        <v>5.5</v>
      </c>
      <c r="K310" s="317">
        <v>0</v>
      </c>
      <c r="L310" s="212">
        <v>1</v>
      </c>
      <c r="M310" s="212">
        <f t="shared" si="40"/>
        <v>7.8</v>
      </c>
      <c r="N310" s="212">
        <f t="shared" si="41"/>
        <v>10.4</v>
      </c>
      <c r="O310" s="212">
        <f t="shared" si="42"/>
        <v>22</v>
      </c>
      <c r="P310" s="212">
        <f t="shared" si="43"/>
        <v>0</v>
      </c>
      <c r="Q310" s="212">
        <f t="shared" si="44"/>
        <v>8</v>
      </c>
      <c r="R310" s="212">
        <f t="shared" si="45"/>
        <v>40.4</v>
      </c>
      <c r="S310" s="384" t="s">
        <v>1548</v>
      </c>
      <c r="T310" s="384" t="s">
        <v>1549</v>
      </c>
      <c r="U310" s="280">
        <v>30</v>
      </c>
      <c r="V310" s="280">
        <v>31</v>
      </c>
      <c r="W310" s="280">
        <v>31</v>
      </c>
      <c r="X310" s="374">
        <v>44286</v>
      </c>
      <c r="Y310" s="374">
        <v>44317</v>
      </c>
      <c r="Z310" s="276">
        <v>44354</v>
      </c>
      <c r="AA310" s="273">
        <f t="shared" si="46"/>
        <v>2021</v>
      </c>
      <c r="AB310" s="273">
        <f t="shared" si="47"/>
        <v>6</v>
      </c>
      <c r="AC310" s="278" t="s">
        <v>920</v>
      </c>
      <c r="AD310" s="278" t="s">
        <v>422</v>
      </c>
      <c r="AE310" s="278" t="s">
        <v>423</v>
      </c>
      <c r="AF310" s="278" t="s">
        <v>422</v>
      </c>
      <c r="AG310" s="278" t="s">
        <v>422</v>
      </c>
      <c r="AH310" s="278" t="s">
        <v>423</v>
      </c>
      <c r="AI310" s="278" t="s">
        <v>423</v>
      </c>
      <c r="AJ310" s="278" t="s">
        <v>423</v>
      </c>
      <c r="AK310" s="278" t="s">
        <v>423</v>
      </c>
      <c r="AL310" s="279" t="s">
        <v>140</v>
      </c>
      <c r="AM310" s="241"/>
      <c r="AN310" s="241"/>
    </row>
    <row r="311" spans="1:40" ht="15" customHeight="1" x14ac:dyDescent="0.3">
      <c r="A311" s="348">
        <v>325</v>
      </c>
      <c r="B311" s="230" t="s">
        <v>1987</v>
      </c>
      <c r="C311" s="281" t="s">
        <v>1830</v>
      </c>
      <c r="D311" s="200" t="s">
        <v>1881</v>
      </c>
      <c r="E311" s="370"/>
      <c r="F311" s="383"/>
      <c r="G311" s="370"/>
      <c r="H311" s="248"/>
      <c r="I311" s="317">
        <v>2</v>
      </c>
      <c r="J311" s="361">
        <v>8</v>
      </c>
      <c r="K311" s="317">
        <v>1.5</v>
      </c>
      <c r="L311" s="212">
        <v>1</v>
      </c>
      <c r="M311" s="212">
        <f t="shared" si="40"/>
        <v>12.5</v>
      </c>
      <c r="N311" s="212">
        <f t="shared" si="41"/>
        <v>16</v>
      </c>
      <c r="O311" s="212">
        <f t="shared" si="42"/>
        <v>32</v>
      </c>
      <c r="P311" s="212">
        <f t="shared" si="43"/>
        <v>10</v>
      </c>
      <c r="Q311" s="212">
        <f t="shared" si="44"/>
        <v>8</v>
      </c>
      <c r="R311" s="212">
        <f t="shared" si="45"/>
        <v>66</v>
      </c>
      <c r="S311" s="384" t="s">
        <v>1986</v>
      </c>
      <c r="T311" s="384" t="s">
        <v>1986</v>
      </c>
      <c r="U311" s="280">
        <v>135</v>
      </c>
      <c r="V311" s="280">
        <v>135</v>
      </c>
      <c r="W311" s="280">
        <v>135</v>
      </c>
      <c r="X311" s="374">
        <v>44301</v>
      </c>
      <c r="Y311" s="374">
        <v>44331</v>
      </c>
      <c r="Z311" s="276">
        <v>44330</v>
      </c>
      <c r="AA311" s="273">
        <f t="shared" si="46"/>
        <v>2021</v>
      </c>
      <c r="AB311" s="273">
        <f t="shared" si="47"/>
        <v>5</v>
      </c>
      <c r="AC311" s="278"/>
      <c r="AD311" s="278"/>
      <c r="AE311" s="278"/>
      <c r="AF311" s="278"/>
      <c r="AG311" s="278"/>
      <c r="AH311" s="278"/>
      <c r="AI311" s="278"/>
      <c r="AJ311" s="278"/>
      <c r="AK311" s="278"/>
      <c r="AL311" s="279"/>
      <c r="AM311" s="241"/>
      <c r="AN311" s="241"/>
    </row>
    <row r="312" spans="1:40" ht="15" customHeight="1" x14ac:dyDescent="0.3">
      <c r="A312" s="185">
        <v>336</v>
      </c>
      <c r="B312" s="230" t="s">
        <v>1582</v>
      </c>
      <c r="C312" s="247" t="s">
        <v>1617</v>
      </c>
      <c r="D312" s="200" t="s">
        <v>1848</v>
      </c>
      <c r="E312" s="230"/>
      <c r="F312" s="383" t="s">
        <v>1597</v>
      </c>
      <c r="G312" s="370" t="s">
        <v>1953</v>
      </c>
      <c r="H312" s="248" t="s">
        <v>422</v>
      </c>
      <c r="I312" s="317">
        <v>2</v>
      </c>
      <c r="J312" s="317">
        <v>5.5</v>
      </c>
      <c r="K312" s="361">
        <v>6</v>
      </c>
      <c r="L312" s="212">
        <v>1</v>
      </c>
      <c r="M312" s="212">
        <f t="shared" si="40"/>
        <v>14.5</v>
      </c>
      <c r="N312" s="212">
        <f t="shared" si="41"/>
        <v>16</v>
      </c>
      <c r="O312" s="212">
        <f t="shared" si="42"/>
        <v>22</v>
      </c>
      <c r="P312" s="212">
        <f t="shared" si="43"/>
        <v>40</v>
      </c>
      <c r="Q312" s="212">
        <f t="shared" si="44"/>
        <v>8</v>
      </c>
      <c r="R312" s="212">
        <f t="shared" si="45"/>
        <v>86</v>
      </c>
      <c r="S312" s="384" t="s">
        <v>1586</v>
      </c>
      <c r="T312" s="384" t="s">
        <v>1587</v>
      </c>
      <c r="U312" s="280">
        <v>30</v>
      </c>
      <c r="V312" s="280">
        <v>45</v>
      </c>
      <c r="W312" s="280">
        <v>45</v>
      </c>
      <c r="X312" s="374">
        <v>44270</v>
      </c>
      <c r="Y312" s="374">
        <v>44317</v>
      </c>
      <c r="Z312" s="276">
        <v>44347</v>
      </c>
      <c r="AA312" s="273">
        <f t="shared" si="46"/>
        <v>2021</v>
      </c>
      <c r="AB312" s="273">
        <f t="shared" si="47"/>
        <v>5</v>
      </c>
      <c r="AC312" s="278" t="s">
        <v>920</v>
      </c>
      <c r="AD312" s="278" t="s">
        <v>422</v>
      </c>
      <c r="AE312" s="278" t="s">
        <v>423</v>
      </c>
      <c r="AF312" s="278" t="s">
        <v>422</v>
      </c>
      <c r="AG312" s="278" t="s">
        <v>422</v>
      </c>
      <c r="AH312" s="278" t="s">
        <v>423</v>
      </c>
      <c r="AI312" s="278" t="s">
        <v>422</v>
      </c>
      <c r="AJ312" s="278" t="s">
        <v>423</v>
      </c>
      <c r="AK312" s="278" t="s">
        <v>423</v>
      </c>
      <c r="AL312" s="279" t="s">
        <v>1424</v>
      </c>
      <c r="AM312" s="241"/>
      <c r="AN312" s="242"/>
    </row>
    <row r="313" spans="1:40" ht="15" customHeight="1" x14ac:dyDescent="0.3">
      <c r="A313" s="185">
        <v>337</v>
      </c>
      <c r="B313" s="230" t="s">
        <v>1583</v>
      </c>
      <c r="C313" s="247" t="s">
        <v>1617</v>
      </c>
      <c r="D313" s="200" t="s">
        <v>1848</v>
      </c>
      <c r="E313" s="230"/>
      <c r="F313" s="383" t="s">
        <v>1597</v>
      </c>
      <c r="G313" s="370" t="s">
        <v>1953</v>
      </c>
      <c r="H313" s="248" t="s">
        <v>422</v>
      </c>
      <c r="I313" s="317">
        <v>2</v>
      </c>
      <c r="J313" s="317">
        <v>5</v>
      </c>
      <c r="K313" s="361">
        <v>6</v>
      </c>
      <c r="L313" s="212">
        <v>1</v>
      </c>
      <c r="M313" s="212">
        <f t="shared" si="40"/>
        <v>14</v>
      </c>
      <c r="N313" s="212">
        <f t="shared" si="41"/>
        <v>16</v>
      </c>
      <c r="O313" s="212">
        <f t="shared" si="42"/>
        <v>20</v>
      </c>
      <c r="P313" s="212">
        <f t="shared" si="43"/>
        <v>40</v>
      </c>
      <c r="Q313" s="212">
        <f t="shared" si="44"/>
        <v>8</v>
      </c>
      <c r="R313" s="212">
        <f t="shared" si="45"/>
        <v>84</v>
      </c>
      <c r="S313" s="384" t="s">
        <v>1588</v>
      </c>
      <c r="T313" s="384" t="s">
        <v>1589</v>
      </c>
      <c r="U313" s="280">
        <v>40</v>
      </c>
      <c r="V313" s="280">
        <v>50</v>
      </c>
      <c r="W313" s="280">
        <v>50</v>
      </c>
      <c r="X313" s="374">
        <v>44270</v>
      </c>
      <c r="Y313" s="374">
        <v>44317</v>
      </c>
      <c r="Z313" s="276">
        <v>44347</v>
      </c>
      <c r="AA313" s="273">
        <f t="shared" si="46"/>
        <v>2021</v>
      </c>
      <c r="AB313" s="273">
        <f t="shared" si="47"/>
        <v>5</v>
      </c>
      <c r="AC313" s="278" t="s">
        <v>920</v>
      </c>
      <c r="AD313" s="278" t="s">
        <v>422</v>
      </c>
      <c r="AE313" s="278" t="s">
        <v>423</v>
      </c>
      <c r="AF313" s="278" t="s">
        <v>422</v>
      </c>
      <c r="AG313" s="278" t="s">
        <v>422</v>
      </c>
      <c r="AH313" s="278" t="s">
        <v>423</v>
      </c>
      <c r="AI313" s="278" t="s">
        <v>422</v>
      </c>
      <c r="AJ313" s="278" t="s">
        <v>423</v>
      </c>
      <c r="AK313" s="278" t="s">
        <v>423</v>
      </c>
      <c r="AL313" s="279" t="s">
        <v>1424</v>
      </c>
      <c r="AM313" s="241"/>
      <c r="AN313" s="242"/>
    </row>
    <row r="314" spans="1:40" ht="15" customHeight="1" x14ac:dyDescent="0.3">
      <c r="A314" s="185">
        <v>338</v>
      </c>
      <c r="B314" s="230" t="s">
        <v>1584</v>
      </c>
      <c r="C314" s="247" t="s">
        <v>1617</v>
      </c>
      <c r="D314" s="200" t="s">
        <v>1848</v>
      </c>
      <c r="E314" s="383"/>
      <c r="F314" s="383" t="s">
        <v>1597</v>
      </c>
      <c r="G314" s="370" t="s">
        <v>1953</v>
      </c>
      <c r="H314" s="248" t="s">
        <v>422</v>
      </c>
      <c r="I314" s="317">
        <v>2</v>
      </c>
      <c r="J314" s="317">
        <v>5.5</v>
      </c>
      <c r="K314" s="361">
        <v>6</v>
      </c>
      <c r="L314" s="212">
        <v>1</v>
      </c>
      <c r="M314" s="212">
        <f t="shared" si="40"/>
        <v>14.5</v>
      </c>
      <c r="N314" s="212">
        <f t="shared" si="41"/>
        <v>16</v>
      </c>
      <c r="O314" s="212">
        <f t="shared" si="42"/>
        <v>22</v>
      </c>
      <c r="P314" s="212">
        <f t="shared" si="43"/>
        <v>40</v>
      </c>
      <c r="Q314" s="212">
        <f t="shared" si="44"/>
        <v>8</v>
      </c>
      <c r="R314" s="212">
        <f t="shared" si="45"/>
        <v>86</v>
      </c>
      <c r="S314" s="384" t="s">
        <v>1590</v>
      </c>
      <c r="T314" s="384" t="s">
        <v>1592</v>
      </c>
      <c r="U314" s="280">
        <v>6</v>
      </c>
      <c r="V314" s="280">
        <v>9</v>
      </c>
      <c r="W314" s="280">
        <v>9</v>
      </c>
      <c r="X314" s="374">
        <v>44270</v>
      </c>
      <c r="Y314" s="374">
        <v>44317</v>
      </c>
      <c r="Z314" s="276">
        <v>44347</v>
      </c>
      <c r="AA314" s="273">
        <f t="shared" si="46"/>
        <v>2021</v>
      </c>
      <c r="AB314" s="273">
        <f t="shared" si="47"/>
        <v>5</v>
      </c>
      <c r="AC314" s="278" t="s">
        <v>920</v>
      </c>
      <c r="AD314" s="278" t="s">
        <v>422</v>
      </c>
      <c r="AE314" s="278" t="s">
        <v>423</v>
      </c>
      <c r="AF314" s="278" t="s">
        <v>422</v>
      </c>
      <c r="AG314" s="278" t="s">
        <v>422</v>
      </c>
      <c r="AH314" s="278" t="s">
        <v>423</v>
      </c>
      <c r="AI314" s="278" t="s">
        <v>422</v>
      </c>
      <c r="AJ314" s="278" t="s">
        <v>423</v>
      </c>
      <c r="AK314" s="278" t="s">
        <v>423</v>
      </c>
      <c r="AL314" s="279" t="s">
        <v>1424</v>
      </c>
      <c r="AM314" s="241"/>
      <c r="AN314" s="242"/>
    </row>
    <row r="315" spans="1:40" ht="15" customHeight="1" x14ac:dyDescent="0.3">
      <c r="A315" s="185">
        <v>339</v>
      </c>
      <c r="B315" s="230" t="s">
        <v>1585</v>
      </c>
      <c r="C315" s="247" t="s">
        <v>1617</v>
      </c>
      <c r="D315" s="200" t="s">
        <v>1848</v>
      </c>
      <c r="E315" s="383"/>
      <c r="F315" s="383" t="s">
        <v>1597</v>
      </c>
      <c r="G315" s="370" t="s">
        <v>1953</v>
      </c>
      <c r="H315" s="248" t="s">
        <v>422</v>
      </c>
      <c r="I315" s="317">
        <v>2</v>
      </c>
      <c r="J315" s="317">
        <v>5</v>
      </c>
      <c r="K315" s="361">
        <v>6</v>
      </c>
      <c r="L315" s="212">
        <v>1</v>
      </c>
      <c r="M315" s="212">
        <f t="shared" si="40"/>
        <v>14</v>
      </c>
      <c r="N315" s="212">
        <f t="shared" si="41"/>
        <v>16</v>
      </c>
      <c r="O315" s="212">
        <f t="shared" si="42"/>
        <v>20</v>
      </c>
      <c r="P315" s="212">
        <f t="shared" si="43"/>
        <v>40</v>
      </c>
      <c r="Q315" s="212">
        <f t="shared" si="44"/>
        <v>8</v>
      </c>
      <c r="R315" s="212">
        <f t="shared" si="45"/>
        <v>84</v>
      </c>
      <c r="S315" s="384" t="s">
        <v>1591</v>
      </c>
      <c r="T315" s="384" t="s">
        <v>1593</v>
      </c>
      <c r="U315" s="280">
        <v>8</v>
      </c>
      <c r="V315" s="280">
        <v>10</v>
      </c>
      <c r="W315" s="280">
        <v>10</v>
      </c>
      <c r="X315" s="374">
        <v>44270</v>
      </c>
      <c r="Y315" s="374">
        <v>44317</v>
      </c>
      <c r="Z315" s="276">
        <v>44347</v>
      </c>
      <c r="AA315" s="273">
        <f t="shared" si="46"/>
        <v>2021</v>
      </c>
      <c r="AB315" s="273">
        <f t="shared" si="47"/>
        <v>5</v>
      </c>
      <c r="AC315" s="278" t="s">
        <v>920</v>
      </c>
      <c r="AD315" s="278" t="s">
        <v>422</v>
      </c>
      <c r="AE315" s="278" t="s">
        <v>423</v>
      </c>
      <c r="AF315" s="278" t="s">
        <v>422</v>
      </c>
      <c r="AG315" s="278" t="s">
        <v>422</v>
      </c>
      <c r="AH315" s="278" t="s">
        <v>423</v>
      </c>
      <c r="AI315" s="278" t="s">
        <v>422</v>
      </c>
      <c r="AJ315" s="278" t="s">
        <v>423</v>
      </c>
      <c r="AK315" s="278" t="s">
        <v>423</v>
      </c>
      <c r="AL315" s="279" t="s">
        <v>1424</v>
      </c>
      <c r="AM315" s="241"/>
      <c r="AN315" s="242"/>
    </row>
    <row r="316" spans="1:40" ht="15" customHeight="1" x14ac:dyDescent="0.3">
      <c r="A316" s="185">
        <v>352</v>
      </c>
      <c r="B316" s="326" t="s">
        <v>1639</v>
      </c>
      <c r="C316" s="247" t="s">
        <v>1615</v>
      </c>
      <c r="D316" s="200" t="s">
        <v>1881</v>
      </c>
      <c r="E316" s="383"/>
      <c r="F316" s="383" t="s">
        <v>1597</v>
      </c>
      <c r="G316" s="370" t="s">
        <v>1953</v>
      </c>
      <c r="H316" s="248" t="s">
        <v>422</v>
      </c>
      <c r="I316" s="317">
        <v>2</v>
      </c>
      <c r="J316" s="317">
        <v>4.5</v>
      </c>
      <c r="K316" s="361">
        <v>6</v>
      </c>
      <c r="L316" s="212">
        <v>1</v>
      </c>
      <c r="M316" s="212">
        <f t="shared" si="40"/>
        <v>13.5</v>
      </c>
      <c r="N316" s="212">
        <f t="shared" si="41"/>
        <v>16</v>
      </c>
      <c r="O316" s="212">
        <f t="shared" si="42"/>
        <v>18</v>
      </c>
      <c r="P316" s="212">
        <f t="shared" si="43"/>
        <v>40</v>
      </c>
      <c r="Q316" s="212">
        <f t="shared" si="44"/>
        <v>8</v>
      </c>
      <c r="R316" s="212">
        <f t="shared" si="45"/>
        <v>82</v>
      </c>
      <c r="S316" s="283" t="s">
        <v>1640</v>
      </c>
      <c r="T316" s="284" t="s">
        <v>1641</v>
      </c>
      <c r="U316" s="280">
        <v>40</v>
      </c>
      <c r="V316" s="280">
        <v>42</v>
      </c>
      <c r="W316" s="280">
        <v>42</v>
      </c>
      <c r="X316" s="276">
        <v>44307</v>
      </c>
      <c r="Y316" s="277">
        <v>44392</v>
      </c>
      <c r="Z316" s="276">
        <v>44354</v>
      </c>
      <c r="AA316" s="273">
        <f t="shared" si="46"/>
        <v>2021</v>
      </c>
      <c r="AB316" s="273">
        <f t="shared" si="47"/>
        <v>6</v>
      </c>
      <c r="AC316" s="278" t="s">
        <v>920</v>
      </c>
      <c r="AD316" s="278" t="s">
        <v>422</v>
      </c>
      <c r="AE316" s="278" t="s">
        <v>423</v>
      </c>
      <c r="AF316" s="278" t="s">
        <v>422</v>
      </c>
      <c r="AG316" s="278" t="s">
        <v>422</v>
      </c>
      <c r="AH316" s="278" t="s">
        <v>423</v>
      </c>
      <c r="AI316" s="278" t="s">
        <v>423</v>
      </c>
      <c r="AJ316" s="278" t="s">
        <v>423</v>
      </c>
      <c r="AK316" s="278" t="s">
        <v>423</v>
      </c>
      <c r="AL316" s="279" t="s">
        <v>1240</v>
      </c>
      <c r="AM316" s="241"/>
      <c r="AN316" s="242"/>
    </row>
    <row r="317" spans="1:40" ht="15" customHeight="1" x14ac:dyDescent="0.3">
      <c r="A317" s="185">
        <v>291</v>
      </c>
      <c r="B317" s="296" t="s">
        <v>1468</v>
      </c>
      <c r="C317" s="297" t="s">
        <v>1616</v>
      </c>
      <c r="D317" s="334" t="s">
        <v>1848</v>
      </c>
      <c r="E317" s="336" t="s">
        <v>1596</v>
      </c>
      <c r="F317" s="299" t="s">
        <v>1601</v>
      </c>
      <c r="G317" s="298" t="s">
        <v>1596</v>
      </c>
      <c r="H317" s="300" t="s">
        <v>422</v>
      </c>
      <c r="I317" s="318">
        <v>2</v>
      </c>
      <c r="J317" s="318">
        <v>9.5</v>
      </c>
      <c r="K317" s="356">
        <v>10</v>
      </c>
      <c r="L317" s="212">
        <v>1</v>
      </c>
      <c r="M317" s="212">
        <f t="shared" si="40"/>
        <v>22.5</v>
      </c>
      <c r="N317" s="212">
        <f t="shared" si="41"/>
        <v>16</v>
      </c>
      <c r="O317" s="212">
        <f t="shared" si="42"/>
        <v>38</v>
      </c>
      <c r="P317" s="212">
        <f t="shared" si="43"/>
        <v>66.666666666666671</v>
      </c>
      <c r="Q317" s="212">
        <f t="shared" si="44"/>
        <v>8</v>
      </c>
      <c r="R317" s="212">
        <f t="shared" si="45"/>
        <v>128.66666666666669</v>
      </c>
      <c r="S317" s="301" t="s">
        <v>1357</v>
      </c>
      <c r="T317" s="301" t="s">
        <v>1516</v>
      </c>
      <c r="U317" s="302">
        <v>296</v>
      </c>
      <c r="V317" s="302">
        <v>298</v>
      </c>
      <c r="W317" s="302">
        <v>298</v>
      </c>
      <c r="X317" s="303">
        <v>44256</v>
      </c>
      <c r="Y317" s="303">
        <v>44365</v>
      </c>
      <c r="Z317" s="304">
        <v>44396</v>
      </c>
      <c r="AA317" s="273">
        <f t="shared" si="46"/>
        <v>2021</v>
      </c>
      <c r="AB317" s="273">
        <f t="shared" si="47"/>
        <v>7</v>
      </c>
      <c r="AC317" s="305" t="s">
        <v>920</v>
      </c>
      <c r="AD317" s="305" t="s">
        <v>422</v>
      </c>
      <c r="AE317" s="305" t="s">
        <v>422</v>
      </c>
      <c r="AF317" s="305" t="s">
        <v>422</v>
      </c>
      <c r="AG317" s="305" t="s">
        <v>422</v>
      </c>
      <c r="AH317" s="305" t="s">
        <v>422</v>
      </c>
      <c r="AI317" s="305" t="s">
        <v>422</v>
      </c>
      <c r="AJ317" s="305" t="s">
        <v>423</v>
      </c>
      <c r="AK317" s="305" t="s">
        <v>423</v>
      </c>
      <c r="AL317" s="306" t="s">
        <v>140</v>
      </c>
      <c r="AM317" s="35"/>
      <c r="AN317" s="35"/>
    </row>
    <row r="318" spans="1:40" ht="15" customHeight="1" x14ac:dyDescent="0.3">
      <c r="A318" s="185">
        <v>292</v>
      </c>
      <c r="B318" s="296" t="s">
        <v>1469</v>
      </c>
      <c r="C318" s="297" t="s">
        <v>1616</v>
      </c>
      <c r="D318" s="334" t="s">
        <v>1848</v>
      </c>
      <c r="E318" s="336" t="s">
        <v>1596</v>
      </c>
      <c r="F318" s="299" t="s">
        <v>1601</v>
      </c>
      <c r="G318" s="298" t="s">
        <v>1596</v>
      </c>
      <c r="H318" s="300" t="s">
        <v>422</v>
      </c>
      <c r="I318" s="318">
        <v>1.8</v>
      </c>
      <c r="J318" s="318">
        <v>11</v>
      </c>
      <c r="K318" s="318">
        <v>10</v>
      </c>
      <c r="L318" s="212">
        <v>1</v>
      </c>
      <c r="M318" s="212">
        <f t="shared" si="40"/>
        <v>23.8</v>
      </c>
      <c r="N318" s="212">
        <f t="shared" si="41"/>
        <v>14.4</v>
      </c>
      <c r="O318" s="212">
        <f t="shared" si="42"/>
        <v>44</v>
      </c>
      <c r="P318" s="212">
        <f t="shared" si="43"/>
        <v>66.666666666666671</v>
      </c>
      <c r="Q318" s="212">
        <f t="shared" si="44"/>
        <v>8</v>
      </c>
      <c r="R318" s="212">
        <f t="shared" si="45"/>
        <v>133.06666666666666</v>
      </c>
      <c r="S318" s="301" t="s">
        <v>1358</v>
      </c>
      <c r="T318" s="301" t="s">
        <v>1517</v>
      </c>
      <c r="U318" s="302">
        <v>150</v>
      </c>
      <c r="V318" s="302">
        <v>152</v>
      </c>
      <c r="W318" s="302">
        <v>152</v>
      </c>
      <c r="X318" s="303">
        <v>44256</v>
      </c>
      <c r="Y318" s="303">
        <v>44365</v>
      </c>
      <c r="Z318" s="304">
        <v>44396</v>
      </c>
      <c r="AA318" s="273">
        <f t="shared" si="46"/>
        <v>2021</v>
      </c>
      <c r="AB318" s="273">
        <f t="shared" si="47"/>
        <v>7</v>
      </c>
      <c r="AC318" s="305" t="s">
        <v>920</v>
      </c>
      <c r="AD318" s="305" t="s">
        <v>422</v>
      </c>
      <c r="AE318" s="305" t="s">
        <v>422</v>
      </c>
      <c r="AF318" s="305" t="s">
        <v>422</v>
      </c>
      <c r="AG318" s="305" t="s">
        <v>422</v>
      </c>
      <c r="AH318" s="305" t="s">
        <v>422</v>
      </c>
      <c r="AI318" s="305" t="s">
        <v>422</v>
      </c>
      <c r="AJ318" s="305" t="s">
        <v>423</v>
      </c>
      <c r="AK318" s="305" t="s">
        <v>423</v>
      </c>
      <c r="AL318" s="306" t="s">
        <v>772</v>
      </c>
      <c r="AM318" s="35"/>
      <c r="AN318" s="35"/>
    </row>
    <row r="319" spans="1:40" ht="15" customHeight="1" x14ac:dyDescent="0.3">
      <c r="A319" s="185">
        <v>293</v>
      </c>
      <c r="B319" s="296" t="s">
        <v>1470</v>
      </c>
      <c r="C319" s="297" t="s">
        <v>1616</v>
      </c>
      <c r="D319" s="334" t="s">
        <v>1848</v>
      </c>
      <c r="E319" s="336" t="s">
        <v>1596</v>
      </c>
      <c r="F319" s="299" t="s">
        <v>1601</v>
      </c>
      <c r="G319" s="298" t="s">
        <v>1596</v>
      </c>
      <c r="H319" s="300" t="s">
        <v>422</v>
      </c>
      <c r="I319" s="318">
        <v>1.3</v>
      </c>
      <c r="J319" s="318">
        <v>9.5</v>
      </c>
      <c r="K319" s="318">
        <v>11</v>
      </c>
      <c r="L319" s="212">
        <v>1</v>
      </c>
      <c r="M319" s="212">
        <f t="shared" si="40"/>
        <v>22.8</v>
      </c>
      <c r="N319" s="212">
        <f t="shared" si="41"/>
        <v>10.4</v>
      </c>
      <c r="O319" s="212">
        <f t="shared" si="42"/>
        <v>38</v>
      </c>
      <c r="P319" s="212">
        <f t="shared" si="43"/>
        <v>73.333333333333343</v>
      </c>
      <c r="Q319" s="212">
        <f t="shared" si="44"/>
        <v>8</v>
      </c>
      <c r="R319" s="212">
        <f t="shared" si="45"/>
        <v>129.73333333333335</v>
      </c>
      <c r="S319" s="301" t="s">
        <v>1359</v>
      </c>
      <c r="T319" s="301" t="s">
        <v>1518</v>
      </c>
      <c r="U319" s="302">
        <v>208</v>
      </c>
      <c r="V319" s="302">
        <v>210</v>
      </c>
      <c r="W319" s="302">
        <v>210</v>
      </c>
      <c r="X319" s="303">
        <v>44256</v>
      </c>
      <c r="Y319" s="303">
        <v>44365</v>
      </c>
      <c r="Z319" s="304">
        <v>44396</v>
      </c>
      <c r="AA319" s="273">
        <f t="shared" si="46"/>
        <v>2021</v>
      </c>
      <c r="AB319" s="273">
        <f t="shared" si="47"/>
        <v>7</v>
      </c>
      <c r="AC319" s="305" t="s">
        <v>920</v>
      </c>
      <c r="AD319" s="305" t="s">
        <v>422</v>
      </c>
      <c r="AE319" s="305" t="s">
        <v>422</v>
      </c>
      <c r="AF319" s="305" t="s">
        <v>422</v>
      </c>
      <c r="AG319" s="305" t="s">
        <v>422</v>
      </c>
      <c r="AH319" s="305" t="s">
        <v>422</v>
      </c>
      <c r="AI319" s="305" t="s">
        <v>422</v>
      </c>
      <c r="AJ319" s="305" t="s">
        <v>423</v>
      </c>
      <c r="AK319" s="305" t="s">
        <v>423</v>
      </c>
      <c r="AL319" s="306" t="s">
        <v>1424</v>
      </c>
      <c r="AM319" s="35"/>
      <c r="AN319" s="307"/>
    </row>
    <row r="320" spans="1:40" s="309" customFormat="1" ht="15" customHeight="1" x14ac:dyDescent="0.3">
      <c r="A320" s="185">
        <v>294</v>
      </c>
      <c r="B320" s="296" t="s">
        <v>1471</v>
      </c>
      <c r="C320" s="297" t="s">
        <v>1616</v>
      </c>
      <c r="D320" s="334" t="s">
        <v>1848</v>
      </c>
      <c r="E320" s="336" t="s">
        <v>1596</v>
      </c>
      <c r="F320" s="299" t="s">
        <v>1601</v>
      </c>
      <c r="G320" s="298" t="s">
        <v>1596</v>
      </c>
      <c r="H320" s="300" t="s">
        <v>422</v>
      </c>
      <c r="I320" s="318">
        <v>1.3</v>
      </c>
      <c r="J320" s="318">
        <v>8.5</v>
      </c>
      <c r="K320" s="318">
        <v>11</v>
      </c>
      <c r="L320" s="212">
        <v>1</v>
      </c>
      <c r="M320" s="212">
        <f t="shared" si="40"/>
        <v>21.8</v>
      </c>
      <c r="N320" s="212">
        <f t="shared" si="41"/>
        <v>10.4</v>
      </c>
      <c r="O320" s="212">
        <f t="shared" si="42"/>
        <v>34</v>
      </c>
      <c r="P320" s="212">
        <f t="shared" si="43"/>
        <v>73.333333333333343</v>
      </c>
      <c r="Q320" s="212">
        <f t="shared" si="44"/>
        <v>8</v>
      </c>
      <c r="R320" s="212">
        <f t="shared" si="45"/>
        <v>125.73333333333335</v>
      </c>
      <c r="S320" s="301" t="s">
        <v>1360</v>
      </c>
      <c r="T320" s="301" t="s">
        <v>1519</v>
      </c>
      <c r="U320" s="302">
        <v>158</v>
      </c>
      <c r="V320" s="302">
        <v>160</v>
      </c>
      <c r="W320" s="302">
        <v>160</v>
      </c>
      <c r="X320" s="303">
        <v>44256</v>
      </c>
      <c r="Y320" s="303">
        <v>44365</v>
      </c>
      <c r="Z320" s="304">
        <v>44396</v>
      </c>
      <c r="AA320" s="273">
        <f t="shared" si="46"/>
        <v>2021</v>
      </c>
      <c r="AB320" s="273">
        <f t="shared" si="47"/>
        <v>7</v>
      </c>
      <c r="AC320" s="305" t="s">
        <v>920</v>
      </c>
      <c r="AD320" s="305" t="s">
        <v>422</v>
      </c>
      <c r="AE320" s="305" t="s">
        <v>422</v>
      </c>
      <c r="AF320" s="305" t="s">
        <v>422</v>
      </c>
      <c r="AG320" s="305" t="s">
        <v>422</v>
      </c>
      <c r="AH320" s="305" t="s">
        <v>422</v>
      </c>
      <c r="AI320" s="305" t="s">
        <v>422</v>
      </c>
      <c r="AJ320" s="305" t="s">
        <v>423</v>
      </c>
      <c r="AK320" s="305" t="s">
        <v>423</v>
      </c>
      <c r="AL320" s="306" t="s">
        <v>1424</v>
      </c>
      <c r="AM320" s="35"/>
      <c r="AN320" s="307"/>
    </row>
    <row r="321" spans="1:40" ht="15" customHeight="1" x14ac:dyDescent="0.3">
      <c r="A321" s="185">
        <v>295</v>
      </c>
      <c r="B321" s="296" t="s">
        <v>1472</v>
      </c>
      <c r="C321" s="297" t="s">
        <v>1616</v>
      </c>
      <c r="D321" s="334" t="s">
        <v>1848</v>
      </c>
      <c r="E321" s="336" t="s">
        <v>1596</v>
      </c>
      <c r="F321" s="299" t="s">
        <v>1601</v>
      </c>
      <c r="G321" s="298" t="s">
        <v>1596</v>
      </c>
      <c r="H321" s="300" t="s">
        <v>422</v>
      </c>
      <c r="I321" s="356">
        <v>2</v>
      </c>
      <c r="J321" s="318">
        <f>5+2.5</f>
        <v>7.5</v>
      </c>
      <c r="K321" s="356">
        <v>11</v>
      </c>
      <c r="L321" s="212">
        <v>1.2</v>
      </c>
      <c r="M321" s="212">
        <f t="shared" si="40"/>
        <v>21.7</v>
      </c>
      <c r="N321" s="212">
        <f t="shared" si="41"/>
        <v>16</v>
      </c>
      <c r="O321" s="212">
        <f t="shared" si="42"/>
        <v>30</v>
      </c>
      <c r="P321" s="212">
        <f t="shared" si="43"/>
        <v>73.333333333333343</v>
      </c>
      <c r="Q321" s="212">
        <f t="shared" si="44"/>
        <v>9.6</v>
      </c>
      <c r="R321" s="212">
        <f t="shared" si="45"/>
        <v>128.93333333333334</v>
      </c>
      <c r="S321" s="301" t="s">
        <v>1361</v>
      </c>
      <c r="T321" s="301" t="s">
        <v>1520</v>
      </c>
      <c r="U321" s="302">
        <v>272</v>
      </c>
      <c r="V321" s="302">
        <v>274</v>
      </c>
      <c r="W321" s="302">
        <v>274</v>
      </c>
      <c r="X321" s="303">
        <v>44256</v>
      </c>
      <c r="Y321" s="303">
        <v>44365</v>
      </c>
      <c r="Z321" s="304">
        <v>44396</v>
      </c>
      <c r="AA321" s="273">
        <f t="shared" si="46"/>
        <v>2021</v>
      </c>
      <c r="AB321" s="273">
        <f t="shared" si="47"/>
        <v>7</v>
      </c>
      <c r="AC321" s="305" t="s">
        <v>920</v>
      </c>
      <c r="AD321" s="305" t="s">
        <v>422</v>
      </c>
      <c r="AE321" s="305" t="s">
        <v>422</v>
      </c>
      <c r="AF321" s="305" t="s">
        <v>422</v>
      </c>
      <c r="AG321" s="305" t="s">
        <v>422</v>
      </c>
      <c r="AH321" s="305" t="s">
        <v>422</v>
      </c>
      <c r="AI321" s="305" t="s">
        <v>422</v>
      </c>
      <c r="AJ321" s="305" t="s">
        <v>423</v>
      </c>
      <c r="AK321" s="305" t="s">
        <v>423</v>
      </c>
      <c r="AL321" s="306" t="s">
        <v>138</v>
      </c>
      <c r="AM321" s="35"/>
      <c r="AN321" s="35"/>
    </row>
    <row r="322" spans="1:40" ht="15" customHeight="1" x14ac:dyDescent="0.3">
      <c r="A322" s="185">
        <v>296</v>
      </c>
      <c r="B322" s="296" t="s">
        <v>1473</v>
      </c>
      <c r="C322" s="297" t="s">
        <v>1616</v>
      </c>
      <c r="D322" s="334" t="s">
        <v>1848</v>
      </c>
      <c r="E322" s="336" t="s">
        <v>1596</v>
      </c>
      <c r="F322" s="299" t="s">
        <v>1601</v>
      </c>
      <c r="G322" s="298" t="s">
        <v>1596</v>
      </c>
      <c r="H322" s="300" t="s">
        <v>422</v>
      </c>
      <c r="I322" s="318">
        <v>2</v>
      </c>
      <c r="J322" s="318">
        <v>10.5</v>
      </c>
      <c r="K322" s="356">
        <v>11</v>
      </c>
      <c r="L322" s="212">
        <v>1.2</v>
      </c>
      <c r="M322" s="212">
        <f t="shared" si="40"/>
        <v>24.7</v>
      </c>
      <c r="N322" s="212">
        <f t="shared" si="41"/>
        <v>16</v>
      </c>
      <c r="O322" s="212">
        <f t="shared" si="42"/>
        <v>42</v>
      </c>
      <c r="P322" s="212">
        <f t="shared" si="43"/>
        <v>73.333333333333343</v>
      </c>
      <c r="Q322" s="212">
        <f t="shared" si="44"/>
        <v>9.6</v>
      </c>
      <c r="R322" s="212">
        <f t="shared" si="45"/>
        <v>140.93333333333334</v>
      </c>
      <c r="S322" s="301" t="s">
        <v>1362</v>
      </c>
      <c r="T322" s="301" t="s">
        <v>1521</v>
      </c>
      <c r="U322" s="302">
        <v>296</v>
      </c>
      <c r="V322" s="302">
        <v>298</v>
      </c>
      <c r="W322" s="302">
        <v>298</v>
      </c>
      <c r="X322" s="303">
        <v>44256</v>
      </c>
      <c r="Y322" s="303">
        <v>44365</v>
      </c>
      <c r="Z322" s="304">
        <v>44396</v>
      </c>
      <c r="AA322" s="273">
        <f t="shared" si="46"/>
        <v>2021</v>
      </c>
      <c r="AB322" s="273">
        <f t="shared" si="47"/>
        <v>7</v>
      </c>
      <c r="AC322" s="305" t="s">
        <v>920</v>
      </c>
      <c r="AD322" s="305" t="s">
        <v>422</v>
      </c>
      <c r="AE322" s="305" t="s">
        <v>422</v>
      </c>
      <c r="AF322" s="305" t="s">
        <v>422</v>
      </c>
      <c r="AG322" s="305" t="s">
        <v>422</v>
      </c>
      <c r="AH322" s="305" t="s">
        <v>422</v>
      </c>
      <c r="AI322" s="305" t="s">
        <v>422</v>
      </c>
      <c r="AJ322" s="305" t="s">
        <v>423</v>
      </c>
      <c r="AK322" s="305" t="s">
        <v>423</v>
      </c>
      <c r="AL322" s="306" t="s">
        <v>140</v>
      </c>
      <c r="AM322" s="35"/>
      <c r="AN322" s="35"/>
    </row>
    <row r="323" spans="1:40" ht="15" customHeight="1" x14ac:dyDescent="0.3">
      <c r="A323" s="185">
        <v>297</v>
      </c>
      <c r="B323" s="296" t="s">
        <v>1474</v>
      </c>
      <c r="C323" s="297" t="s">
        <v>1616</v>
      </c>
      <c r="D323" s="334" t="s">
        <v>1848</v>
      </c>
      <c r="E323" s="336" t="s">
        <v>1596</v>
      </c>
      <c r="F323" s="299" t="s">
        <v>1601</v>
      </c>
      <c r="G323" s="298" t="s">
        <v>1596</v>
      </c>
      <c r="H323" s="300" t="s">
        <v>422</v>
      </c>
      <c r="I323" s="318">
        <v>2</v>
      </c>
      <c r="J323" s="318">
        <v>10.5</v>
      </c>
      <c r="K323" s="356">
        <v>11</v>
      </c>
      <c r="L323" s="212">
        <v>1.2</v>
      </c>
      <c r="M323" s="212">
        <f t="shared" si="40"/>
        <v>24.7</v>
      </c>
      <c r="N323" s="212">
        <f t="shared" si="41"/>
        <v>16</v>
      </c>
      <c r="O323" s="212">
        <f t="shared" si="42"/>
        <v>42</v>
      </c>
      <c r="P323" s="212">
        <f t="shared" si="43"/>
        <v>73.333333333333343</v>
      </c>
      <c r="Q323" s="212">
        <f t="shared" si="44"/>
        <v>9.6</v>
      </c>
      <c r="R323" s="212">
        <f t="shared" si="45"/>
        <v>140.93333333333334</v>
      </c>
      <c r="S323" s="301" t="s">
        <v>1363</v>
      </c>
      <c r="T323" s="301" t="s">
        <v>1522</v>
      </c>
      <c r="U323" s="302">
        <v>266</v>
      </c>
      <c r="V323" s="302">
        <v>268</v>
      </c>
      <c r="W323" s="302">
        <v>268</v>
      </c>
      <c r="X323" s="303">
        <v>44256</v>
      </c>
      <c r="Y323" s="303">
        <v>44365</v>
      </c>
      <c r="Z323" s="304">
        <v>44396</v>
      </c>
      <c r="AA323" s="273">
        <f t="shared" si="46"/>
        <v>2021</v>
      </c>
      <c r="AB323" s="273">
        <f t="shared" si="47"/>
        <v>7</v>
      </c>
      <c r="AC323" s="305" t="s">
        <v>920</v>
      </c>
      <c r="AD323" s="305" t="s">
        <v>422</v>
      </c>
      <c r="AE323" s="305" t="s">
        <v>422</v>
      </c>
      <c r="AF323" s="305" t="s">
        <v>422</v>
      </c>
      <c r="AG323" s="305" t="s">
        <v>422</v>
      </c>
      <c r="AH323" s="305" t="s">
        <v>422</v>
      </c>
      <c r="AI323" s="305" t="s">
        <v>422</v>
      </c>
      <c r="AJ323" s="305" t="s">
        <v>423</v>
      </c>
      <c r="AK323" s="305" t="s">
        <v>423</v>
      </c>
      <c r="AL323" s="306" t="s">
        <v>1424</v>
      </c>
      <c r="AM323" s="35"/>
      <c r="AN323" s="35"/>
    </row>
    <row r="324" spans="1:40" ht="15" customHeight="1" x14ac:dyDescent="0.3">
      <c r="A324" s="185">
        <v>298</v>
      </c>
      <c r="B324" s="296" t="s">
        <v>1475</v>
      </c>
      <c r="C324" s="297" t="s">
        <v>1616</v>
      </c>
      <c r="D324" s="334" t="s">
        <v>1848</v>
      </c>
      <c r="E324" s="336" t="s">
        <v>1596</v>
      </c>
      <c r="F324" s="299" t="s">
        <v>1601</v>
      </c>
      <c r="G324" s="298" t="s">
        <v>1596</v>
      </c>
      <c r="H324" s="300" t="s">
        <v>1596</v>
      </c>
      <c r="I324" s="318">
        <v>1.2</v>
      </c>
      <c r="J324" s="318">
        <v>2.5</v>
      </c>
      <c r="K324" s="356">
        <v>5.5</v>
      </c>
      <c r="L324" s="212">
        <v>0.5</v>
      </c>
      <c r="M324" s="212">
        <f t="shared" si="40"/>
        <v>9.6999999999999993</v>
      </c>
      <c r="N324" s="212">
        <f t="shared" si="41"/>
        <v>9.6</v>
      </c>
      <c r="O324" s="212">
        <f t="shared" si="42"/>
        <v>10</v>
      </c>
      <c r="P324" s="212">
        <f t="shared" si="43"/>
        <v>36.666666666666671</v>
      </c>
      <c r="Q324" s="212">
        <f t="shared" si="44"/>
        <v>4</v>
      </c>
      <c r="R324" s="212">
        <f t="shared" si="45"/>
        <v>60.266666666666673</v>
      </c>
      <c r="S324" s="301" t="s">
        <v>1364</v>
      </c>
      <c r="T324" s="301" t="s">
        <v>1523</v>
      </c>
      <c r="U324" s="302">
        <v>84</v>
      </c>
      <c r="V324" s="302">
        <v>86</v>
      </c>
      <c r="W324" s="302">
        <v>86</v>
      </c>
      <c r="X324" s="303">
        <v>44256</v>
      </c>
      <c r="Y324" s="303">
        <v>44365</v>
      </c>
      <c r="Z324" s="304">
        <v>44396</v>
      </c>
      <c r="AA324" s="273">
        <f t="shared" si="46"/>
        <v>2021</v>
      </c>
      <c r="AB324" s="273">
        <f t="shared" si="47"/>
        <v>7</v>
      </c>
      <c r="AC324" s="305" t="s">
        <v>920</v>
      </c>
      <c r="AD324" s="305" t="s">
        <v>422</v>
      </c>
      <c r="AE324" s="305" t="s">
        <v>422</v>
      </c>
      <c r="AF324" s="305" t="s">
        <v>422</v>
      </c>
      <c r="AG324" s="305" t="s">
        <v>422</v>
      </c>
      <c r="AH324" s="305" t="s">
        <v>422</v>
      </c>
      <c r="AI324" s="305" t="s">
        <v>422</v>
      </c>
      <c r="AJ324" s="305" t="s">
        <v>423</v>
      </c>
      <c r="AK324" s="305" t="s">
        <v>423</v>
      </c>
      <c r="AL324" s="306" t="s">
        <v>138</v>
      </c>
      <c r="AM324" s="35"/>
      <c r="AN324" s="35"/>
    </row>
    <row r="325" spans="1:40" ht="15" customHeight="1" x14ac:dyDescent="0.3">
      <c r="A325" s="185">
        <v>299</v>
      </c>
      <c r="B325" s="296" t="s">
        <v>1476</v>
      </c>
      <c r="C325" s="297" t="s">
        <v>1616</v>
      </c>
      <c r="D325" s="334" t="s">
        <v>1848</v>
      </c>
      <c r="E325" s="298" t="s">
        <v>1596</v>
      </c>
      <c r="F325" s="299" t="s">
        <v>1597</v>
      </c>
      <c r="G325" s="298" t="s">
        <v>1596</v>
      </c>
      <c r="H325" s="300" t="s">
        <v>422</v>
      </c>
      <c r="I325" s="356">
        <v>2</v>
      </c>
      <c r="J325" s="318">
        <v>2.5</v>
      </c>
      <c r="K325" s="318">
        <v>5.5</v>
      </c>
      <c r="L325" s="212">
        <v>0.5</v>
      </c>
      <c r="M325" s="212">
        <f t="shared" ref="M325:M388" si="48">SUM((I325:L325))</f>
        <v>10.5</v>
      </c>
      <c r="N325" s="212">
        <f t="shared" ref="N325:N388" si="49">+I325/0.125</f>
        <v>16</v>
      </c>
      <c r="O325" s="212">
        <f t="shared" ref="O325:O388" si="50">+J325/0.25</f>
        <v>10</v>
      </c>
      <c r="P325" s="212">
        <f t="shared" ref="P325:P388" si="51">+K325/0.15</f>
        <v>36.666666666666671</v>
      </c>
      <c r="Q325" s="212">
        <f t="shared" ref="Q325:Q388" si="52">+L325/0.125</f>
        <v>4</v>
      </c>
      <c r="R325" s="212">
        <f t="shared" ref="R325:R388" si="53">SUM(N325:Q325)</f>
        <v>66.666666666666671</v>
      </c>
      <c r="S325" s="301" t="s">
        <v>1364</v>
      </c>
      <c r="T325" s="301" t="s">
        <v>1524</v>
      </c>
      <c r="U325" s="302">
        <v>90</v>
      </c>
      <c r="V325" s="302">
        <v>90</v>
      </c>
      <c r="W325" s="302">
        <v>90</v>
      </c>
      <c r="X325" s="303">
        <v>44256</v>
      </c>
      <c r="Y325" s="303">
        <v>44365</v>
      </c>
      <c r="Z325" s="304">
        <v>44396</v>
      </c>
      <c r="AA325" s="273">
        <f t="shared" ref="AA325:AA388" si="54">IF(YEAR(Z325)&gt;2000,YEAR(Z325),YEAR(Y325))</f>
        <v>2021</v>
      </c>
      <c r="AB325" s="273">
        <f t="shared" ref="AB325:AB388" si="55">MONTH(Z325)</f>
        <v>7</v>
      </c>
      <c r="AC325" s="305" t="s">
        <v>920</v>
      </c>
      <c r="AD325" s="305" t="s">
        <v>422</v>
      </c>
      <c r="AE325" s="305" t="s">
        <v>422</v>
      </c>
      <c r="AF325" s="305" t="s">
        <v>422</v>
      </c>
      <c r="AG325" s="305" t="s">
        <v>422</v>
      </c>
      <c r="AH325" s="305" t="s">
        <v>422</v>
      </c>
      <c r="AI325" s="305" t="s">
        <v>422</v>
      </c>
      <c r="AJ325" s="305" t="s">
        <v>423</v>
      </c>
      <c r="AK325" s="305" t="s">
        <v>423</v>
      </c>
      <c r="AL325" s="306" t="s">
        <v>1424</v>
      </c>
      <c r="AM325" s="35"/>
      <c r="AN325" s="307"/>
    </row>
    <row r="326" spans="1:40" ht="15" customHeight="1" x14ac:dyDescent="0.3">
      <c r="A326" s="185">
        <v>300</v>
      </c>
      <c r="B326" s="296" t="s">
        <v>1477</v>
      </c>
      <c r="C326" s="297" t="s">
        <v>1616</v>
      </c>
      <c r="D326" s="334" t="s">
        <v>1848</v>
      </c>
      <c r="E326" s="298" t="s">
        <v>1596</v>
      </c>
      <c r="F326" s="299" t="s">
        <v>1601</v>
      </c>
      <c r="G326" s="298" t="s">
        <v>1596</v>
      </c>
      <c r="H326" s="300" t="s">
        <v>422</v>
      </c>
      <c r="I326" s="318">
        <v>1.8</v>
      </c>
      <c r="J326" s="318">
        <v>11</v>
      </c>
      <c r="K326" s="318">
        <v>8.5</v>
      </c>
      <c r="L326" s="212">
        <v>1</v>
      </c>
      <c r="M326" s="212">
        <f t="shared" si="48"/>
        <v>22.3</v>
      </c>
      <c r="N326" s="212">
        <f t="shared" si="49"/>
        <v>14.4</v>
      </c>
      <c r="O326" s="212">
        <f t="shared" si="50"/>
        <v>44</v>
      </c>
      <c r="P326" s="212">
        <f t="shared" si="51"/>
        <v>56.666666666666671</v>
      </c>
      <c r="Q326" s="212">
        <f t="shared" si="52"/>
        <v>8</v>
      </c>
      <c r="R326" s="212">
        <f t="shared" si="53"/>
        <v>123.06666666666666</v>
      </c>
      <c r="S326" s="301" t="s">
        <v>1350</v>
      </c>
      <c r="T326" s="301" t="s">
        <v>1525</v>
      </c>
      <c r="U326" s="302">
        <v>224</v>
      </c>
      <c r="V326" s="302">
        <v>226</v>
      </c>
      <c r="W326" s="302">
        <v>226</v>
      </c>
      <c r="X326" s="303">
        <v>44256</v>
      </c>
      <c r="Y326" s="303">
        <v>44365</v>
      </c>
      <c r="Z326" s="304">
        <v>44396</v>
      </c>
      <c r="AA326" s="273">
        <f t="shared" si="54"/>
        <v>2021</v>
      </c>
      <c r="AB326" s="273">
        <f t="shared" si="55"/>
        <v>7</v>
      </c>
      <c r="AC326" s="305" t="s">
        <v>920</v>
      </c>
      <c r="AD326" s="305" t="s">
        <v>422</v>
      </c>
      <c r="AE326" s="305" t="s">
        <v>422</v>
      </c>
      <c r="AF326" s="305" t="s">
        <v>422</v>
      </c>
      <c r="AG326" s="305" t="s">
        <v>422</v>
      </c>
      <c r="AH326" s="305" t="s">
        <v>422</v>
      </c>
      <c r="AI326" s="305" t="s">
        <v>422</v>
      </c>
      <c r="AJ326" s="305" t="s">
        <v>423</v>
      </c>
      <c r="AK326" s="305" t="s">
        <v>423</v>
      </c>
      <c r="AL326" s="306" t="s">
        <v>772</v>
      </c>
      <c r="AM326" s="35"/>
      <c r="AN326" s="35"/>
    </row>
    <row r="327" spans="1:40" ht="15" customHeight="1" x14ac:dyDescent="0.3">
      <c r="A327" s="185">
        <v>301</v>
      </c>
      <c r="B327" s="296" t="s">
        <v>1478</v>
      </c>
      <c r="C327" s="297" t="s">
        <v>1616</v>
      </c>
      <c r="D327" s="334" t="s">
        <v>1848</v>
      </c>
      <c r="E327" s="298" t="s">
        <v>1596</v>
      </c>
      <c r="F327" s="299" t="s">
        <v>1601</v>
      </c>
      <c r="G327" s="298" t="s">
        <v>1596</v>
      </c>
      <c r="H327" s="300" t="s">
        <v>422</v>
      </c>
      <c r="I327" s="318">
        <v>1.3</v>
      </c>
      <c r="J327" s="318">
        <v>11</v>
      </c>
      <c r="K327" s="318">
        <v>14</v>
      </c>
      <c r="L327" s="212">
        <v>1</v>
      </c>
      <c r="M327" s="212">
        <f t="shared" si="48"/>
        <v>27.3</v>
      </c>
      <c r="N327" s="212">
        <f t="shared" si="49"/>
        <v>10.4</v>
      </c>
      <c r="O327" s="212">
        <f t="shared" si="50"/>
        <v>44</v>
      </c>
      <c r="P327" s="212">
        <f t="shared" si="51"/>
        <v>93.333333333333343</v>
      </c>
      <c r="Q327" s="212">
        <f t="shared" si="52"/>
        <v>8</v>
      </c>
      <c r="R327" s="212">
        <f t="shared" si="53"/>
        <v>155.73333333333335</v>
      </c>
      <c r="S327" s="301" t="s">
        <v>1351</v>
      </c>
      <c r="T327" s="301" t="s">
        <v>1526</v>
      </c>
      <c r="U327" s="302">
        <v>232</v>
      </c>
      <c r="V327" s="302">
        <v>234</v>
      </c>
      <c r="W327" s="302">
        <v>234</v>
      </c>
      <c r="X327" s="303">
        <v>44256</v>
      </c>
      <c r="Y327" s="303">
        <v>44365</v>
      </c>
      <c r="Z327" s="304">
        <v>44396</v>
      </c>
      <c r="AA327" s="273">
        <f t="shared" si="54"/>
        <v>2021</v>
      </c>
      <c r="AB327" s="273">
        <f t="shared" si="55"/>
        <v>7</v>
      </c>
      <c r="AC327" s="305" t="s">
        <v>920</v>
      </c>
      <c r="AD327" s="305" t="s">
        <v>422</v>
      </c>
      <c r="AE327" s="305" t="s">
        <v>422</v>
      </c>
      <c r="AF327" s="305" t="s">
        <v>422</v>
      </c>
      <c r="AG327" s="305" t="s">
        <v>422</v>
      </c>
      <c r="AH327" s="305" t="s">
        <v>422</v>
      </c>
      <c r="AI327" s="305" t="s">
        <v>422</v>
      </c>
      <c r="AJ327" s="305" t="s">
        <v>423</v>
      </c>
      <c r="AK327" s="305" t="s">
        <v>423</v>
      </c>
      <c r="AL327" s="306" t="s">
        <v>772</v>
      </c>
      <c r="AM327" s="35"/>
      <c r="AN327" s="307"/>
    </row>
    <row r="328" spans="1:40" ht="15" customHeight="1" x14ac:dyDescent="0.3">
      <c r="A328" s="185">
        <v>302</v>
      </c>
      <c r="B328" s="296" t="s">
        <v>1479</v>
      </c>
      <c r="C328" s="297" t="s">
        <v>1616</v>
      </c>
      <c r="D328" s="315" t="s">
        <v>1848</v>
      </c>
      <c r="E328" s="298" t="s">
        <v>1596</v>
      </c>
      <c r="F328" s="299" t="s">
        <v>1601</v>
      </c>
      <c r="G328" s="298" t="s">
        <v>1596</v>
      </c>
      <c r="H328" s="300" t="s">
        <v>422</v>
      </c>
      <c r="I328" s="318">
        <v>1.3</v>
      </c>
      <c r="J328" s="318">
        <v>8.5</v>
      </c>
      <c r="K328" s="318">
        <v>14</v>
      </c>
      <c r="L328" s="212">
        <v>1</v>
      </c>
      <c r="M328" s="212">
        <f t="shared" si="48"/>
        <v>24.8</v>
      </c>
      <c r="N328" s="212">
        <f t="shared" si="49"/>
        <v>10.4</v>
      </c>
      <c r="O328" s="212">
        <f t="shared" si="50"/>
        <v>34</v>
      </c>
      <c r="P328" s="212">
        <f t="shared" si="51"/>
        <v>93.333333333333343</v>
      </c>
      <c r="Q328" s="212">
        <f t="shared" si="52"/>
        <v>8</v>
      </c>
      <c r="R328" s="212">
        <f t="shared" si="53"/>
        <v>145.73333333333335</v>
      </c>
      <c r="S328" s="301" t="s">
        <v>1352</v>
      </c>
      <c r="T328" s="301" t="s">
        <v>1527</v>
      </c>
      <c r="U328" s="302">
        <v>98</v>
      </c>
      <c r="V328" s="302">
        <v>100</v>
      </c>
      <c r="W328" s="302">
        <v>100</v>
      </c>
      <c r="X328" s="303">
        <v>44256</v>
      </c>
      <c r="Y328" s="303">
        <v>44365</v>
      </c>
      <c r="Z328" s="304">
        <v>44396</v>
      </c>
      <c r="AA328" s="273">
        <f t="shared" si="54"/>
        <v>2021</v>
      </c>
      <c r="AB328" s="273">
        <f t="shared" si="55"/>
        <v>7</v>
      </c>
      <c r="AC328" s="305" t="s">
        <v>920</v>
      </c>
      <c r="AD328" s="305" t="s">
        <v>422</v>
      </c>
      <c r="AE328" s="305" t="s">
        <v>422</v>
      </c>
      <c r="AF328" s="305" t="s">
        <v>422</v>
      </c>
      <c r="AG328" s="305" t="s">
        <v>422</v>
      </c>
      <c r="AH328" s="305" t="s">
        <v>422</v>
      </c>
      <c r="AI328" s="305" t="s">
        <v>422</v>
      </c>
      <c r="AJ328" s="305" t="s">
        <v>423</v>
      </c>
      <c r="AK328" s="305" t="s">
        <v>423</v>
      </c>
      <c r="AL328" s="306" t="s">
        <v>1424</v>
      </c>
      <c r="AM328" s="35"/>
      <c r="AN328" s="307"/>
    </row>
    <row r="329" spans="1:40" ht="15" customHeight="1" x14ac:dyDescent="0.3">
      <c r="A329" s="185">
        <v>303</v>
      </c>
      <c r="B329" s="296" t="s">
        <v>1480</v>
      </c>
      <c r="C329" s="297" t="s">
        <v>1616</v>
      </c>
      <c r="D329" s="315" t="s">
        <v>1848</v>
      </c>
      <c r="E329" s="298" t="s">
        <v>1596</v>
      </c>
      <c r="F329" s="299" t="s">
        <v>1597</v>
      </c>
      <c r="G329" s="298" t="s">
        <v>1596</v>
      </c>
      <c r="H329" s="300" t="s">
        <v>422</v>
      </c>
      <c r="I329" s="356">
        <v>2</v>
      </c>
      <c r="J329" s="318">
        <v>9.5</v>
      </c>
      <c r="K329" s="318">
        <v>14</v>
      </c>
      <c r="L329" s="212">
        <v>1.2</v>
      </c>
      <c r="M329" s="212">
        <f t="shared" si="48"/>
        <v>26.7</v>
      </c>
      <c r="N329" s="212">
        <f t="shared" si="49"/>
        <v>16</v>
      </c>
      <c r="O329" s="212">
        <f t="shared" si="50"/>
        <v>38</v>
      </c>
      <c r="P329" s="212">
        <f t="shared" si="51"/>
        <v>93.333333333333343</v>
      </c>
      <c r="Q329" s="212">
        <f t="shared" si="52"/>
        <v>9.6</v>
      </c>
      <c r="R329" s="212">
        <f t="shared" si="53"/>
        <v>156.93333333333334</v>
      </c>
      <c r="S329" s="301" t="s">
        <v>1353</v>
      </c>
      <c r="T329" s="301" t="s">
        <v>1528</v>
      </c>
      <c r="U329" s="302">
        <v>162</v>
      </c>
      <c r="V329" s="302">
        <v>164</v>
      </c>
      <c r="W329" s="302">
        <v>164</v>
      </c>
      <c r="X329" s="303">
        <v>44256</v>
      </c>
      <c r="Y329" s="303">
        <v>44365</v>
      </c>
      <c r="Z329" s="304">
        <v>44396</v>
      </c>
      <c r="AA329" s="273">
        <f t="shared" si="54"/>
        <v>2021</v>
      </c>
      <c r="AB329" s="273">
        <f t="shared" si="55"/>
        <v>7</v>
      </c>
      <c r="AC329" s="305" t="s">
        <v>920</v>
      </c>
      <c r="AD329" s="305" t="s">
        <v>422</v>
      </c>
      <c r="AE329" s="305" t="s">
        <v>422</v>
      </c>
      <c r="AF329" s="305" t="s">
        <v>422</v>
      </c>
      <c r="AG329" s="305" t="s">
        <v>422</v>
      </c>
      <c r="AH329" s="305" t="s">
        <v>422</v>
      </c>
      <c r="AI329" s="305" t="s">
        <v>422</v>
      </c>
      <c r="AJ329" s="305" t="s">
        <v>423</v>
      </c>
      <c r="AK329" s="305" t="s">
        <v>423</v>
      </c>
      <c r="AL329" s="306" t="s">
        <v>1424</v>
      </c>
      <c r="AM329" s="35"/>
      <c r="AN329" s="35"/>
    </row>
    <row r="330" spans="1:40" ht="15" customHeight="1" x14ac:dyDescent="0.3">
      <c r="A330" s="185">
        <v>304</v>
      </c>
      <c r="B330" s="296" t="s">
        <v>1481</v>
      </c>
      <c r="C330" s="297" t="s">
        <v>1616</v>
      </c>
      <c r="D330" s="315" t="s">
        <v>1848</v>
      </c>
      <c r="E330" s="298" t="s">
        <v>1596</v>
      </c>
      <c r="F330" s="299" t="s">
        <v>1601</v>
      </c>
      <c r="G330" s="298" t="s">
        <v>1596</v>
      </c>
      <c r="H330" s="300" t="s">
        <v>422</v>
      </c>
      <c r="I330" s="318">
        <v>2</v>
      </c>
      <c r="J330" s="318">
        <v>9.5</v>
      </c>
      <c r="K330" s="356">
        <v>8.5</v>
      </c>
      <c r="L330" s="212">
        <v>1</v>
      </c>
      <c r="M330" s="212">
        <f t="shared" si="48"/>
        <v>21</v>
      </c>
      <c r="N330" s="212">
        <f t="shared" si="49"/>
        <v>16</v>
      </c>
      <c r="O330" s="212">
        <f t="shared" si="50"/>
        <v>38</v>
      </c>
      <c r="P330" s="212">
        <f t="shared" si="51"/>
        <v>56.666666666666671</v>
      </c>
      <c r="Q330" s="212">
        <f t="shared" si="52"/>
        <v>8</v>
      </c>
      <c r="R330" s="212">
        <f t="shared" si="53"/>
        <v>118.66666666666667</v>
      </c>
      <c r="S330" s="301" t="s">
        <v>1354</v>
      </c>
      <c r="T330" s="301" t="s">
        <v>1529</v>
      </c>
      <c r="U330" s="302">
        <v>120</v>
      </c>
      <c r="V330" s="302">
        <v>122</v>
      </c>
      <c r="W330" s="302">
        <v>122</v>
      </c>
      <c r="X330" s="303">
        <v>44256</v>
      </c>
      <c r="Y330" s="303">
        <v>44365</v>
      </c>
      <c r="Z330" s="304">
        <v>44396</v>
      </c>
      <c r="AA330" s="273">
        <f t="shared" si="54"/>
        <v>2021</v>
      </c>
      <c r="AB330" s="273">
        <f t="shared" si="55"/>
        <v>7</v>
      </c>
      <c r="AC330" s="305" t="s">
        <v>920</v>
      </c>
      <c r="AD330" s="305" t="s">
        <v>422</v>
      </c>
      <c r="AE330" s="305" t="s">
        <v>422</v>
      </c>
      <c r="AF330" s="305" t="s">
        <v>422</v>
      </c>
      <c r="AG330" s="305" t="s">
        <v>422</v>
      </c>
      <c r="AH330" s="305" t="s">
        <v>422</v>
      </c>
      <c r="AI330" s="305" t="s">
        <v>422</v>
      </c>
      <c r="AJ330" s="305" t="s">
        <v>423</v>
      </c>
      <c r="AK330" s="305" t="s">
        <v>423</v>
      </c>
      <c r="AL330" s="306" t="s">
        <v>1424</v>
      </c>
      <c r="AM330" s="35"/>
      <c r="AN330" s="35"/>
    </row>
    <row r="331" spans="1:40" ht="15" customHeight="1" x14ac:dyDescent="0.3">
      <c r="A331" s="185">
        <v>305</v>
      </c>
      <c r="B331" s="296" t="s">
        <v>1482</v>
      </c>
      <c r="C331" s="297" t="s">
        <v>1616</v>
      </c>
      <c r="D331" s="315" t="s">
        <v>1848</v>
      </c>
      <c r="E331" s="298" t="s">
        <v>1596</v>
      </c>
      <c r="F331" s="299" t="s">
        <v>1597</v>
      </c>
      <c r="G331" s="298" t="s">
        <v>1596</v>
      </c>
      <c r="H331" s="300" t="s">
        <v>422</v>
      </c>
      <c r="I331" s="356">
        <v>2</v>
      </c>
      <c r="J331" s="318">
        <v>2.5</v>
      </c>
      <c r="K331" s="318">
        <v>5.5</v>
      </c>
      <c r="L331" s="212">
        <v>0.5</v>
      </c>
      <c r="M331" s="212">
        <f t="shared" si="48"/>
        <v>10.5</v>
      </c>
      <c r="N331" s="212">
        <f t="shared" si="49"/>
        <v>16</v>
      </c>
      <c r="O331" s="212">
        <f t="shared" si="50"/>
        <v>10</v>
      </c>
      <c r="P331" s="212">
        <f t="shared" si="51"/>
        <v>36.666666666666671</v>
      </c>
      <c r="Q331" s="212">
        <f t="shared" si="52"/>
        <v>4</v>
      </c>
      <c r="R331" s="212">
        <f t="shared" si="53"/>
        <v>66.666666666666671</v>
      </c>
      <c r="S331" s="301" t="s">
        <v>1355</v>
      </c>
      <c r="T331" s="301" t="s">
        <v>1530</v>
      </c>
      <c r="U331" s="302">
        <v>34</v>
      </c>
      <c r="V331" s="302">
        <v>35</v>
      </c>
      <c r="W331" s="302">
        <v>35</v>
      </c>
      <c r="X331" s="303">
        <v>44256</v>
      </c>
      <c r="Y331" s="303">
        <v>44365</v>
      </c>
      <c r="Z331" s="304">
        <v>44396</v>
      </c>
      <c r="AA331" s="273">
        <f t="shared" si="54"/>
        <v>2021</v>
      </c>
      <c r="AB331" s="273">
        <f t="shared" si="55"/>
        <v>7</v>
      </c>
      <c r="AC331" s="305" t="s">
        <v>920</v>
      </c>
      <c r="AD331" s="305" t="s">
        <v>422</v>
      </c>
      <c r="AE331" s="305" t="s">
        <v>422</v>
      </c>
      <c r="AF331" s="305" t="s">
        <v>422</v>
      </c>
      <c r="AG331" s="305" t="s">
        <v>422</v>
      </c>
      <c r="AH331" s="305" t="s">
        <v>422</v>
      </c>
      <c r="AI331" s="305" t="s">
        <v>422</v>
      </c>
      <c r="AJ331" s="305" t="s">
        <v>423</v>
      </c>
      <c r="AK331" s="305" t="s">
        <v>423</v>
      </c>
      <c r="AL331" s="306" t="s">
        <v>1424</v>
      </c>
      <c r="AM331" s="35"/>
      <c r="AN331" s="307"/>
    </row>
    <row r="332" spans="1:40" ht="15" customHeight="1" x14ac:dyDescent="0.3">
      <c r="A332" s="185">
        <v>306</v>
      </c>
      <c r="B332" s="296" t="s">
        <v>1483</v>
      </c>
      <c r="C332" s="297" t="s">
        <v>1616</v>
      </c>
      <c r="D332" s="315" t="s">
        <v>1848</v>
      </c>
      <c r="E332" s="298" t="s">
        <v>1596</v>
      </c>
      <c r="F332" s="299" t="s">
        <v>1597</v>
      </c>
      <c r="G332" s="298" t="s">
        <v>1596</v>
      </c>
      <c r="H332" s="300" t="s">
        <v>422</v>
      </c>
      <c r="I332" s="356">
        <v>2</v>
      </c>
      <c r="J332" s="318">
        <v>2.5</v>
      </c>
      <c r="K332" s="318">
        <v>5.5</v>
      </c>
      <c r="L332" s="212">
        <v>0.5</v>
      </c>
      <c r="M332" s="212">
        <f t="shared" si="48"/>
        <v>10.5</v>
      </c>
      <c r="N332" s="212">
        <f t="shared" si="49"/>
        <v>16</v>
      </c>
      <c r="O332" s="212">
        <f t="shared" si="50"/>
        <v>10</v>
      </c>
      <c r="P332" s="212">
        <f t="shared" si="51"/>
        <v>36.666666666666671</v>
      </c>
      <c r="Q332" s="212">
        <f t="shared" si="52"/>
        <v>4</v>
      </c>
      <c r="R332" s="212">
        <f t="shared" si="53"/>
        <v>66.666666666666671</v>
      </c>
      <c r="S332" s="301" t="s">
        <v>1356</v>
      </c>
      <c r="T332" s="301" t="s">
        <v>1531</v>
      </c>
      <c r="U332" s="302">
        <v>52</v>
      </c>
      <c r="V332" s="302">
        <v>52</v>
      </c>
      <c r="W332" s="302">
        <v>52</v>
      </c>
      <c r="X332" s="303">
        <v>44256</v>
      </c>
      <c r="Y332" s="303">
        <v>44365</v>
      </c>
      <c r="Z332" s="304">
        <v>44396</v>
      </c>
      <c r="AA332" s="273">
        <f t="shared" si="54"/>
        <v>2021</v>
      </c>
      <c r="AB332" s="273">
        <f t="shared" si="55"/>
        <v>7</v>
      </c>
      <c r="AC332" s="305" t="s">
        <v>920</v>
      </c>
      <c r="AD332" s="305" t="s">
        <v>422</v>
      </c>
      <c r="AE332" s="305" t="s">
        <v>422</v>
      </c>
      <c r="AF332" s="305" t="s">
        <v>422</v>
      </c>
      <c r="AG332" s="305" t="s">
        <v>422</v>
      </c>
      <c r="AH332" s="305" t="s">
        <v>422</v>
      </c>
      <c r="AI332" s="305" t="s">
        <v>422</v>
      </c>
      <c r="AJ332" s="305" t="s">
        <v>423</v>
      </c>
      <c r="AK332" s="305" t="s">
        <v>423</v>
      </c>
      <c r="AL332" s="306" t="s">
        <v>1424</v>
      </c>
      <c r="AM332" s="35"/>
      <c r="AN332" s="307"/>
    </row>
    <row r="333" spans="1:40" ht="15" customHeight="1" x14ac:dyDescent="0.3">
      <c r="A333" s="185">
        <v>307</v>
      </c>
      <c r="B333" s="296" t="s">
        <v>1484</v>
      </c>
      <c r="C333" s="297" t="s">
        <v>1616</v>
      </c>
      <c r="D333" s="315" t="s">
        <v>1848</v>
      </c>
      <c r="E333" s="298" t="s">
        <v>1596</v>
      </c>
      <c r="F333" s="299" t="s">
        <v>1601</v>
      </c>
      <c r="G333" s="298" t="s">
        <v>1596</v>
      </c>
      <c r="H333" s="300" t="s">
        <v>422</v>
      </c>
      <c r="I333" s="318">
        <v>1.2</v>
      </c>
      <c r="J333" s="318">
        <v>2.5</v>
      </c>
      <c r="K333" s="356">
        <v>5.5</v>
      </c>
      <c r="L333" s="212">
        <v>0.5</v>
      </c>
      <c r="M333" s="212">
        <f t="shared" si="48"/>
        <v>9.6999999999999993</v>
      </c>
      <c r="N333" s="212">
        <f t="shared" si="49"/>
        <v>9.6</v>
      </c>
      <c r="O333" s="212">
        <f t="shared" si="50"/>
        <v>10</v>
      </c>
      <c r="P333" s="212">
        <f t="shared" si="51"/>
        <v>36.666666666666671</v>
      </c>
      <c r="Q333" s="212">
        <f t="shared" si="52"/>
        <v>4</v>
      </c>
      <c r="R333" s="212">
        <f t="shared" si="53"/>
        <v>60.266666666666673</v>
      </c>
      <c r="S333" s="301" t="s">
        <v>1356</v>
      </c>
      <c r="T333" s="301" t="s">
        <v>1532</v>
      </c>
      <c r="U333" s="302">
        <v>8</v>
      </c>
      <c r="V333" s="302">
        <v>8</v>
      </c>
      <c r="W333" s="302">
        <v>8</v>
      </c>
      <c r="X333" s="303">
        <v>44256</v>
      </c>
      <c r="Y333" s="303">
        <v>44365</v>
      </c>
      <c r="Z333" s="304">
        <v>44396</v>
      </c>
      <c r="AA333" s="273">
        <f t="shared" si="54"/>
        <v>2021</v>
      </c>
      <c r="AB333" s="273">
        <f t="shared" si="55"/>
        <v>7</v>
      </c>
      <c r="AC333" s="305" t="s">
        <v>920</v>
      </c>
      <c r="AD333" s="305" t="s">
        <v>422</v>
      </c>
      <c r="AE333" s="305" t="s">
        <v>423</v>
      </c>
      <c r="AF333" s="305" t="s">
        <v>422</v>
      </c>
      <c r="AG333" s="305" t="s">
        <v>422</v>
      </c>
      <c r="AH333" s="305" t="s">
        <v>423</v>
      </c>
      <c r="AI333" s="305" t="s">
        <v>422</v>
      </c>
      <c r="AJ333" s="305" t="s">
        <v>423</v>
      </c>
      <c r="AK333" s="305" t="s">
        <v>423</v>
      </c>
      <c r="AL333" s="306" t="s">
        <v>138</v>
      </c>
      <c r="AM333" s="35"/>
      <c r="AN333" s="35"/>
    </row>
    <row r="334" spans="1:40" ht="15" customHeight="1" x14ac:dyDescent="0.3">
      <c r="A334" s="185">
        <v>309</v>
      </c>
      <c r="B334" s="230" t="s">
        <v>1537</v>
      </c>
      <c r="C334" s="247" t="s">
        <v>1615</v>
      </c>
      <c r="D334" s="199" t="s">
        <v>1881</v>
      </c>
      <c r="E334" s="370" t="s">
        <v>1596</v>
      </c>
      <c r="F334" s="383" t="s">
        <v>1597</v>
      </c>
      <c r="G334" s="370" t="s">
        <v>1604</v>
      </c>
      <c r="H334" s="248" t="s">
        <v>422</v>
      </c>
      <c r="I334" s="356">
        <v>2</v>
      </c>
      <c r="J334" s="317">
        <v>10</v>
      </c>
      <c r="K334" s="317">
        <v>0</v>
      </c>
      <c r="L334" s="212">
        <v>1.5</v>
      </c>
      <c r="M334" s="212">
        <f t="shared" si="48"/>
        <v>13.5</v>
      </c>
      <c r="N334" s="212">
        <f t="shared" si="49"/>
        <v>16</v>
      </c>
      <c r="O334" s="212">
        <f t="shared" si="50"/>
        <v>40</v>
      </c>
      <c r="P334" s="212">
        <f t="shared" si="51"/>
        <v>0</v>
      </c>
      <c r="Q334" s="212">
        <f t="shared" si="52"/>
        <v>12</v>
      </c>
      <c r="R334" s="212">
        <f t="shared" si="53"/>
        <v>68</v>
      </c>
      <c r="S334" s="384" t="s">
        <v>1539</v>
      </c>
      <c r="T334" s="384" t="s">
        <v>1032</v>
      </c>
      <c r="U334" s="280">
        <v>120</v>
      </c>
      <c r="V334" s="280">
        <v>120</v>
      </c>
      <c r="W334" s="280">
        <v>120</v>
      </c>
      <c r="X334" s="374">
        <v>44123</v>
      </c>
      <c r="Y334" s="374">
        <v>44185</v>
      </c>
      <c r="Z334" s="374">
        <v>44389</v>
      </c>
      <c r="AA334" s="273">
        <f t="shared" si="54"/>
        <v>2021</v>
      </c>
      <c r="AB334" s="273">
        <f t="shared" si="55"/>
        <v>7</v>
      </c>
      <c r="AC334" s="305" t="s">
        <v>920</v>
      </c>
      <c r="AD334" s="278" t="s">
        <v>422</v>
      </c>
      <c r="AE334" s="278" t="s">
        <v>422</v>
      </c>
      <c r="AF334" s="278" t="s">
        <v>422</v>
      </c>
      <c r="AG334" s="278" t="s">
        <v>422</v>
      </c>
      <c r="AH334" s="278" t="s">
        <v>422</v>
      </c>
      <c r="AI334" s="278" t="s">
        <v>423</v>
      </c>
      <c r="AJ334" s="278" t="s">
        <v>422</v>
      </c>
      <c r="AK334" s="278" t="s">
        <v>423</v>
      </c>
      <c r="AL334" s="279" t="s">
        <v>1372</v>
      </c>
      <c r="AM334" s="241"/>
      <c r="AN334" s="241"/>
    </row>
    <row r="335" spans="1:40" ht="15" customHeight="1" x14ac:dyDescent="0.3">
      <c r="A335" s="185">
        <v>310</v>
      </c>
      <c r="B335" s="230" t="s">
        <v>1538</v>
      </c>
      <c r="C335" s="247" t="s">
        <v>1615</v>
      </c>
      <c r="D335" s="199" t="s">
        <v>1881</v>
      </c>
      <c r="E335" s="370" t="s">
        <v>1596</v>
      </c>
      <c r="F335" s="383" t="s">
        <v>1597</v>
      </c>
      <c r="G335" s="370" t="s">
        <v>1604</v>
      </c>
      <c r="H335" s="248" t="s">
        <v>422</v>
      </c>
      <c r="I335" s="356">
        <v>2</v>
      </c>
      <c r="J335" s="317">
        <v>7</v>
      </c>
      <c r="K335" s="317">
        <v>0</v>
      </c>
      <c r="L335" s="212">
        <v>1</v>
      </c>
      <c r="M335" s="212">
        <f t="shared" si="48"/>
        <v>10</v>
      </c>
      <c r="N335" s="212">
        <f t="shared" si="49"/>
        <v>16</v>
      </c>
      <c r="O335" s="212">
        <f t="shared" si="50"/>
        <v>28</v>
      </c>
      <c r="P335" s="212">
        <f t="shared" si="51"/>
        <v>0</v>
      </c>
      <c r="Q335" s="212">
        <f t="shared" si="52"/>
        <v>8</v>
      </c>
      <c r="R335" s="212">
        <f t="shared" si="53"/>
        <v>52</v>
      </c>
      <c r="S335" s="384" t="s">
        <v>1540</v>
      </c>
      <c r="T335" s="384" t="s">
        <v>1541</v>
      </c>
      <c r="U335" s="280">
        <v>170</v>
      </c>
      <c r="V335" s="280">
        <v>170</v>
      </c>
      <c r="W335" s="280">
        <v>170</v>
      </c>
      <c r="X335" s="374">
        <v>44286</v>
      </c>
      <c r="Y335" s="374">
        <v>44317</v>
      </c>
      <c r="Z335" s="374">
        <v>44389</v>
      </c>
      <c r="AA335" s="273">
        <f t="shared" si="54"/>
        <v>2021</v>
      </c>
      <c r="AB335" s="273">
        <f t="shared" si="55"/>
        <v>7</v>
      </c>
      <c r="AC335" s="305" t="s">
        <v>920</v>
      </c>
      <c r="AD335" s="278" t="s">
        <v>422</v>
      </c>
      <c r="AE335" s="278" t="s">
        <v>422</v>
      </c>
      <c r="AF335" s="278" t="s">
        <v>422</v>
      </c>
      <c r="AG335" s="278" t="s">
        <v>422</v>
      </c>
      <c r="AH335" s="278" t="s">
        <v>422</v>
      </c>
      <c r="AI335" s="278" t="s">
        <v>423</v>
      </c>
      <c r="AJ335" s="278" t="s">
        <v>422</v>
      </c>
      <c r="AK335" s="278" t="s">
        <v>423</v>
      </c>
      <c r="AL335" s="279" t="s">
        <v>1372</v>
      </c>
      <c r="AM335" s="241"/>
      <c r="AN335" s="241"/>
    </row>
    <row r="336" spans="1:40" ht="15" customHeight="1" x14ac:dyDescent="0.3">
      <c r="A336" s="185">
        <v>311</v>
      </c>
      <c r="B336" s="230" t="s">
        <v>1619</v>
      </c>
      <c r="C336" s="247" t="s">
        <v>1615</v>
      </c>
      <c r="D336" s="199" t="s">
        <v>1881</v>
      </c>
      <c r="E336" s="370" t="s">
        <v>1596</v>
      </c>
      <c r="F336" s="383" t="s">
        <v>1597</v>
      </c>
      <c r="G336" s="370" t="s">
        <v>1604</v>
      </c>
      <c r="H336" s="248" t="s">
        <v>422</v>
      </c>
      <c r="I336" s="356">
        <v>2</v>
      </c>
      <c r="J336" s="317">
        <v>6.5</v>
      </c>
      <c r="K336" s="317">
        <v>0</v>
      </c>
      <c r="L336" s="212">
        <v>1</v>
      </c>
      <c r="M336" s="212">
        <f t="shared" si="48"/>
        <v>9.5</v>
      </c>
      <c r="N336" s="212">
        <f t="shared" si="49"/>
        <v>16</v>
      </c>
      <c r="O336" s="212">
        <f t="shared" si="50"/>
        <v>26</v>
      </c>
      <c r="P336" s="212">
        <f t="shared" si="51"/>
        <v>0</v>
      </c>
      <c r="Q336" s="212">
        <f t="shared" si="52"/>
        <v>8</v>
      </c>
      <c r="R336" s="212">
        <f t="shared" si="53"/>
        <v>50</v>
      </c>
      <c r="S336" s="384" t="s">
        <v>1542</v>
      </c>
      <c r="T336" s="384" t="s">
        <v>1541</v>
      </c>
      <c r="U336" s="280">
        <v>56</v>
      </c>
      <c r="V336" s="280">
        <v>56</v>
      </c>
      <c r="W336" s="280">
        <v>56</v>
      </c>
      <c r="X336" s="374">
        <v>44286</v>
      </c>
      <c r="Y336" s="374">
        <v>44317</v>
      </c>
      <c r="Z336" s="374">
        <v>44389</v>
      </c>
      <c r="AA336" s="273">
        <f t="shared" si="54"/>
        <v>2021</v>
      </c>
      <c r="AB336" s="273">
        <f t="shared" si="55"/>
        <v>7</v>
      </c>
      <c r="AC336" s="305" t="s">
        <v>920</v>
      </c>
      <c r="AD336" s="278" t="s">
        <v>422</v>
      </c>
      <c r="AE336" s="278" t="s">
        <v>422</v>
      </c>
      <c r="AF336" s="278" t="s">
        <v>422</v>
      </c>
      <c r="AG336" s="278" t="s">
        <v>422</v>
      </c>
      <c r="AH336" s="278" t="s">
        <v>422</v>
      </c>
      <c r="AI336" s="278" t="s">
        <v>423</v>
      </c>
      <c r="AJ336" s="278" t="s">
        <v>422</v>
      </c>
      <c r="AK336" s="278" t="s">
        <v>423</v>
      </c>
      <c r="AL336" s="279" t="s">
        <v>1372</v>
      </c>
      <c r="AM336" s="241"/>
      <c r="AN336" s="241"/>
    </row>
    <row r="337" spans="1:40" ht="15" customHeight="1" x14ac:dyDescent="0.3">
      <c r="A337" s="185">
        <v>320</v>
      </c>
      <c r="B337" s="230" t="s">
        <v>1501</v>
      </c>
      <c r="C337" s="247" t="s">
        <v>1615</v>
      </c>
      <c r="D337" s="199" t="s">
        <v>1881</v>
      </c>
      <c r="E337" s="383"/>
      <c r="F337" s="383" t="s">
        <v>1597</v>
      </c>
      <c r="G337" s="370" t="s">
        <v>1604</v>
      </c>
      <c r="H337" s="248" t="s">
        <v>422</v>
      </c>
      <c r="I337" s="356">
        <v>2</v>
      </c>
      <c r="J337" s="317">
        <v>4.5</v>
      </c>
      <c r="K337" s="317">
        <v>0</v>
      </c>
      <c r="L337" s="212">
        <v>1</v>
      </c>
      <c r="M337" s="212">
        <f t="shared" si="48"/>
        <v>7.5</v>
      </c>
      <c r="N337" s="212">
        <f t="shared" si="49"/>
        <v>16</v>
      </c>
      <c r="O337" s="212">
        <f t="shared" si="50"/>
        <v>18</v>
      </c>
      <c r="P337" s="212">
        <f t="shared" si="51"/>
        <v>0</v>
      </c>
      <c r="Q337" s="212">
        <f t="shared" si="52"/>
        <v>8</v>
      </c>
      <c r="R337" s="212">
        <f t="shared" si="53"/>
        <v>42</v>
      </c>
      <c r="S337" s="384" t="s">
        <v>1508</v>
      </c>
      <c r="T337" s="384" t="s">
        <v>1509</v>
      </c>
      <c r="U337" s="280">
        <v>104</v>
      </c>
      <c r="V337" s="280">
        <v>98</v>
      </c>
      <c r="W337" s="280">
        <v>98</v>
      </c>
      <c r="X337" s="374">
        <v>44244</v>
      </c>
      <c r="Y337" s="374">
        <v>44317</v>
      </c>
      <c r="Z337" s="276">
        <v>44389</v>
      </c>
      <c r="AA337" s="273">
        <f t="shared" si="54"/>
        <v>2021</v>
      </c>
      <c r="AB337" s="273">
        <f t="shared" si="55"/>
        <v>7</v>
      </c>
      <c r="AC337" s="278" t="s">
        <v>920</v>
      </c>
      <c r="AD337" s="278" t="s">
        <v>422</v>
      </c>
      <c r="AE337" s="278" t="s">
        <v>422</v>
      </c>
      <c r="AF337" s="278" t="s">
        <v>422</v>
      </c>
      <c r="AG337" s="278" t="s">
        <v>422</v>
      </c>
      <c r="AH337" s="278" t="s">
        <v>422</v>
      </c>
      <c r="AI337" s="278" t="s">
        <v>423</v>
      </c>
      <c r="AJ337" s="278" t="s">
        <v>422</v>
      </c>
      <c r="AK337" s="278" t="s">
        <v>423</v>
      </c>
      <c r="AL337" s="279" t="s">
        <v>1240</v>
      </c>
      <c r="AM337" s="241"/>
      <c r="AN337" s="241"/>
    </row>
    <row r="338" spans="1:40" ht="15" customHeight="1" x14ac:dyDescent="0.3">
      <c r="A338" s="185">
        <v>321</v>
      </c>
      <c r="B338" s="230" t="s">
        <v>1502</v>
      </c>
      <c r="C338" s="247" t="s">
        <v>1615</v>
      </c>
      <c r="D338" s="199" t="s">
        <v>1881</v>
      </c>
      <c r="E338" s="383"/>
      <c r="F338" s="383" t="s">
        <v>1597</v>
      </c>
      <c r="G338" s="370" t="s">
        <v>1604</v>
      </c>
      <c r="H338" s="248" t="s">
        <v>1596</v>
      </c>
      <c r="I338" s="356">
        <v>2</v>
      </c>
      <c r="J338" s="317">
        <v>4</v>
      </c>
      <c r="K338" s="317">
        <v>0</v>
      </c>
      <c r="L338" s="212">
        <v>1</v>
      </c>
      <c r="M338" s="212">
        <f t="shared" si="48"/>
        <v>7</v>
      </c>
      <c r="N338" s="212">
        <f t="shared" si="49"/>
        <v>16</v>
      </c>
      <c r="O338" s="212">
        <f t="shared" si="50"/>
        <v>16</v>
      </c>
      <c r="P338" s="212">
        <f t="shared" si="51"/>
        <v>0</v>
      </c>
      <c r="Q338" s="212">
        <f t="shared" si="52"/>
        <v>8</v>
      </c>
      <c r="R338" s="212">
        <f t="shared" si="53"/>
        <v>40</v>
      </c>
      <c r="S338" s="384" t="s">
        <v>1510</v>
      </c>
      <c r="T338" s="384" t="s">
        <v>1511</v>
      </c>
      <c r="U338" s="280">
        <f>61*2</f>
        <v>122</v>
      </c>
      <c r="V338" s="280">
        <v>116</v>
      </c>
      <c r="W338" s="280">
        <v>116</v>
      </c>
      <c r="X338" s="374">
        <v>44244</v>
      </c>
      <c r="Y338" s="374">
        <v>44317</v>
      </c>
      <c r="Z338" s="276">
        <v>44389</v>
      </c>
      <c r="AA338" s="273">
        <f t="shared" si="54"/>
        <v>2021</v>
      </c>
      <c r="AB338" s="273">
        <f t="shared" si="55"/>
        <v>7</v>
      </c>
      <c r="AC338" s="278" t="s">
        <v>920</v>
      </c>
      <c r="AD338" s="278" t="s">
        <v>422</v>
      </c>
      <c r="AE338" s="278" t="s">
        <v>423</v>
      </c>
      <c r="AF338" s="278" t="s">
        <v>422</v>
      </c>
      <c r="AG338" s="278" t="s">
        <v>422</v>
      </c>
      <c r="AH338" s="278" t="s">
        <v>423</v>
      </c>
      <c r="AI338" s="278" t="s">
        <v>423</v>
      </c>
      <c r="AJ338" s="278" t="s">
        <v>423</v>
      </c>
      <c r="AK338" s="278" t="s">
        <v>423</v>
      </c>
      <c r="AL338" s="279" t="s">
        <v>138</v>
      </c>
      <c r="AM338" s="241"/>
      <c r="AN338" s="241"/>
    </row>
    <row r="339" spans="1:40" ht="15" customHeight="1" x14ac:dyDescent="0.3">
      <c r="A339" s="185">
        <v>341</v>
      </c>
      <c r="B339" s="247" t="s">
        <v>1750</v>
      </c>
      <c r="C339" s="247" t="s">
        <v>1615</v>
      </c>
      <c r="D339" s="199" t="s">
        <v>1881</v>
      </c>
      <c r="E339" s="282"/>
      <c r="F339" s="282" t="s">
        <v>1601</v>
      </c>
      <c r="G339" s="370" t="s">
        <v>1604</v>
      </c>
      <c r="H339" s="248" t="s">
        <v>422</v>
      </c>
      <c r="I339" s="317">
        <v>1</v>
      </c>
      <c r="J339" s="317">
        <v>6.5</v>
      </c>
      <c r="K339" s="317">
        <v>0</v>
      </c>
      <c r="L339" s="212">
        <v>1</v>
      </c>
      <c r="M339" s="212">
        <f t="shared" si="48"/>
        <v>8.5</v>
      </c>
      <c r="N339" s="212">
        <f t="shared" si="49"/>
        <v>8</v>
      </c>
      <c r="O339" s="212">
        <f t="shared" si="50"/>
        <v>26</v>
      </c>
      <c r="P339" s="212">
        <f t="shared" si="51"/>
        <v>0</v>
      </c>
      <c r="Q339" s="212">
        <f t="shared" si="52"/>
        <v>8</v>
      </c>
      <c r="R339" s="212">
        <f t="shared" si="53"/>
        <v>42</v>
      </c>
      <c r="S339" s="312" t="s">
        <v>1624</v>
      </c>
      <c r="T339" s="313" t="s">
        <v>1825</v>
      </c>
      <c r="U339" s="280">
        <v>97</v>
      </c>
      <c r="V339" s="273">
        <f>103-2</f>
        <v>101</v>
      </c>
      <c r="W339" s="273">
        <f>103-2</f>
        <v>101</v>
      </c>
      <c r="X339" s="276">
        <v>44307</v>
      </c>
      <c r="Y339" s="277">
        <v>44392</v>
      </c>
      <c r="Z339" s="277">
        <v>44389</v>
      </c>
      <c r="AA339" s="273">
        <f t="shared" si="54"/>
        <v>2021</v>
      </c>
      <c r="AB339" s="273">
        <f t="shared" si="55"/>
        <v>7</v>
      </c>
      <c r="AC339" s="278" t="s">
        <v>920</v>
      </c>
      <c r="AD339" s="278" t="s">
        <v>422</v>
      </c>
      <c r="AE339" s="278" t="s">
        <v>422</v>
      </c>
      <c r="AF339" s="278" t="s">
        <v>422</v>
      </c>
      <c r="AG339" s="278" t="s">
        <v>422</v>
      </c>
      <c r="AH339" s="278" t="s">
        <v>423</v>
      </c>
      <c r="AI339" s="278" t="s">
        <v>422</v>
      </c>
      <c r="AJ339" s="278" t="s">
        <v>423</v>
      </c>
      <c r="AK339" s="278" t="s">
        <v>422</v>
      </c>
      <c r="AL339" s="279" t="s">
        <v>1240</v>
      </c>
      <c r="AM339" s="29"/>
      <c r="AN339" s="29" t="s">
        <v>1756</v>
      </c>
    </row>
    <row r="340" spans="1:40" ht="15" customHeight="1" x14ac:dyDescent="0.3">
      <c r="A340" s="185">
        <v>346</v>
      </c>
      <c r="B340" s="326" t="s">
        <v>1894</v>
      </c>
      <c r="C340" s="247" t="s">
        <v>1615</v>
      </c>
      <c r="D340" s="199" t="s">
        <v>1881</v>
      </c>
      <c r="E340" s="282"/>
      <c r="F340" s="282" t="s">
        <v>1597</v>
      </c>
      <c r="G340" s="370" t="s">
        <v>1604</v>
      </c>
      <c r="H340" s="248" t="s">
        <v>422</v>
      </c>
      <c r="I340" s="317">
        <v>2</v>
      </c>
      <c r="J340" s="317">
        <v>9.8000000000000007</v>
      </c>
      <c r="K340" s="317">
        <v>0</v>
      </c>
      <c r="L340" s="212">
        <v>1.5</v>
      </c>
      <c r="M340" s="212">
        <f t="shared" si="48"/>
        <v>13.3</v>
      </c>
      <c r="N340" s="212">
        <f t="shared" si="49"/>
        <v>16</v>
      </c>
      <c r="O340" s="212">
        <f t="shared" si="50"/>
        <v>39.200000000000003</v>
      </c>
      <c r="P340" s="212">
        <f t="shared" si="51"/>
        <v>0</v>
      </c>
      <c r="Q340" s="212">
        <f t="shared" si="52"/>
        <v>12</v>
      </c>
      <c r="R340" s="212">
        <f t="shared" si="53"/>
        <v>67.2</v>
      </c>
      <c r="S340" s="283" t="s">
        <v>1627</v>
      </c>
      <c r="T340" s="284" t="s">
        <v>1824</v>
      </c>
      <c r="U340" s="280">
        <v>118</v>
      </c>
      <c r="V340" s="273">
        <v>121</v>
      </c>
      <c r="W340" s="273">
        <v>121</v>
      </c>
      <c r="X340" s="276">
        <v>44307</v>
      </c>
      <c r="Y340" s="277">
        <v>44392</v>
      </c>
      <c r="Z340" s="277">
        <v>44389</v>
      </c>
      <c r="AA340" s="273">
        <f t="shared" si="54"/>
        <v>2021</v>
      </c>
      <c r="AB340" s="273">
        <f t="shared" si="55"/>
        <v>7</v>
      </c>
      <c r="AC340" s="278" t="s">
        <v>920</v>
      </c>
      <c r="AD340" s="278" t="s">
        <v>422</v>
      </c>
      <c r="AE340" s="278" t="s">
        <v>422</v>
      </c>
      <c r="AF340" s="278" t="s">
        <v>422</v>
      </c>
      <c r="AG340" s="278" t="s">
        <v>422</v>
      </c>
      <c r="AH340" s="278" t="s">
        <v>422</v>
      </c>
      <c r="AI340" s="278" t="s">
        <v>423</v>
      </c>
      <c r="AJ340" s="278" t="s">
        <v>422</v>
      </c>
      <c r="AK340" s="278" t="s">
        <v>423</v>
      </c>
      <c r="AL340" s="279" t="s">
        <v>1240</v>
      </c>
      <c r="AM340" s="29"/>
      <c r="AN340" s="29" t="s">
        <v>1821</v>
      </c>
    </row>
    <row r="341" spans="1:40" ht="15" customHeight="1" x14ac:dyDescent="0.3">
      <c r="A341" s="185">
        <v>350</v>
      </c>
      <c r="B341" s="326" t="s">
        <v>1633</v>
      </c>
      <c r="C341" s="247" t="s">
        <v>1615</v>
      </c>
      <c r="D341" s="200" t="s">
        <v>1881</v>
      </c>
      <c r="E341" s="230"/>
      <c r="F341" s="274" t="s">
        <v>1597</v>
      </c>
      <c r="G341" s="370" t="s">
        <v>1604</v>
      </c>
      <c r="H341" s="248" t="s">
        <v>422</v>
      </c>
      <c r="I341" s="317">
        <v>2</v>
      </c>
      <c r="J341" s="248">
        <v>15</v>
      </c>
      <c r="K341" s="248">
        <v>0</v>
      </c>
      <c r="L341" s="212">
        <v>1</v>
      </c>
      <c r="M341" s="212">
        <f t="shared" si="48"/>
        <v>18</v>
      </c>
      <c r="N341" s="212">
        <f t="shared" si="49"/>
        <v>16</v>
      </c>
      <c r="O341" s="212">
        <f t="shared" si="50"/>
        <v>60</v>
      </c>
      <c r="P341" s="212">
        <f t="shared" si="51"/>
        <v>0</v>
      </c>
      <c r="Q341" s="212">
        <f t="shared" si="52"/>
        <v>8</v>
      </c>
      <c r="R341" s="212">
        <f t="shared" si="53"/>
        <v>84</v>
      </c>
      <c r="S341" s="286" t="s">
        <v>1634</v>
      </c>
      <c r="T341" s="287" t="s">
        <v>1299</v>
      </c>
      <c r="U341" s="280">
        <v>104</v>
      </c>
      <c r="V341" s="280">
        <v>105</v>
      </c>
      <c r="W341" s="280">
        <v>105</v>
      </c>
      <c r="X341" s="276">
        <v>44307</v>
      </c>
      <c r="Y341" s="277">
        <v>44392</v>
      </c>
      <c r="Z341" s="374">
        <v>44389</v>
      </c>
      <c r="AA341" s="273">
        <f t="shared" si="54"/>
        <v>2021</v>
      </c>
      <c r="AB341" s="273">
        <f t="shared" si="55"/>
        <v>7</v>
      </c>
      <c r="AC341" s="305" t="s">
        <v>920</v>
      </c>
      <c r="AD341" s="278" t="s">
        <v>422</v>
      </c>
      <c r="AE341" s="278" t="s">
        <v>422</v>
      </c>
      <c r="AF341" s="278" t="s">
        <v>422</v>
      </c>
      <c r="AG341" s="278" t="s">
        <v>422</v>
      </c>
      <c r="AH341" s="278" t="s">
        <v>422</v>
      </c>
      <c r="AI341" s="278" t="s">
        <v>423</v>
      </c>
      <c r="AJ341" s="278" t="s">
        <v>423</v>
      </c>
      <c r="AK341" s="278" t="s">
        <v>423</v>
      </c>
      <c r="AL341" s="279" t="s">
        <v>1240</v>
      </c>
      <c r="AM341" s="241"/>
      <c r="AN341" s="242"/>
    </row>
    <row r="342" spans="1:40" s="309" customFormat="1" ht="15" customHeight="1" x14ac:dyDescent="0.3">
      <c r="A342" s="185">
        <v>351</v>
      </c>
      <c r="B342" s="326" t="s">
        <v>1635</v>
      </c>
      <c r="C342" s="281" t="s">
        <v>1615</v>
      </c>
      <c r="D342" s="200" t="s">
        <v>1881</v>
      </c>
      <c r="E342" s="383"/>
      <c r="F342" s="383" t="s">
        <v>1597</v>
      </c>
      <c r="G342" s="370" t="s">
        <v>1604</v>
      </c>
      <c r="H342" s="248"/>
      <c r="I342" s="317">
        <v>2</v>
      </c>
      <c r="J342" s="317">
        <v>14</v>
      </c>
      <c r="K342" s="317">
        <v>0</v>
      </c>
      <c r="L342" s="212">
        <v>1</v>
      </c>
      <c r="M342" s="212">
        <f t="shared" si="48"/>
        <v>17</v>
      </c>
      <c r="N342" s="212">
        <f t="shared" si="49"/>
        <v>16</v>
      </c>
      <c r="O342" s="212">
        <f t="shared" si="50"/>
        <v>56</v>
      </c>
      <c r="P342" s="212">
        <f t="shared" si="51"/>
        <v>0</v>
      </c>
      <c r="Q342" s="212">
        <f t="shared" si="52"/>
        <v>8</v>
      </c>
      <c r="R342" s="212">
        <f t="shared" si="53"/>
        <v>80</v>
      </c>
      <c r="S342" s="283" t="s">
        <v>1636</v>
      </c>
      <c r="T342" s="284" t="s">
        <v>1637</v>
      </c>
      <c r="U342" s="280">
        <v>16</v>
      </c>
      <c r="V342" s="280">
        <v>17</v>
      </c>
      <c r="W342" s="280">
        <v>17</v>
      </c>
      <c r="X342" s="276">
        <v>44307</v>
      </c>
      <c r="Y342" s="277">
        <v>44392</v>
      </c>
      <c r="Z342" s="374">
        <v>44389</v>
      </c>
      <c r="AA342" s="273">
        <f t="shared" si="54"/>
        <v>2021</v>
      </c>
      <c r="AB342" s="273">
        <f t="shared" si="55"/>
        <v>7</v>
      </c>
      <c r="AC342" s="305" t="s">
        <v>920</v>
      </c>
      <c r="AD342" s="278" t="s">
        <v>422</v>
      </c>
      <c r="AE342" s="278" t="s">
        <v>422</v>
      </c>
      <c r="AF342" s="278" t="s">
        <v>422</v>
      </c>
      <c r="AG342" s="278" t="s">
        <v>422</v>
      </c>
      <c r="AH342" s="278" t="s">
        <v>422</v>
      </c>
      <c r="AI342" s="278" t="s">
        <v>423</v>
      </c>
      <c r="AJ342" s="278" t="s">
        <v>422</v>
      </c>
      <c r="AK342" s="278" t="s">
        <v>423</v>
      </c>
      <c r="AL342" s="279" t="s">
        <v>1240</v>
      </c>
      <c r="AM342" s="241"/>
      <c r="AN342" s="242"/>
    </row>
    <row r="343" spans="1:40" s="309" customFormat="1" ht="15" customHeight="1" x14ac:dyDescent="0.3">
      <c r="A343" s="185">
        <v>357</v>
      </c>
      <c r="B343" s="326" t="s">
        <v>1653</v>
      </c>
      <c r="C343" s="281" t="s">
        <v>1615</v>
      </c>
      <c r="D343" s="200" t="s">
        <v>1881</v>
      </c>
      <c r="E343" s="383"/>
      <c r="F343" s="383" t="s">
        <v>1777</v>
      </c>
      <c r="G343" s="370" t="s">
        <v>1604</v>
      </c>
      <c r="H343" s="248" t="s">
        <v>422</v>
      </c>
      <c r="I343" s="317">
        <v>1</v>
      </c>
      <c r="J343" s="317">
        <v>5.2</v>
      </c>
      <c r="K343" s="317">
        <v>0</v>
      </c>
      <c r="L343" s="212">
        <v>1</v>
      </c>
      <c r="M343" s="212">
        <f t="shared" si="48"/>
        <v>7.2</v>
      </c>
      <c r="N343" s="212">
        <f t="shared" si="49"/>
        <v>8</v>
      </c>
      <c r="O343" s="212">
        <f t="shared" si="50"/>
        <v>20.8</v>
      </c>
      <c r="P343" s="212">
        <f t="shared" si="51"/>
        <v>0</v>
      </c>
      <c r="Q343" s="212">
        <f t="shared" si="52"/>
        <v>8</v>
      </c>
      <c r="R343" s="212">
        <f t="shared" si="53"/>
        <v>36.799999999999997</v>
      </c>
      <c r="S343" s="283" t="s">
        <v>1654</v>
      </c>
      <c r="T343" s="284" t="s">
        <v>1304</v>
      </c>
      <c r="U343" s="280">
        <v>200</v>
      </c>
      <c r="V343" s="280">
        <v>200</v>
      </c>
      <c r="W343" s="280">
        <v>200</v>
      </c>
      <c r="X343" s="276">
        <v>44314</v>
      </c>
      <c r="Y343" s="277">
        <v>44362</v>
      </c>
      <c r="Z343" s="276">
        <v>44389</v>
      </c>
      <c r="AA343" s="273">
        <f t="shared" si="54"/>
        <v>2021</v>
      </c>
      <c r="AB343" s="273">
        <f t="shared" si="55"/>
        <v>7</v>
      </c>
      <c r="AC343" s="278" t="s">
        <v>920</v>
      </c>
      <c r="AD343" s="278" t="s">
        <v>422</v>
      </c>
      <c r="AE343" s="278" t="s">
        <v>422</v>
      </c>
      <c r="AF343" s="278" t="s">
        <v>422</v>
      </c>
      <c r="AG343" s="278" t="s">
        <v>422</v>
      </c>
      <c r="AH343" s="278" t="s">
        <v>422</v>
      </c>
      <c r="AI343" s="278" t="s">
        <v>423</v>
      </c>
      <c r="AJ343" s="278" t="s">
        <v>422</v>
      </c>
      <c r="AK343" s="278" t="s">
        <v>423</v>
      </c>
      <c r="AL343" s="279" t="s">
        <v>140</v>
      </c>
      <c r="AM343" s="241"/>
      <c r="AN343" s="242"/>
    </row>
    <row r="344" spans="1:40" s="309" customFormat="1" ht="15" customHeight="1" x14ac:dyDescent="0.3">
      <c r="A344" s="185">
        <v>367</v>
      </c>
      <c r="B344" s="326" t="s">
        <v>1681</v>
      </c>
      <c r="C344" s="281" t="s">
        <v>1615</v>
      </c>
      <c r="D344" s="200" t="s">
        <v>1881</v>
      </c>
      <c r="E344" s="383"/>
      <c r="F344" s="383" t="s">
        <v>1597</v>
      </c>
      <c r="G344" s="370" t="s">
        <v>1604</v>
      </c>
      <c r="H344" s="248" t="s">
        <v>422</v>
      </c>
      <c r="I344" s="317">
        <v>2</v>
      </c>
      <c r="J344" s="317">
        <v>10.5</v>
      </c>
      <c r="K344" s="317">
        <v>0</v>
      </c>
      <c r="L344" s="212">
        <v>1.5</v>
      </c>
      <c r="M344" s="212">
        <f t="shared" si="48"/>
        <v>14</v>
      </c>
      <c r="N344" s="212">
        <f t="shared" si="49"/>
        <v>16</v>
      </c>
      <c r="O344" s="212">
        <f t="shared" si="50"/>
        <v>42</v>
      </c>
      <c r="P344" s="212">
        <f t="shared" si="51"/>
        <v>0</v>
      </c>
      <c r="Q344" s="212">
        <f t="shared" si="52"/>
        <v>12</v>
      </c>
      <c r="R344" s="212">
        <f t="shared" si="53"/>
        <v>70</v>
      </c>
      <c r="S344" s="353" t="s">
        <v>1685</v>
      </c>
      <c r="T344" s="284" t="s">
        <v>1326</v>
      </c>
      <c r="U344" s="280">
        <v>129</v>
      </c>
      <c r="V344" s="280">
        <v>129</v>
      </c>
      <c r="W344" s="280">
        <v>129</v>
      </c>
      <c r="X344" s="276">
        <v>44343</v>
      </c>
      <c r="Y344" s="277">
        <v>44392</v>
      </c>
      <c r="Z344" s="276">
        <v>44389</v>
      </c>
      <c r="AA344" s="273">
        <f t="shared" si="54"/>
        <v>2021</v>
      </c>
      <c r="AB344" s="273">
        <f t="shared" si="55"/>
        <v>7</v>
      </c>
      <c r="AC344" s="278" t="s">
        <v>920</v>
      </c>
      <c r="AD344" s="278" t="s">
        <v>422</v>
      </c>
      <c r="AE344" s="291" t="s">
        <v>422</v>
      </c>
      <c r="AF344" s="291" t="s">
        <v>422</v>
      </c>
      <c r="AG344" s="291" t="s">
        <v>422</v>
      </c>
      <c r="AH344" s="291" t="s">
        <v>422</v>
      </c>
      <c r="AI344" s="291" t="s">
        <v>423</v>
      </c>
      <c r="AJ344" s="291" t="s">
        <v>422</v>
      </c>
      <c r="AK344" s="291" t="s">
        <v>423</v>
      </c>
      <c r="AL344" s="279" t="s">
        <v>140</v>
      </c>
      <c r="AM344" s="241"/>
      <c r="AN344" s="242"/>
    </row>
    <row r="345" spans="1:40" s="309" customFormat="1" ht="15" customHeight="1" x14ac:dyDescent="0.3">
      <c r="A345" s="185">
        <v>368</v>
      </c>
      <c r="B345" s="326" t="s">
        <v>1682</v>
      </c>
      <c r="C345" s="281" t="s">
        <v>1615</v>
      </c>
      <c r="D345" s="200" t="s">
        <v>1881</v>
      </c>
      <c r="E345" s="383"/>
      <c r="F345" s="383" t="s">
        <v>1597</v>
      </c>
      <c r="G345" s="370" t="s">
        <v>1604</v>
      </c>
      <c r="H345" s="248" t="s">
        <v>422</v>
      </c>
      <c r="I345" s="317">
        <v>2</v>
      </c>
      <c r="J345" s="317">
        <v>10.5</v>
      </c>
      <c r="K345" s="317">
        <v>0</v>
      </c>
      <c r="L345" s="212">
        <v>1.5</v>
      </c>
      <c r="M345" s="212">
        <f t="shared" si="48"/>
        <v>14</v>
      </c>
      <c r="N345" s="212">
        <f t="shared" si="49"/>
        <v>16</v>
      </c>
      <c r="O345" s="212">
        <f t="shared" si="50"/>
        <v>42</v>
      </c>
      <c r="P345" s="212">
        <f t="shared" si="51"/>
        <v>0</v>
      </c>
      <c r="Q345" s="212">
        <f t="shared" si="52"/>
        <v>12</v>
      </c>
      <c r="R345" s="212">
        <f t="shared" si="53"/>
        <v>70</v>
      </c>
      <c r="S345" s="353" t="s">
        <v>1686</v>
      </c>
      <c r="T345" s="284" t="s">
        <v>1687</v>
      </c>
      <c r="U345" s="280">
        <v>76</v>
      </c>
      <c r="V345" s="280">
        <v>76</v>
      </c>
      <c r="W345" s="280">
        <v>76</v>
      </c>
      <c r="X345" s="276">
        <v>44343</v>
      </c>
      <c r="Y345" s="277">
        <v>44397</v>
      </c>
      <c r="Z345" s="276">
        <v>44389</v>
      </c>
      <c r="AA345" s="273">
        <f t="shared" si="54"/>
        <v>2021</v>
      </c>
      <c r="AB345" s="273">
        <f t="shared" si="55"/>
        <v>7</v>
      </c>
      <c r="AC345" s="278" t="s">
        <v>920</v>
      </c>
      <c r="AD345" s="278" t="s">
        <v>422</v>
      </c>
      <c r="AE345" s="291" t="s">
        <v>422</v>
      </c>
      <c r="AF345" s="291" t="s">
        <v>422</v>
      </c>
      <c r="AG345" s="291" t="s">
        <v>422</v>
      </c>
      <c r="AH345" s="291" t="s">
        <v>422</v>
      </c>
      <c r="AI345" s="291" t="s">
        <v>423</v>
      </c>
      <c r="AJ345" s="291" t="s">
        <v>422</v>
      </c>
      <c r="AK345" s="291" t="s">
        <v>423</v>
      </c>
      <c r="AL345" s="279" t="s">
        <v>140</v>
      </c>
      <c r="AM345" s="241"/>
      <c r="AN345" s="242"/>
    </row>
    <row r="346" spans="1:40" s="309" customFormat="1" ht="15" customHeight="1" x14ac:dyDescent="0.3">
      <c r="A346" s="185">
        <v>369</v>
      </c>
      <c r="B346" s="326" t="s">
        <v>1683</v>
      </c>
      <c r="C346" s="281" t="s">
        <v>1615</v>
      </c>
      <c r="D346" s="200" t="s">
        <v>1881</v>
      </c>
      <c r="E346" s="383"/>
      <c r="F346" s="383" t="s">
        <v>1597</v>
      </c>
      <c r="G346" s="370" t="s">
        <v>1604</v>
      </c>
      <c r="H346" s="248" t="s">
        <v>422</v>
      </c>
      <c r="I346" s="317">
        <v>2</v>
      </c>
      <c r="J346" s="317">
        <v>7.8</v>
      </c>
      <c r="K346" s="317">
        <v>0</v>
      </c>
      <c r="L346" s="212">
        <v>1.5</v>
      </c>
      <c r="M346" s="212">
        <f t="shared" si="48"/>
        <v>11.3</v>
      </c>
      <c r="N346" s="212">
        <f t="shared" si="49"/>
        <v>16</v>
      </c>
      <c r="O346" s="212">
        <f t="shared" si="50"/>
        <v>31.2</v>
      </c>
      <c r="P346" s="212">
        <f t="shared" si="51"/>
        <v>0</v>
      </c>
      <c r="Q346" s="212">
        <f t="shared" si="52"/>
        <v>12</v>
      </c>
      <c r="R346" s="212">
        <f t="shared" si="53"/>
        <v>59.2</v>
      </c>
      <c r="S346" s="353" t="s">
        <v>1688</v>
      </c>
      <c r="T346" s="284" t="s">
        <v>1687</v>
      </c>
      <c r="U346" s="280">
        <v>60</v>
      </c>
      <c r="V346" s="280">
        <v>60</v>
      </c>
      <c r="W346" s="280">
        <v>60</v>
      </c>
      <c r="X346" s="276">
        <v>44343</v>
      </c>
      <c r="Y346" s="277">
        <v>44397</v>
      </c>
      <c r="Z346" s="276">
        <v>44389</v>
      </c>
      <c r="AA346" s="273">
        <f t="shared" si="54"/>
        <v>2021</v>
      </c>
      <c r="AB346" s="273">
        <f t="shared" si="55"/>
        <v>7</v>
      </c>
      <c r="AC346" s="278" t="s">
        <v>920</v>
      </c>
      <c r="AD346" s="278" t="s">
        <v>422</v>
      </c>
      <c r="AE346" s="291" t="s">
        <v>422</v>
      </c>
      <c r="AF346" s="291" t="s">
        <v>422</v>
      </c>
      <c r="AG346" s="291" t="s">
        <v>422</v>
      </c>
      <c r="AH346" s="291" t="s">
        <v>422</v>
      </c>
      <c r="AI346" s="291" t="s">
        <v>423</v>
      </c>
      <c r="AJ346" s="291" t="s">
        <v>422</v>
      </c>
      <c r="AK346" s="291" t="s">
        <v>423</v>
      </c>
      <c r="AL346" s="279" t="s">
        <v>140</v>
      </c>
      <c r="AM346" s="241"/>
      <c r="AN346" s="242"/>
    </row>
    <row r="347" spans="1:40" s="309" customFormat="1" ht="15" customHeight="1" x14ac:dyDescent="0.3">
      <c r="A347" s="185">
        <v>340</v>
      </c>
      <c r="B347" s="333" t="s">
        <v>1612</v>
      </c>
      <c r="C347" s="281" t="s">
        <v>1618</v>
      </c>
      <c r="D347" s="200" t="s">
        <v>1881</v>
      </c>
      <c r="E347" s="282" t="s">
        <v>1596</v>
      </c>
      <c r="F347" s="282" t="s">
        <v>1597</v>
      </c>
      <c r="G347" s="370" t="s">
        <v>1596</v>
      </c>
      <c r="H347" s="248" t="s">
        <v>422</v>
      </c>
      <c r="I347" s="317">
        <v>2</v>
      </c>
      <c r="J347" s="317">
        <v>6.4</v>
      </c>
      <c r="K347" s="317">
        <v>28</v>
      </c>
      <c r="L347" s="212">
        <v>1</v>
      </c>
      <c r="M347" s="212">
        <f t="shared" si="48"/>
        <v>37.4</v>
      </c>
      <c r="N347" s="212">
        <f t="shared" si="49"/>
        <v>16</v>
      </c>
      <c r="O347" s="212">
        <f t="shared" si="50"/>
        <v>25.6</v>
      </c>
      <c r="P347" s="212">
        <f t="shared" si="51"/>
        <v>186.66666666666669</v>
      </c>
      <c r="Q347" s="212">
        <f t="shared" si="52"/>
        <v>8</v>
      </c>
      <c r="R347" s="212">
        <f t="shared" si="53"/>
        <v>236.26666666666668</v>
      </c>
      <c r="S347" s="312" t="s">
        <v>1611</v>
      </c>
      <c r="T347" s="313" t="s">
        <v>1613</v>
      </c>
      <c r="U347" s="280">
        <v>50</v>
      </c>
      <c r="V347" s="280">
        <v>52</v>
      </c>
      <c r="W347" s="280">
        <v>52</v>
      </c>
      <c r="X347" s="276">
        <v>44300</v>
      </c>
      <c r="Y347" s="277">
        <v>44391</v>
      </c>
      <c r="Z347" s="26">
        <v>44420</v>
      </c>
      <c r="AA347" s="273">
        <f t="shared" si="54"/>
        <v>2021</v>
      </c>
      <c r="AB347" s="273">
        <f t="shared" si="55"/>
        <v>8</v>
      </c>
      <c r="AC347" s="278" t="s">
        <v>920</v>
      </c>
      <c r="AD347" s="278" t="s">
        <v>422</v>
      </c>
      <c r="AE347" s="278" t="s">
        <v>422</v>
      </c>
      <c r="AF347" s="278" t="s">
        <v>422</v>
      </c>
      <c r="AG347" s="278" t="s">
        <v>422</v>
      </c>
      <c r="AH347" s="278" t="s">
        <v>423</v>
      </c>
      <c r="AI347" s="278" t="s">
        <v>422</v>
      </c>
      <c r="AJ347" s="278" t="s">
        <v>423</v>
      </c>
      <c r="AK347" s="278" t="s">
        <v>422</v>
      </c>
      <c r="AL347" s="279" t="s">
        <v>140</v>
      </c>
      <c r="AM347" s="33"/>
      <c r="AN347" s="1" t="s">
        <v>1603</v>
      </c>
    </row>
    <row r="348" spans="1:40" s="309" customFormat="1" ht="15" customHeight="1" x14ac:dyDescent="0.3">
      <c r="A348" s="185">
        <v>272</v>
      </c>
      <c r="B348" s="386" t="s">
        <v>1407</v>
      </c>
      <c r="C348" s="281" t="s">
        <v>1615</v>
      </c>
      <c r="D348" s="200" t="s">
        <v>1881</v>
      </c>
      <c r="E348" s="381" t="s">
        <v>1596</v>
      </c>
      <c r="F348" s="383" t="s">
        <v>1601</v>
      </c>
      <c r="G348" s="370" t="s">
        <v>1604</v>
      </c>
      <c r="H348" s="370" t="s">
        <v>422</v>
      </c>
      <c r="I348" s="381">
        <v>1.7</v>
      </c>
      <c r="J348" s="383">
        <v>10</v>
      </c>
      <c r="K348" s="383">
        <v>0</v>
      </c>
      <c r="L348" s="212">
        <v>1.5</v>
      </c>
      <c r="M348" s="212">
        <f t="shared" si="48"/>
        <v>13.2</v>
      </c>
      <c r="N348" s="212">
        <f t="shared" si="49"/>
        <v>13.6</v>
      </c>
      <c r="O348" s="212">
        <f t="shared" si="50"/>
        <v>40</v>
      </c>
      <c r="P348" s="212">
        <f t="shared" si="51"/>
        <v>0</v>
      </c>
      <c r="Q348" s="212">
        <f t="shared" si="52"/>
        <v>12</v>
      </c>
      <c r="R348" s="212">
        <f t="shared" si="53"/>
        <v>65.599999999999994</v>
      </c>
      <c r="S348" s="384" t="s">
        <v>1417</v>
      </c>
      <c r="T348" s="384" t="s">
        <v>939</v>
      </c>
      <c r="U348" s="280">
        <v>188</v>
      </c>
      <c r="V348" s="280">
        <v>188</v>
      </c>
      <c r="W348" s="280">
        <v>188</v>
      </c>
      <c r="X348" s="374">
        <v>44160</v>
      </c>
      <c r="Y348" s="374">
        <v>44185</v>
      </c>
      <c r="Z348" s="276">
        <v>44414</v>
      </c>
      <c r="AA348" s="273">
        <f t="shared" si="54"/>
        <v>2021</v>
      </c>
      <c r="AB348" s="273">
        <f t="shared" si="55"/>
        <v>8</v>
      </c>
      <c r="AC348" s="278" t="s">
        <v>920</v>
      </c>
      <c r="AD348" s="278" t="s">
        <v>422</v>
      </c>
      <c r="AE348" s="278" t="s">
        <v>422</v>
      </c>
      <c r="AF348" s="278" t="s">
        <v>422</v>
      </c>
      <c r="AG348" s="278" t="s">
        <v>422</v>
      </c>
      <c r="AH348" s="278" t="s">
        <v>423</v>
      </c>
      <c r="AI348" s="278" t="s">
        <v>423</v>
      </c>
      <c r="AJ348" s="278" t="s">
        <v>422</v>
      </c>
      <c r="AK348" s="278" t="s">
        <v>423</v>
      </c>
      <c r="AL348" s="279" t="s">
        <v>138</v>
      </c>
      <c r="AM348" s="241"/>
      <c r="AN348" s="242" t="s">
        <v>1752</v>
      </c>
    </row>
    <row r="349" spans="1:40" ht="15" customHeight="1" x14ac:dyDescent="0.3">
      <c r="A349" s="185">
        <v>273</v>
      </c>
      <c r="B349" s="386" t="s">
        <v>1408</v>
      </c>
      <c r="C349" s="281" t="s">
        <v>1615</v>
      </c>
      <c r="D349" s="200" t="s">
        <v>1881</v>
      </c>
      <c r="E349" s="381" t="s">
        <v>1596</v>
      </c>
      <c r="F349" s="383" t="s">
        <v>1601</v>
      </c>
      <c r="G349" s="370" t="s">
        <v>1604</v>
      </c>
      <c r="H349" s="370" t="s">
        <v>422</v>
      </c>
      <c r="I349" s="381">
        <v>2</v>
      </c>
      <c r="J349" s="383">
        <v>12.5</v>
      </c>
      <c r="K349" s="383">
        <v>0</v>
      </c>
      <c r="L349" s="212">
        <v>1</v>
      </c>
      <c r="M349" s="212">
        <f t="shared" si="48"/>
        <v>15.5</v>
      </c>
      <c r="N349" s="212">
        <f t="shared" si="49"/>
        <v>16</v>
      </c>
      <c r="O349" s="212">
        <f t="shared" si="50"/>
        <v>50</v>
      </c>
      <c r="P349" s="212">
        <f t="shared" si="51"/>
        <v>0</v>
      </c>
      <c r="Q349" s="212">
        <f t="shared" si="52"/>
        <v>8</v>
      </c>
      <c r="R349" s="212">
        <f t="shared" si="53"/>
        <v>74</v>
      </c>
      <c r="S349" s="384" t="s">
        <v>1418</v>
      </c>
      <c r="T349" s="384" t="s">
        <v>940</v>
      </c>
      <c r="U349" s="280">
        <v>70</v>
      </c>
      <c r="V349" s="280">
        <v>70</v>
      </c>
      <c r="W349" s="280">
        <v>70</v>
      </c>
      <c r="X349" s="374">
        <v>44160</v>
      </c>
      <c r="Y349" s="374">
        <v>44185</v>
      </c>
      <c r="Z349" s="276">
        <v>44414</v>
      </c>
      <c r="AA349" s="273">
        <f t="shared" si="54"/>
        <v>2021</v>
      </c>
      <c r="AB349" s="273">
        <f t="shared" si="55"/>
        <v>8</v>
      </c>
      <c r="AC349" s="278" t="s">
        <v>920</v>
      </c>
      <c r="AD349" s="278" t="s">
        <v>422</v>
      </c>
      <c r="AE349" s="278" t="s">
        <v>422</v>
      </c>
      <c r="AF349" s="278" t="s">
        <v>422</v>
      </c>
      <c r="AG349" s="278" t="s">
        <v>422</v>
      </c>
      <c r="AH349" s="278" t="s">
        <v>422</v>
      </c>
      <c r="AI349" s="278" t="s">
        <v>423</v>
      </c>
      <c r="AJ349" s="278" t="s">
        <v>423</v>
      </c>
      <c r="AK349" s="278" t="s">
        <v>423</v>
      </c>
      <c r="AL349" s="279" t="s">
        <v>140</v>
      </c>
      <c r="AM349" s="241"/>
      <c r="AN349" s="241"/>
    </row>
    <row r="350" spans="1:40" ht="15" customHeight="1" x14ac:dyDescent="0.3">
      <c r="A350" s="185">
        <v>344</v>
      </c>
      <c r="B350" s="327" t="s">
        <v>1751</v>
      </c>
      <c r="C350" s="281" t="s">
        <v>1615</v>
      </c>
      <c r="D350" s="200" t="s">
        <v>1881</v>
      </c>
      <c r="E350" s="282"/>
      <c r="F350" s="282" t="s">
        <v>1597</v>
      </c>
      <c r="G350" s="370" t="s">
        <v>1604</v>
      </c>
      <c r="H350" s="248" t="s">
        <v>422</v>
      </c>
      <c r="I350" s="317">
        <v>2</v>
      </c>
      <c r="J350" s="317">
        <v>12</v>
      </c>
      <c r="K350" s="317">
        <v>0</v>
      </c>
      <c r="L350" s="212">
        <v>1</v>
      </c>
      <c r="M350" s="212">
        <f t="shared" si="48"/>
        <v>15</v>
      </c>
      <c r="N350" s="212">
        <f t="shared" si="49"/>
        <v>16</v>
      </c>
      <c r="O350" s="212">
        <f t="shared" si="50"/>
        <v>48</v>
      </c>
      <c r="P350" s="212">
        <f t="shared" si="51"/>
        <v>0</v>
      </c>
      <c r="Q350" s="212">
        <f t="shared" si="52"/>
        <v>8</v>
      </c>
      <c r="R350" s="212">
        <f t="shared" si="53"/>
        <v>72</v>
      </c>
      <c r="S350" s="312" t="s">
        <v>1626</v>
      </c>
      <c r="T350" s="313" t="s">
        <v>1823</v>
      </c>
      <c r="U350" s="280">
        <v>80</v>
      </c>
      <c r="V350" s="273">
        <v>82</v>
      </c>
      <c r="W350" s="273">
        <v>82</v>
      </c>
      <c r="X350" s="276">
        <v>44307</v>
      </c>
      <c r="Y350" s="277">
        <v>44392</v>
      </c>
      <c r="Z350" s="277">
        <v>44414</v>
      </c>
      <c r="AA350" s="273">
        <f t="shared" si="54"/>
        <v>2021</v>
      </c>
      <c r="AB350" s="273">
        <f t="shared" si="55"/>
        <v>8</v>
      </c>
      <c r="AC350" s="278" t="s">
        <v>920</v>
      </c>
      <c r="AD350" s="278" t="s">
        <v>422</v>
      </c>
      <c r="AE350" s="278" t="s">
        <v>422</v>
      </c>
      <c r="AF350" s="278" t="s">
        <v>422</v>
      </c>
      <c r="AG350" s="278" t="s">
        <v>422</v>
      </c>
      <c r="AH350" s="278" t="s">
        <v>422</v>
      </c>
      <c r="AI350" s="278" t="s">
        <v>423</v>
      </c>
      <c r="AJ350" s="278" t="s">
        <v>423</v>
      </c>
      <c r="AK350" s="278" t="s">
        <v>423</v>
      </c>
      <c r="AL350" s="279" t="s">
        <v>1372</v>
      </c>
      <c r="AM350" s="29"/>
      <c r="AN350" s="29" t="s">
        <v>1755</v>
      </c>
    </row>
    <row r="351" spans="1:40" ht="15" customHeight="1" x14ac:dyDescent="0.3">
      <c r="A351" s="185">
        <v>345</v>
      </c>
      <c r="B351" s="327" t="s">
        <v>1751</v>
      </c>
      <c r="C351" s="281" t="s">
        <v>1615</v>
      </c>
      <c r="D351" s="200" t="s">
        <v>1881</v>
      </c>
      <c r="E351" s="308"/>
      <c r="F351" s="282" t="s">
        <v>1597</v>
      </c>
      <c r="G351" s="370" t="s">
        <v>1604</v>
      </c>
      <c r="H351" s="248" t="s">
        <v>1789</v>
      </c>
      <c r="I351" s="317">
        <v>2</v>
      </c>
      <c r="J351" s="356">
        <v>12</v>
      </c>
      <c r="K351" s="317">
        <v>0</v>
      </c>
      <c r="L351" s="212">
        <v>1</v>
      </c>
      <c r="M351" s="212">
        <f t="shared" si="48"/>
        <v>15</v>
      </c>
      <c r="N351" s="212">
        <f t="shared" si="49"/>
        <v>16</v>
      </c>
      <c r="O351" s="212">
        <f t="shared" si="50"/>
        <v>48</v>
      </c>
      <c r="P351" s="212">
        <f t="shared" si="51"/>
        <v>0</v>
      </c>
      <c r="Q351" s="212">
        <f t="shared" si="52"/>
        <v>8</v>
      </c>
      <c r="R351" s="212">
        <f t="shared" si="53"/>
        <v>72</v>
      </c>
      <c r="S351" s="312" t="s">
        <v>1626</v>
      </c>
      <c r="T351" s="313" t="s">
        <v>1823</v>
      </c>
      <c r="U351" s="280">
        <f>226-80</f>
        <v>146</v>
      </c>
      <c r="V351" s="273">
        <v>0</v>
      </c>
      <c r="W351" s="273">
        <v>0</v>
      </c>
      <c r="X351" s="276">
        <v>44307</v>
      </c>
      <c r="Y351" s="277">
        <v>44392</v>
      </c>
      <c r="Z351" s="277">
        <v>44414</v>
      </c>
      <c r="AA351" s="273">
        <f t="shared" si="54"/>
        <v>2021</v>
      </c>
      <c r="AB351" s="273">
        <f t="shared" si="55"/>
        <v>8</v>
      </c>
      <c r="AC351" s="322" t="s">
        <v>1819</v>
      </c>
      <c r="AD351" s="278" t="s">
        <v>449</v>
      </c>
      <c r="AE351" s="278" t="s">
        <v>422</v>
      </c>
      <c r="AF351" s="278" t="s">
        <v>449</v>
      </c>
      <c r="AG351" s="278" t="s">
        <v>449</v>
      </c>
      <c r="AH351" s="278" t="s">
        <v>449</v>
      </c>
      <c r="AI351" s="278" t="s">
        <v>423</v>
      </c>
      <c r="AJ351" s="278" t="s">
        <v>422</v>
      </c>
      <c r="AK351" s="278" t="s">
        <v>423</v>
      </c>
      <c r="AL351" s="279"/>
      <c r="AM351" s="29"/>
      <c r="AN351" s="29"/>
    </row>
    <row r="352" spans="1:40" ht="15" customHeight="1" x14ac:dyDescent="0.3">
      <c r="A352" s="185">
        <v>358</v>
      </c>
      <c r="B352" s="285" t="s">
        <v>1656</v>
      </c>
      <c r="C352" s="281" t="s">
        <v>1618</v>
      </c>
      <c r="D352" s="200" t="s">
        <v>1881</v>
      </c>
      <c r="E352" s="383"/>
      <c r="F352" s="383" t="s">
        <v>1777</v>
      </c>
      <c r="G352" s="370" t="s">
        <v>1604</v>
      </c>
      <c r="H352" s="248" t="s">
        <v>422</v>
      </c>
      <c r="I352" s="317">
        <v>1.5</v>
      </c>
      <c r="J352" s="317">
        <v>14</v>
      </c>
      <c r="K352" s="317">
        <v>0</v>
      </c>
      <c r="L352" s="212">
        <v>1</v>
      </c>
      <c r="M352" s="212">
        <f t="shared" si="48"/>
        <v>16.5</v>
      </c>
      <c r="N352" s="212">
        <f t="shared" si="49"/>
        <v>12</v>
      </c>
      <c r="O352" s="212">
        <f t="shared" si="50"/>
        <v>56</v>
      </c>
      <c r="P352" s="212">
        <f t="shared" si="51"/>
        <v>0</v>
      </c>
      <c r="Q352" s="212">
        <f t="shared" si="52"/>
        <v>8</v>
      </c>
      <c r="R352" s="212">
        <f t="shared" si="53"/>
        <v>76</v>
      </c>
      <c r="S352" s="283" t="s">
        <v>1666</v>
      </c>
      <c r="T352" s="284" t="s">
        <v>1664</v>
      </c>
      <c r="U352" s="280">
        <v>30</v>
      </c>
      <c r="V352" s="280">
        <v>31</v>
      </c>
      <c r="W352" s="280">
        <v>31</v>
      </c>
      <c r="X352" s="276">
        <v>44327</v>
      </c>
      <c r="Y352" s="277">
        <v>44388</v>
      </c>
      <c r="Z352" s="26">
        <v>44420</v>
      </c>
      <c r="AA352" s="273">
        <f t="shared" si="54"/>
        <v>2021</v>
      </c>
      <c r="AB352" s="273">
        <f t="shared" si="55"/>
        <v>8</v>
      </c>
      <c r="AC352" s="278" t="s">
        <v>920</v>
      </c>
      <c r="AD352" s="387" t="s">
        <v>422</v>
      </c>
      <c r="AE352" s="278" t="s">
        <v>422</v>
      </c>
      <c r="AF352" s="278" t="s">
        <v>422</v>
      </c>
      <c r="AG352" s="278" t="s">
        <v>422</v>
      </c>
      <c r="AH352" s="278" t="s">
        <v>422</v>
      </c>
      <c r="AI352" s="278" t="s">
        <v>423</v>
      </c>
      <c r="AJ352" s="278" t="s">
        <v>423</v>
      </c>
      <c r="AK352" s="278" t="s">
        <v>423</v>
      </c>
      <c r="AL352" s="279" t="s">
        <v>1937</v>
      </c>
      <c r="AM352" s="241"/>
      <c r="AN352" s="242" t="s">
        <v>1749</v>
      </c>
    </row>
    <row r="353" spans="1:40" ht="15" customHeight="1" x14ac:dyDescent="0.3">
      <c r="A353" s="185">
        <v>359</v>
      </c>
      <c r="B353" s="285" t="s">
        <v>1655</v>
      </c>
      <c r="C353" s="281" t="s">
        <v>1618</v>
      </c>
      <c r="D353" s="200" t="s">
        <v>1881</v>
      </c>
      <c r="E353" s="383"/>
      <c r="F353" s="383" t="s">
        <v>1777</v>
      </c>
      <c r="G353" s="370" t="s">
        <v>1604</v>
      </c>
      <c r="H353" s="248" t="s">
        <v>422</v>
      </c>
      <c r="I353" s="248">
        <v>1.5</v>
      </c>
      <c r="J353" s="248">
        <v>14</v>
      </c>
      <c r="K353" s="317">
        <v>0</v>
      </c>
      <c r="L353" s="212">
        <v>1</v>
      </c>
      <c r="M353" s="212">
        <f t="shared" si="48"/>
        <v>16.5</v>
      </c>
      <c r="N353" s="212">
        <f t="shared" si="49"/>
        <v>12</v>
      </c>
      <c r="O353" s="212">
        <f t="shared" si="50"/>
        <v>56</v>
      </c>
      <c r="P353" s="212">
        <f t="shared" si="51"/>
        <v>0</v>
      </c>
      <c r="Q353" s="212">
        <f t="shared" si="52"/>
        <v>8</v>
      </c>
      <c r="R353" s="212">
        <f t="shared" si="53"/>
        <v>76</v>
      </c>
      <c r="S353" s="286" t="s">
        <v>1667</v>
      </c>
      <c r="T353" s="284" t="s">
        <v>1665</v>
      </c>
      <c r="U353" s="280">
        <v>10</v>
      </c>
      <c r="V353" s="280">
        <v>10</v>
      </c>
      <c r="W353" s="280">
        <v>10</v>
      </c>
      <c r="X353" s="276">
        <v>44327</v>
      </c>
      <c r="Y353" s="277">
        <v>44388</v>
      </c>
      <c r="Z353" s="26">
        <v>44420</v>
      </c>
      <c r="AA353" s="273">
        <f t="shared" si="54"/>
        <v>2021</v>
      </c>
      <c r="AB353" s="273">
        <f t="shared" si="55"/>
        <v>8</v>
      </c>
      <c r="AC353" s="278" t="s">
        <v>920</v>
      </c>
      <c r="AD353" s="278" t="s">
        <v>422</v>
      </c>
      <c r="AE353" s="278" t="s">
        <v>422</v>
      </c>
      <c r="AF353" s="278" t="s">
        <v>422</v>
      </c>
      <c r="AG353" s="278" t="s">
        <v>422</v>
      </c>
      <c r="AH353" s="278" t="s">
        <v>422</v>
      </c>
      <c r="AI353" s="278" t="s">
        <v>423</v>
      </c>
      <c r="AJ353" s="278" t="s">
        <v>423</v>
      </c>
      <c r="AK353" s="278" t="s">
        <v>423</v>
      </c>
      <c r="AL353" s="279" t="s">
        <v>1937</v>
      </c>
      <c r="AM353" s="241"/>
      <c r="AN353" s="242" t="s">
        <v>1749</v>
      </c>
    </row>
    <row r="354" spans="1:40" ht="15" customHeight="1" x14ac:dyDescent="0.3">
      <c r="A354" s="185">
        <v>360</v>
      </c>
      <c r="B354" s="285" t="s">
        <v>1657</v>
      </c>
      <c r="C354" s="281" t="s">
        <v>1618</v>
      </c>
      <c r="D354" s="200" t="s">
        <v>1881</v>
      </c>
      <c r="E354" s="383"/>
      <c r="F354" s="383" t="s">
        <v>1597</v>
      </c>
      <c r="G354" s="370" t="s">
        <v>1604</v>
      </c>
      <c r="H354" s="248" t="s">
        <v>422</v>
      </c>
      <c r="I354" s="248">
        <v>2</v>
      </c>
      <c r="J354" s="248">
        <v>13</v>
      </c>
      <c r="K354" s="317">
        <v>0</v>
      </c>
      <c r="L354" s="212">
        <v>1</v>
      </c>
      <c r="M354" s="212">
        <f t="shared" si="48"/>
        <v>16</v>
      </c>
      <c r="N354" s="212">
        <f t="shared" si="49"/>
        <v>16</v>
      </c>
      <c r="O354" s="212">
        <f t="shared" si="50"/>
        <v>52</v>
      </c>
      <c r="P354" s="212">
        <f t="shared" si="51"/>
        <v>0</v>
      </c>
      <c r="Q354" s="212">
        <f t="shared" si="52"/>
        <v>8</v>
      </c>
      <c r="R354" s="212">
        <f t="shared" si="53"/>
        <v>76</v>
      </c>
      <c r="S354" s="286" t="s">
        <v>1670</v>
      </c>
      <c r="T354" s="284" t="s">
        <v>1668</v>
      </c>
      <c r="U354" s="280">
        <v>50</v>
      </c>
      <c r="V354" s="280">
        <v>51</v>
      </c>
      <c r="W354" s="280">
        <v>51</v>
      </c>
      <c r="X354" s="276">
        <v>44327</v>
      </c>
      <c r="Y354" s="277">
        <v>44388</v>
      </c>
      <c r="Z354" s="26">
        <v>44420</v>
      </c>
      <c r="AA354" s="273">
        <f t="shared" si="54"/>
        <v>2021</v>
      </c>
      <c r="AB354" s="273">
        <f t="shared" si="55"/>
        <v>8</v>
      </c>
      <c r="AC354" s="278" t="s">
        <v>920</v>
      </c>
      <c r="AD354" s="278" t="s">
        <v>422</v>
      </c>
      <c r="AE354" s="278" t="s">
        <v>422</v>
      </c>
      <c r="AF354" s="278" t="s">
        <v>422</v>
      </c>
      <c r="AG354" s="278" t="s">
        <v>422</v>
      </c>
      <c r="AH354" s="278" t="s">
        <v>423</v>
      </c>
      <c r="AI354" s="278" t="s">
        <v>423</v>
      </c>
      <c r="AJ354" s="278" t="s">
        <v>423</v>
      </c>
      <c r="AK354" s="278" t="s">
        <v>423</v>
      </c>
      <c r="AL354" s="279" t="s">
        <v>1240</v>
      </c>
      <c r="AM354" s="241"/>
      <c r="AN354" s="242" t="s">
        <v>1748</v>
      </c>
    </row>
    <row r="355" spans="1:40" ht="15" customHeight="1" x14ac:dyDescent="0.3">
      <c r="A355" s="185">
        <v>361</v>
      </c>
      <c r="B355" s="285" t="s">
        <v>1658</v>
      </c>
      <c r="C355" s="281" t="s">
        <v>1618</v>
      </c>
      <c r="D355" s="200" t="s">
        <v>1881</v>
      </c>
      <c r="E355" s="383"/>
      <c r="F355" s="383" t="s">
        <v>1597</v>
      </c>
      <c r="G355" s="370" t="s">
        <v>1604</v>
      </c>
      <c r="H355" s="248" t="s">
        <v>422</v>
      </c>
      <c r="I355" s="248">
        <v>2</v>
      </c>
      <c r="J355" s="248">
        <v>13</v>
      </c>
      <c r="K355" s="317">
        <v>0</v>
      </c>
      <c r="L355" s="212">
        <v>1</v>
      </c>
      <c r="M355" s="212">
        <f t="shared" si="48"/>
        <v>16</v>
      </c>
      <c r="N355" s="212">
        <f t="shared" si="49"/>
        <v>16</v>
      </c>
      <c r="O355" s="212">
        <f t="shared" si="50"/>
        <v>52</v>
      </c>
      <c r="P355" s="212">
        <f t="shared" si="51"/>
        <v>0</v>
      </c>
      <c r="Q355" s="212">
        <f t="shared" si="52"/>
        <v>8</v>
      </c>
      <c r="R355" s="212">
        <f t="shared" si="53"/>
        <v>76</v>
      </c>
      <c r="S355" s="286" t="s">
        <v>1671</v>
      </c>
      <c r="T355" s="284" t="s">
        <v>1669</v>
      </c>
      <c r="U355" s="280">
        <v>55</v>
      </c>
      <c r="V355" s="280">
        <v>56</v>
      </c>
      <c r="W355" s="280">
        <v>56</v>
      </c>
      <c r="X355" s="276">
        <v>44327</v>
      </c>
      <c r="Y355" s="277">
        <v>44388</v>
      </c>
      <c r="Z355" s="26">
        <v>44420</v>
      </c>
      <c r="AA355" s="273">
        <f t="shared" si="54"/>
        <v>2021</v>
      </c>
      <c r="AB355" s="273">
        <f t="shared" si="55"/>
        <v>8</v>
      </c>
      <c r="AC355" s="278" t="s">
        <v>920</v>
      </c>
      <c r="AD355" s="278" t="s">
        <v>422</v>
      </c>
      <c r="AE355" s="278" t="s">
        <v>422</v>
      </c>
      <c r="AF355" s="278" t="s">
        <v>422</v>
      </c>
      <c r="AG355" s="278" t="s">
        <v>422</v>
      </c>
      <c r="AH355" s="278" t="s">
        <v>423</v>
      </c>
      <c r="AI355" s="278" t="s">
        <v>423</v>
      </c>
      <c r="AJ355" s="278" t="s">
        <v>423</v>
      </c>
      <c r="AK355" s="278" t="s">
        <v>423</v>
      </c>
      <c r="AL355" s="279" t="s">
        <v>1240</v>
      </c>
      <c r="AM355" s="241"/>
      <c r="AN355" s="242" t="s">
        <v>1748</v>
      </c>
    </row>
    <row r="356" spans="1:40" ht="15" customHeight="1" x14ac:dyDescent="0.3">
      <c r="A356" s="185">
        <v>362</v>
      </c>
      <c r="B356" s="285" t="s">
        <v>1659</v>
      </c>
      <c r="C356" s="281" t="s">
        <v>1618</v>
      </c>
      <c r="D356" s="200" t="s">
        <v>1881</v>
      </c>
      <c r="E356" s="383"/>
      <c r="F356" s="383" t="s">
        <v>1777</v>
      </c>
      <c r="G356" s="370" t="s">
        <v>1604</v>
      </c>
      <c r="H356" s="248" t="s">
        <v>422</v>
      </c>
      <c r="I356" s="248">
        <v>1.4</v>
      </c>
      <c r="J356" s="248">
        <v>6.5</v>
      </c>
      <c r="K356" s="317">
        <v>0</v>
      </c>
      <c r="L356" s="212">
        <v>1</v>
      </c>
      <c r="M356" s="212">
        <f t="shared" si="48"/>
        <v>8.9</v>
      </c>
      <c r="N356" s="212">
        <f t="shared" si="49"/>
        <v>11.2</v>
      </c>
      <c r="O356" s="212">
        <f t="shared" si="50"/>
        <v>26</v>
      </c>
      <c r="P356" s="212">
        <f t="shared" si="51"/>
        <v>0</v>
      </c>
      <c r="Q356" s="212">
        <f t="shared" si="52"/>
        <v>8</v>
      </c>
      <c r="R356" s="212">
        <f t="shared" si="53"/>
        <v>45.2</v>
      </c>
      <c r="S356" s="286" t="s">
        <v>1674</v>
      </c>
      <c r="T356" s="284" t="s">
        <v>1672</v>
      </c>
      <c r="U356" s="280">
        <v>65</v>
      </c>
      <c r="V356" s="280">
        <v>66</v>
      </c>
      <c r="W356" s="280">
        <v>66</v>
      </c>
      <c r="X356" s="276">
        <v>44327</v>
      </c>
      <c r="Y356" s="277">
        <v>44388</v>
      </c>
      <c r="Z356" s="26">
        <v>44420</v>
      </c>
      <c r="AA356" s="273">
        <f t="shared" si="54"/>
        <v>2021</v>
      </c>
      <c r="AB356" s="273">
        <f t="shared" si="55"/>
        <v>8</v>
      </c>
      <c r="AC356" s="278" t="s">
        <v>920</v>
      </c>
      <c r="AD356" s="278" t="s">
        <v>422</v>
      </c>
      <c r="AE356" s="278" t="s">
        <v>422</v>
      </c>
      <c r="AF356" s="278" t="s">
        <v>422</v>
      </c>
      <c r="AG356" s="278" t="s">
        <v>422</v>
      </c>
      <c r="AH356" s="278" t="s">
        <v>423</v>
      </c>
      <c r="AI356" s="278" t="s">
        <v>423</v>
      </c>
      <c r="AJ356" s="278" t="s">
        <v>423</v>
      </c>
      <c r="AK356" s="278" t="s">
        <v>423</v>
      </c>
      <c r="AL356" s="279" t="s">
        <v>140</v>
      </c>
      <c r="AM356" s="241"/>
      <c r="AN356" s="242" t="s">
        <v>1749</v>
      </c>
    </row>
    <row r="357" spans="1:40" ht="15" customHeight="1" x14ac:dyDescent="0.3">
      <c r="A357" s="185">
        <v>363</v>
      </c>
      <c r="B357" s="285" t="s">
        <v>1660</v>
      </c>
      <c r="C357" s="281" t="s">
        <v>1618</v>
      </c>
      <c r="D357" s="200" t="s">
        <v>1881</v>
      </c>
      <c r="E357" s="383"/>
      <c r="F357" s="383" t="s">
        <v>1597</v>
      </c>
      <c r="G357" s="370" t="s">
        <v>1604</v>
      </c>
      <c r="H357" s="248" t="s">
        <v>422</v>
      </c>
      <c r="I357" s="248">
        <v>2</v>
      </c>
      <c r="J357" s="248">
        <v>6</v>
      </c>
      <c r="K357" s="317">
        <v>0</v>
      </c>
      <c r="L357" s="212">
        <v>1</v>
      </c>
      <c r="M357" s="212">
        <f t="shared" si="48"/>
        <v>9</v>
      </c>
      <c r="N357" s="212">
        <f t="shared" si="49"/>
        <v>16</v>
      </c>
      <c r="O357" s="212">
        <f t="shared" si="50"/>
        <v>24</v>
      </c>
      <c r="P357" s="212">
        <f t="shared" si="51"/>
        <v>0</v>
      </c>
      <c r="Q357" s="212">
        <f t="shared" si="52"/>
        <v>8</v>
      </c>
      <c r="R357" s="212">
        <f t="shared" si="53"/>
        <v>48</v>
      </c>
      <c r="S357" s="286" t="s">
        <v>1675</v>
      </c>
      <c r="T357" s="284" t="s">
        <v>1673</v>
      </c>
      <c r="U357" s="280">
        <v>90</v>
      </c>
      <c r="V357" s="280">
        <v>92</v>
      </c>
      <c r="W357" s="280">
        <v>92</v>
      </c>
      <c r="X357" s="276">
        <v>44333</v>
      </c>
      <c r="Y357" s="277">
        <v>44394</v>
      </c>
      <c r="Z357" s="26">
        <v>44420</v>
      </c>
      <c r="AA357" s="273">
        <f t="shared" si="54"/>
        <v>2021</v>
      </c>
      <c r="AB357" s="273">
        <f t="shared" si="55"/>
        <v>8</v>
      </c>
      <c r="AC357" s="278" t="s">
        <v>920</v>
      </c>
      <c r="AD357" s="278" t="s">
        <v>422</v>
      </c>
      <c r="AE357" s="278" t="s">
        <v>422</v>
      </c>
      <c r="AF357" s="278" t="s">
        <v>422</v>
      </c>
      <c r="AG357" s="278" t="s">
        <v>422</v>
      </c>
      <c r="AH357" s="278" t="s">
        <v>423</v>
      </c>
      <c r="AI357" s="278" t="s">
        <v>423</v>
      </c>
      <c r="AJ357" s="278" t="s">
        <v>423</v>
      </c>
      <c r="AK357" s="278" t="s">
        <v>423</v>
      </c>
      <c r="AL357" s="279" t="s">
        <v>1240</v>
      </c>
      <c r="AM357" s="241"/>
      <c r="AN357" s="242" t="s">
        <v>1754</v>
      </c>
    </row>
    <row r="358" spans="1:40" ht="15" customHeight="1" x14ac:dyDescent="0.3">
      <c r="A358" s="185">
        <v>364</v>
      </c>
      <c r="B358" s="285" t="s">
        <v>1661</v>
      </c>
      <c r="C358" s="281" t="s">
        <v>1618</v>
      </c>
      <c r="D358" s="200" t="s">
        <v>1881</v>
      </c>
      <c r="E358" s="383" t="s">
        <v>1789</v>
      </c>
      <c r="F358" s="383" t="s">
        <v>1597</v>
      </c>
      <c r="G358" s="370" t="s">
        <v>1604</v>
      </c>
      <c r="H358" s="248" t="s">
        <v>422</v>
      </c>
      <c r="I358" s="248">
        <v>2</v>
      </c>
      <c r="J358" s="359">
        <v>13</v>
      </c>
      <c r="K358" s="317">
        <v>0</v>
      </c>
      <c r="L358" s="212">
        <v>1</v>
      </c>
      <c r="M358" s="212">
        <f t="shared" si="48"/>
        <v>16</v>
      </c>
      <c r="N358" s="212">
        <f t="shared" si="49"/>
        <v>16</v>
      </c>
      <c r="O358" s="212">
        <f t="shared" si="50"/>
        <v>52</v>
      </c>
      <c r="P358" s="212">
        <f t="shared" si="51"/>
        <v>0</v>
      </c>
      <c r="Q358" s="212">
        <f t="shared" si="52"/>
        <v>8</v>
      </c>
      <c r="R358" s="212">
        <f t="shared" si="53"/>
        <v>76</v>
      </c>
      <c r="S358" s="286" t="s">
        <v>1791</v>
      </c>
      <c r="T358" s="284" t="s">
        <v>1676</v>
      </c>
      <c r="U358" s="280">
        <v>50</v>
      </c>
      <c r="V358" s="280">
        <v>51</v>
      </c>
      <c r="W358" s="280">
        <v>51</v>
      </c>
      <c r="X358" s="276">
        <v>44333</v>
      </c>
      <c r="Y358" s="277">
        <v>44394</v>
      </c>
      <c r="Z358" s="26">
        <v>44420</v>
      </c>
      <c r="AA358" s="273">
        <f t="shared" si="54"/>
        <v>2021</v>
      </c>
      <c r="AB358" s="273">
        <f t="shared" si="55"/>
        <v>8</v>
      </c>
      <c r="AC358" s="278" t="s">
        <v>920</v>
      </c>
      <c r="AD358" s="291" t="s">
        <v>422</v>
      </c>
      <c r="AE358" s="291" t="s">
        <v>423</v>
      </c>
      <c r="AF358" s="291" t="s">
        <v>422</v>
      </c>
      <c r="AG358" s="291" t="s">
        <v>422</v>
      </c>
      <c r="AH358" s="291" t="s">
        <v>423</v>
      </c>
      <c r="AI358" s="291" t="s">
        <v>423</v>
      </c>
      <c r="AJ358" s="291" t="s">
        <v>423</v>
      </c>
      <c r="AK358" s="291" t="s">
        <v>423</v>
      </c>
      <c r="AL358" s="292" t="s">
        <v>138</v>
      </c>
      <c r="AM358" s="293"/>
      <c r="AN358" s="294"/>
    </row>
    <row r="359" spans="1:40" ht="15" customHeight="1" x14ac:dyDescent="0.3">
      <c r="A359" s="185">
        <v>370</v>
      </c>
      <c r="B359" s="285" t="s">
        <v>1684</v>
      </c>
      <c r="C359" s="281" t="s">
        <v>1615</v>
      </c>
      <c r="D359" s="200" t="s">
        <v>1881</v>
      </c>
      <c r="E359" s="383"/>
      <c r="F359" s="383" t="s">
        <v>1777</v>
      </c>
      <c r="G359" s="370" t="s">
        <v>1604</v>
      </c>
      <c r="H359" s="248" t="s">
        <v>422</v>
      </c>
      <c r="I359" s="319">
        <v>1</v>
      </c>
      <c r="J359" s="319">
        <v>3.5</v>
      </c>
      <c r="K359" s="317">
        <v>0</v>
      </c>
      <c r="L359" s="212">
        <v>1</v>
      </c>
      <c r="M359" s="212">
        <f t="shared" si="48"/>
        <v>5.5</v>
      </c>
      <c r="N359" s="212">
        <f t="shared" si="49"/>
        <v>8</v>
      </c>
      <c r="O359" s="212">
        <f t="shared" si="50"/>
        <v>14</v>
      </c>
      <c r="P359" s="212">
        <f t="shared" si="51"/>
        <v>0</v>
      </c>
      <c r="Q359" s="212">
        <f t="shared" si="52"/>
        <v>8</v>
      </c>
      <c r="R359" s="212">
        <f t="shared" si="53"/>
        <v>30</v>
      </c>
      <c r="S359" s="388" t="s">
        <v>1689</v>
      </c>
      <c r="T359" s="313" t="s">
        <v>1690</v>
      </c>
      <c r="U359" s="280">
        <v>60</v>
      </c>
      <c r="V359" s="280">
        <v>60</v>
      </c>
      <c r="W359" s="280">
        <v>60</v>
      </c>
      <c r="X359" s="290">
        <v>44405</v>
      </c>
      <c r="Y359" s="277">
        <v>44409</v>
      </c>
      <c r="Z359" s="276">
        <v>44414</v>
      </c>
      <c r="AA359" s="273">
        <f t="shared" si="54"/>
        <v>2021</v>
      </c>
      <c r="AB359" s="273">
        <f t="shared" si="55"/>
        <v>8</v>
      </c>
      <c r="AC359" s="291" t="s">
        <v>920</v>
      </c>
      <c r="AD359" s="291" t="s">
        <v>422</v>
      </c>
      <c r="AE359" s="291" t="s">
        <v>423</v>
      </c>
      <c r="AF359" s="291" t="s">
        <v>422</v>
      </c>
      <c r="AG359" s="291" t="s">
        <v>422</v>
      </c>
      <c r="AH359" s="291" t="s">
        <v>423</v>
      </c>
      <c r="AI359" s="291" t="s">
        <v>423</v>
      </c>
      <c r="AJ359" s="291" t="s">
        <v>423</v>
      </c>
      <c r="AK359" s="291" t="s">
        <v>422</v>
      </c>
      <c r="AL359" s="292" t="s">
        <v>138</v>
      </c>
      <c r="AM359" s="293"/>
      <c r="AN359" s="294"/>
    </row>
    <row r="360" spans="1:40" ht="15" customHeight="1" x14ac:dyDescent="0.3">
      <c r="A360" s="185">
        <v>371</v>
      </c>
      <c r="B360" s="285" t="s">
        <v>1691</v>
      </c>
      <c r="C360" s="281" t="s">
        <v>1618</v>
      </c>
      <c r="D360" s="200" t="s">
        <v>1848</v>
      </c>
      <c r="E360" s="383" t="s">
        <v>1789</v>
      </c>
      <c r="F360" s="383" t="s">
        <v>1597</v>
      </c>
      <c r="G360" s="370" t="s">
        <v>1596</v>
      </c>
      <c r="H360" s="248" t="s">
        <v>422</v>
      </c>
      <c r="I360" s="319">
        <v>2</v>
      </c>
      <c r="J360" s="319">
        <v>13</v>
      </c>
      <c r="K360" s="317">
        <v>0</v>
      </c>
      <c r="L360" s="212">
        <v>1</v>
      </c>
      <c r="M360" s="212">
        <f t="shared" si="48"/>
        <v>16</v>
      </c>
      <c r="N360" s="212">
        <f t="shared" si="49"/>
        <v>16</v>
      </c>
      <c r="O360" s="212">
        <f t="shared" si="50"/>
        <v>52</v>
      </c>
      <c r="P360" s="212">
        <f t="shared" si="51"/>
        <v>0</v>
      </c>
      <c r="Q360" s="212">
        <f t="shared" si="52"/>
        <v>8</v>
      </c>
      <c r="R360" s="212">
        <f t="shared" si="53"/>
        <v>76</v>
      </c>
      <c r="S360" s="289" t="s">
        <v>1703</v>
      </c>
      <c r="T360" s="313" t="s">
        <v>1704</v>
      </c>
      <c r="U360" s="280">
        <v>10</v>
      </c>
      <c r="V360" s="280">
        <v>11</v>
      </c>
      <c r="W360" s="280">
        <v>11</v>
      </c>
      <c r="X360" s="290">
        <v>44351</v>
      </c>
      <c r="Y360" s="277">
        <v>44423</v>
      </c>
      <c r="Z360" s="26">
        <v>44420</v>
      </c>
      <c r="AA360" s="273">
        <f t="shared" si="54"/>
        <v>2021</v>
      </c>
      <c r="AB360" s="273">
        <f t="shared" si="55"/>
        <v>8</v>
      </c>
      <c r="AC360" s="278" t="s">
        <v>920</v>
      </c>
      <c r="AD360" s="278" t="s">
        <v>422</v>
      </c>
      <c r="AE360" s="278" t="s">
        <v>422</v>
      </c>
      <c r="AF360" s="278" t="s">
        <v>422</v>
      </c>
      <c r="AG360" s="278" t="s">
        <v>422</v>
      </c>
      <c r="AH360" s="278" t="s">
        <v>422</v>
      </c>
      <c r="AI360" s="278" t="s">
        <v>422</v>
      </c>
      <c r="AJ360" s="278" t="s">
        <v>423</v>
      </c>
      <c r="AK360" s="278" t="s">
        <v>423</v>
      </c>
      <c r="AL360" s="279" t="s">
        <v>1240</v>
      </c>
      <c r="AM360" s="241"/>
      <c r="AN360" s="242"/>
    </row>
    <row r="361" spans="1:40" ht="15" customHeight="1" x14ac:dyDescent="0.3">
      <c r="A361" s="185">
        <v>326</v>
      </c>
      <c r="B361" s="389" t="s">
        <v>1545</v>
      </c>
      <c r="C361" s="281" t="s">
        <v>1615</v>
      </c>
      <c r="D361" s="200" t="s">
        <v>1881</v>
      </c>
      <c r="E361" s="381" t="s">
        <v>1596</v>
      </c>
      <c r="F361" s="383" t="s">
        <v>1601</v>
      </c>
      <c r="G361" s="370" t="s">
        <v>1596</v>
      </c>
      <c r="H361" s="248" t="s">
        <v>422</v>
      </c>
      <c r="I361" s="319">
        <v>1.3</v>
      </c>
      <c r="J361" s="319">
        <v>6.4</v>
      </c>
      <c r="K361" s="319">
        <v>29</v>
      </c>
      <c r="L361" s="212">
        <v>1</v>
      </c>
      <c r="M361" s="212">
        <f t="shared" si="48"/>
        <v>37.700000000000003</v>
      </c>
      <c r="N361" s="212">
        <f t="shared" si="49"/>
        <v>10.4</v>
      </c>
      <c r="O361" s="212">
        <f t="shared" si="50"/>
        <v>25.6</v>
      </c>
      <c r="P361" s="212">
        <f t="shared" si="51"/>
        <v>193.33333333333334</v>
      </c>
      <c r="Q361" s="212">
        <f t="shared" si="52"/>
        <v>8</v>
      </c>
      <c r="R361" s="212">
        <f t="shared" si="53"/>
        <v>237.33333333333334</v>
      </c>
      <c r="S361" s="390" t="s">
        <v>1550</v>
      </c>
      <c r="T361" s="384" t="s">
        <v>1551</v>
      </c>
      <c r="U361" s="280">
        <v>96</v>
      </c>
      <c r="V361" s="280">
        <v>98</v>
      </c>
      <c r="W361" s="280">
        <v>98</v>
      </c>
      <c r="X361" s="391">
        <v>44286</v>
      </c>
      <c r="Y361" s="374">
        <v>44348</v>
      </c>
      <c r="Z361" s="276">
        <v>44460</v>
      </c>
      <c r="AA361" s="273">
        <f t="shared" si="54"/>
        <v>2021</v>
      </c>
      <c r="AB361" s="273">
        <f t="shared" si="55"/>
        <v>9</v>
      </c>
      <c r="AC361" s="278" t="s">
        <v>920</v>
      </c>
      <c r="AD361" s="278" t="s">
        <v>422</v>
      </c>
      <c r="AE361" s="278" t="s">
        <v>423</v>
      </c>
      <c r="AF361" s="278" t="s">
        <v>422</v>
      </c>
      <c r="AG361" s="278" t="s">
        <v>422</v>
      </c>
      <c r="AH361" s="278" t="s">
        <v>423</v>
      </c>
      <c r="AI361" s="278" t="s">
        <v>422</v>
      </c>
      <c r="AJ361" s="278" t="s">
        <v>423</v>
      </c>
      <c r="AK361" s="278" t="s">
        <v>422</v>
      </c>
      <c r="AL361" s="1" t="s">
        <v>140</v>
      </c>
      <c r="AM361" s="241"/>
      <c r="AN361" s="242" t="s">
        <v>140</v>
      </c>
    </row>
    <row r="362" spans="1:40" ht="15" customHeight="1" x14ac:dyDescent="0.3">
      <c r="A362" s="185">
        <v>349</v>
      </c>
      <c r="B362" s="285" t="s">
        <v>1630</v>
      </c>
      <c r="C362" s="281" t="s">
        <v>1615</v>
      </c>
      <c r="D362" s="200" t="s">
        <v>1881</v>
      </c>
      <c r="E362" s="383"/>
      <c r="F362" s="312" t="s">
        <v>1597</v>
      </c>
      <c r="G362" s="370" t="s">
        <v>1596</v>
      </c>
      <c r="H362" s="248" t="s">
        <v>422</v>
      </c>
      <c r="I362" s="319">
        <v>2</v>
      </c>
      <c r="J362" s="319">
        <v>9</v>
      </c>
      <c r="K362" s="319">
        <v>36</v>
      </c>
      <c r="L362" s="212">
        <v>1</v>
      </c>
      <c r="M362" s="212">
        <f t="shared" si="48"/>
        <v>48</v>
      </c>
      <c r="N362" s="212">
        <f t="shared" si="49"/>
        <v>16</v>
      </c>
      <c r="O362" s="212">
        <f t="shared" si="50"/>
        <v>36</v>
      </c>
      <c r="P362" s="212">
        <f t="shared" si="51"/>
        <v>240</v>
      </c>
      <c r="Q362" s="212">
        <f t="shared" si="52"/>
        <v>8</v>
      </c>
      <c r="R362" s="212">
        <f t="shared" si="53"/>
        <v>300</v>
      </c>
      <c r="S362" s="289" t="s">
        <v>1631</v>
      </c>
      <c r="T362" s="284" t="s">
        <v>1632</v>
      </c>
      <c r="U362" s="280">
        <v>20</v>
      </c>
      <c r="V362" s="280">
        <v>22</v>
      </c>
      <c r="W362" s="280">
        <v>22</v>
      </c>
      <c r="X362" s="290">
        <v>44307</v>
      </c>
      <c r="Y362" s="277">
        <v>44392</v>
      </c>
      <c r="Z362" s="276">
        <v>44460</v>
      </c>
      <c r="AA362" s="273">
        <f t="shared" si="54"/>
        <v>2021</v>
      </c>
      <c r="AB362" s="273">
        <f t="shared" si="55"/>
        <v>9</v>
      </c>
      <c r="AC362" s="278" t="s">
        <v>920</v>
      </c>
      <c r="AD362" s="278" t="s">
        <v>422</v>
      </c>
      <c r="AE362" s="278" t="s">
        <v>422</v>
      </c>
      <c r="AF362" s="278" t="s">
        <v>422</v>
      </c>
      <c r="AG362" s="278" t="s">
        <v>422</v>
      </c>
      <c r="AH362" s="278" t="s">
        <v>423</v>
      </c>
      <c r="AI362" s="278" t="s">
        <v>422</v>
      </c>
      <c r="AJ362" s="278" t="s">
        <v>422</v>
      </c>
      <c r="AK362" s="278" t="s">
        <v>422</v>
      </c>
      <c r="AL362" s="279" t="s">
        <v>772</v>
      </c>
      <c r="AM362" s="241"/>
      <c r="AN362" s="242"/>
    </row>
    <row r="363" spans="1:40" ht="15" customHeight="1" x14ac:dyDescent="0.3">
      <c r="A363" s="185">
        <v>353</v>
      </c>
      <c r="B363" s="285" t="s">
        <v>1642</v>
      </c>
      <c r="C363" s="281" t="s">
        <v>1615</v>
      </c>
      <c r="D363" s="200" t="s">
        <v>1881</v>
      </c>
      <c r="E363" s="383"/>
      <c r="F363" s="383" t="s">
        <v>1597</v>
      </c>
      <c r="G363" s="370" t="s">
        <v>1596</v>
      </c>
      <c r="H363" s="248" t="s">
        <v>422</v>
      </c>
      <c r="I363" s="319">
        <v>2</v>
      </c>
      <c r="J363" s="319">
        <v>6.5</v>
      </c>
      <c r="K363" s="319">
        <v>8</v>
      </c>
      <c r="L363" s="212">
        <v>1</v>
      </c>
      <c r="M363" s="212">
        <f t="shared" si="48"/>
        <v>17.5</v>
      </c>
      <c r="N363" s="212">
        <f t="shared" si="49"/>
        <v>16</v>
      </c>
      <c r="O363" s="212">
        <f t="shared" si="50"/>
        <v>26</v>
      </c>
      <c r="P363" s="212">
        <f t="shared" si="51"/>
        <v>53.333333333333336</v>
      </c>
      <c r="Q363" s="212">
        <f t="shared" si="52"/>
        <v>8</v>
      </c>
      <c r="R363" s="212">
        <f t="shared" si="53"/>
        <v>103.33333333333334</v>
      </c>
      <c r="S363" s="289" t="s">
        <v>1643</v>
      </c>
      <c r="T363" s="284" t="s">
        <v>1644</v>
      </c>
      <c r="U363" s="280">
        <v>52</v>
      </c>
      <c r="V363" s="280">
        <v>54</v>
      </c>
      <c r="W363" s="280">
        <v>54</v>
      </c>
      <c r="X363" s="290">
        <v>44326</v>
      </c>
      <c r="Y363" s="277">
        <v>44378</v>
      </c>
      <c r="Z363" s="276">
        <v>44460</v>
      </c>
      <c r="AA363" s="273">
        <f t="shared" si="54"/>
        <v>2021</v>
      </c>
      <c r="AB363" s="273">
        <f t="shared" si="55"/>
        <v>9</v>
      </c>
      <c r="AC363" s="278" t="s">
        <v>920</v>
      </c>
      <c r="AD363" s="278" t="s">
        <v>422</v>
      </c>
      <c r="AE363" s="278" t="s">
        <v>423</v>
      </c>
      <c r="AF363" s="278" t="s">
        <v>422</v>
      </c>
      <c r="AG363" s="278" t="s">
        <v>422</v>
      </c>
      <c r="AH363" s="278" t="s">
        <v>423</v>
      </c>
      <c r="AI363" s="278" t="s">
        <v>422</v>
      </c>
      <c r="AJ363" s="278" t="s">
        <v>423</v>
      </c>
      <c r="AK363" s="278" t="s">
        <v>423</v>
      </c>
      <c r="AL363" s="279" t="s">
        <v>1240</v>
      </c>
      <c r="AM363" s="241"/>
      <c r="AN363" s="242"/>
    </row>
    <row r="364" spans="1:40" ht="15" customHeight="1" x14ac:dyDescent="0.3">
      <c r="A364" s="185">
        <v>354</v>
      </c>
      <c r="B364" s="285" t="s">
        <v>1645</v>
      </c>
      <c r="C364" s="281" t="s">
        <v>1615</v>
      </c>
      <c r="D364" s="200" t="s">
        <v>1881</v>
      </c>
      <c r="E364" s="383"/>
      <c r="F364" s="383" t="s">
        <v>1597</v>
      </c>
      <c r="G364" s="370" t="s">
        <v>1596</v>
      </c>
      <c r="H364" s="248" t="s">
        <v>422</v>
      </c>
      <c r="I364" s="319">
        <v>2</v>
      </c>
      <c r="J364" s="319">
        <v>7</v>
      </c>
      <c r="K364" s="319">
        <v>8</v>
      </c>
      <c r="L364" s="212">
        <v>1</v>
      </c>
      <c r="M364" s="212">
        <f t="shared" si="48"/>
        <v>18</v>
      </c>
      <c r="N364" s="212">
        <f t="shared" si="49"/>
        <v>16</v>
      </c>
      <c r="O364" s="212">
        <f t="shared" si="50"/>
        <v>28</v>
      </c>
      <c r="P364" s="212">
        <f t="shared" si="51"/>
        <v>53.333333333333336</v>
      </c>
      <c r="Q364" s="212">
        <f t="shared" si="52"/>
        <v>8</v>
      </c>
      <c r="R364" s="212">
        <f t="shared" si="53"/>
        <v>105.33333333333334</v>
      </c>
      <c r="S364" s="289" t="s">
        <v>1646</v>
      </c>
      <c r="T364" s="284" t="s">
        <v>1647</v>
      </c>
      <c r="U364" s="280">
        <v>38</v>
      </c>
      <c r="V364" s="280">
        <v>39</v>
      </c>
      <c r="W364" s="280">
        <v>39</v>
      </c>
      <c r="X364" s="290">
        <v>44327</v>
      </c>
      <c r="Y364" s="277">
        <v>44367</v>
      </c>
      <c r="Z364" s="276">
        <v>44460</v>
      </c>
      <c r="AA364" s="273">
        <f t="shared" si="54"/>
        <v>2021</v>
      </c>
      <c r="AB364" s="273">
        <f t="shared" si="55"/>
        <v>9</v>
      </c>
      <c r="AC364" s="278" t="s">
        <v>920</v>
      </c>
      <c r="AD364" s="278" t="s">
        <v>422</v>
      </c>
      <c r="AE364" s="278" t="s">
        <v>423</v>
      </c>
      <c r="AF364" s="278" t="s">
        <v>422</v>
      </c>
      <c r="AG364" s="278" t="s">
        <v>422</v>
      </c>
      <c r="AH364" s="278" t="s">
        <v>423</v>
      </c>
      <c r="AI364" s="278" t="s">
        <v>422</v>
      </c>
      <c r="AJ364" s="278" t="s">
        <v>423</v>
      </c>
      <c r="AK364" s="278" t="s">
        <v>423</v>
      </c>
      <c r="AL364" s="279" t="s">
        <v>1240</v>
      </c>
      <c r="AM364" s="241"/>
      <c r="AN364" s="242"/>
    </row>
    <row r="365" spans="1:40" ht="15" customHeight="1" x14ac:dyDescent="0.3">
      <c r="A365" s="185">
        <v>355</v>
      </c>
      <c r="B365" s="285" t="s">
        <v>1648</v>
      </c>
      <c r="C365" s="281" t="s">
        <v>1615</v>
      </c>
      <c r="D365" s="200" t="s">
        <v>1881</v>
      </c>
      <c r="E365" s="383"/>
      <c r="F365" s="383" t="s">
        <v>1597</v>
      </c>
      <c r="G365" s="370" t="s">
        <v>1596</v>
      </c>
      <c r="H365" s="248" t="s">
        <v>422</v>
      </c>
      <c r="I365" s="248">
        <v>2</v>
      </c>
      <c r="J365" s="248">
        <v>6</v>
      </c>
      <c r="K365" s="248">
        <v>8</v>
      </c>
      <c r="L365" s="212">
        <v>1</v>
      </c>
      <c r="M365" s="212">
        <f t="shared" si="48"/>
        <v>17</v>
      </c>
      <c r="N365" s="212">
        <f t="shared" si="49"/>
        <v>16</v>
      </c>
      <c r="O365" s="212">
        <f t="shared" si="50"/>
        <v>24</v>
      </c>
      <c r="P365" s="212">
        <f t="shared" si="51"/>
        <v>53.333333333333336</v>
      </c>
      <c r="Q365" s="212">
        <f t="shared" si="52"/>
        <v>8</v>
      </c>
      <c r="R365" s="212">
        <f t="shared" si="53"/>
        <v>101.33333333333334</v>
      </c>
      <c r="S365" s="286" t="s">
        <v>1649</v>
      </c>
      <c r="T365" s="284" t="s">
        <v>1650</v>
      </c>
      <c r="U365" s="280">
        <v>48</v>
      </c>
      <c r="V365" s="280">
        <v>50</v>
      </c>
      <c r="W365" s="280">
        <v>50</v>
      </c>
      <c r="X365" s="276">
        <v>44327</v>
      </c>
      <c r="Y365" s="277">
        <v>44367</v>
      </c>
      <c r="Z365" s="276">
        <v>44460</v>
      </c>
      <c r="AA365" s="273">
        <f t="shared" si="54"/>
        <v>2021</v>
      </c>
      <c r="AB365" s="273">
        <f t="shared" si="55"/>
        <v>9</v>
      </c>
      <c r="AC365" s="278" t="s">
        <v>920</v>
      </c>
      <c r="AD365" s="278" t="s">
        <v>422</v>
      </c>
      <c r="AE365" s="278" t="s">
        <v>423</v>
      </c>
      <c r="AF365" s="278" t="s">
        <v>422</v>
      </c>
      <c r="AG365" s="278" t="s">
        <v>422</v>
      </c>
      <c r="AH365" s="278" t="s">
        <v>423</v>
      </c>
      <c r="AI365" s="278" t="s">
        <v>422</v>
      </c>
      <c r="AJ365" s="278" t="s">
        <v>423</v>
      </c>
      <c r="AK365" s="278" t="s">
        <v>423</v>
      </c>
      <c r="AL365" s="279" t="s">
        <v>1240</v>
      </c>
      <c r="AM365" s="241"/>
      <c r="AN365" s="242"/>
    </row>
    <row r="366" spans="1:40" ht="15" customHeight="1" x14ac:dyDescent="0.3">
      <c r="A366" s="185">
        <v>356</v>
      </c>
      <c r="B366" s="285" t="s">
        <v>1651</v>
      </c>
      <c r="C366" s="281" t="s">
        <v>1615</v>
      </c>
      <c r="D366" s="200" t="s">
        <v>1881</v>
      </c>
      <c r="E366" s="383"/>
      <c r="F366" s="383" t="s">
        <v>1597</v>
      </c>
      <c r="G366" s="370" t="s">
        <v>1596</v>
      </c>
      <c r="H366" s="248" t="s">
        <v>422</v>
      </c>
      <c r="I366" s="248">
        <v>2</v>
      </c>
      <c r="J366" s="248">
        <v>6.5</v>
      </c>
      <c r="K366" s="248">
        <v>5.8</v>
      </c>
      <c r="L366" s="212">
        <v>1</v>
      </c>
      <c r="M366" s="212">
        <f t="shared" si="48"/>
        <v>15.3</v>
      </c>
      <c r="N366" s="212">
        <f t="shared" si="49"/>
        <v>16</v>
      </c>
      <c r="O366" s="212">
        <f t="shared" si="50"/>
        <v>26</v>
      </c>
      <c r="P366" s="212">
        <f t="shared" si="51"/>
        <v>38.666666666666664</v>
      </c>
      <c r="Q366" s="212">
        <f t="shared" si="52"/>
        <v>8</v>
      </c>
      <c r="R366" s="212">
        <f t="shared" si="53"/>
        <v>88.666666666666657</v>
      </c>
      <c r="S366" s="286" t="s">
        <v>1923</v>
      </c>
      <c r="T366" s="284" t="s">
        <v>1652</v>
      </c>
      <c r="U366" s="280">
        <v>34</v>
      </c>
      <c r="V366" s="280">
        <v>34</v>
      </c>
      <c r="W366" s="280">
        <v>34</v>
      </c>
      <c r="X366" s="276">
        <v>44327</v>
      </c>
      <c r="Y366" s="277">
        <v>44367</v>
      </c>
      <c r="Z366" s="276">
        <v>44460</v>
      </c>
      <c r="AA366" s="273">
        <f t="shared" si="54"/>
        <v>2021</v>
      </c>
      <c r="AB366" s="273">
        <f t="shared" si="55"/>
        <v>9</v>
      </c>
      <c r="AC366" s="278" t="s">
        <v>920</v>
      </c>
      <c r="AD366" s="278" t="s">
        <v>422</v>
      </c>
      <c r="AE366" s="278" t="s">
        <v>423</v>
      </c>
      <c r="AF366" s="278" t="s">
        <v>422</v>
      </c>
      <c r="AG366" s="278" t="s">
        <v>422</v>
      </c>
      <c r="AH366" s="278" t="s">
        <v>423</v>
      </c>
      <c r="AI366" s="278" t="s">
        <v>422</v>
      </c>
      <c r="AJ366" s="278" t="s">
        <v>423</v>
      </c>
      <c r="AK366" s="278" t="s">
        <v>423</v>
      </c>
      <c r="AL366" s="279" t="s">
        <v>254</v>
      </c>
      <c r="AM366" s="241"/>
      <c r="AN366" s="242"/>
    </row>
    <row r="367" spans="1:40" s="295" customFormat="1" ht="15" customHeight="1" x14ac:dyDescent="0.3">
      <c r="A367" s="185">
        <v>365</v>
      </c>
      <c r="B367" s="285" t="s">
        <v>1662</v>
      </c>
      <c r="C367" s="281" t="s">
        <v>1618</v>
      </c>
      <c r="D367" s="200" t="s">
        <v>1881</v>
      </c>
      <c r="E367" s="383"/>
      <c r="F367" s="383"/>
      <c r="G367" s="370" t="s">
        <v>1604</v>
      </c>
      <c r="H367" s="248" t="s">
        <v>422</v>
      </c>
      <c r="I367" s="248">
        <v>2</v>
      </c>
      <c r="J367" s="248">
        <v>6.8</v>
      </c>
      <c r="K367" s="248">
        <v>0</v>
      </c>
      <c r="L367" s="212">
        <v>1</v>
      </c>
      <c r="M367" s="212">
        <f t="shared" si="48"/>
        <v>9.8000000000000007</v>
      </c>
      <c r="N367" s="212">
        <f t="shared" si="49"/>
        <v>16</v>
      </c>
      <c r="O367" s="212">
        <f t="shared" si="50"/>
        <v>27.2</v>
      </c>
      <c r="P367" s="212">
        <f t="shared" si="51"/>
        <v>0</v>
      </c>
      <c r="Q367" s="212">
        <f t="shared" si="52"/>
        <v>8</v>
      </c>
      <c r="R367" s="212">
        <f t="shared" si="53"/>
        <v>51.2</v>
      </c>
      <c r="S367" s="286" t="s">
        <v>1678</v>
      </c>
      <c r="T367" s="313" t="s">
        <v>1677</v>
      </c>
      <c r="U367" s="280">
        <v>120</v>
      </c>
      <c r="V367" s="280">
        <v>124</v>
      </c>
      <c r="W367" s="280">
        <v>124</v>
      </c>
      <c r="X367" s="276">
        <v>44333</v>
      </c>
      <c r="Y367" s="277">
        <v>44394</v>
      </c>
      <c r="Z367" s="276">
        <v>44463</v>
      </c>
      <c r="AA367" s="273">
        <f t="shared" si="54"/>
        <v>2021</v>
      </c>
      <c r="AB367" s="273">
        <f t="shared" si="55"/>
        <v>9</v>
      </c>
      <c r="AC367" s="278" t="s">
        <v>920</v>
      </c>
      <c r="AD367" s="278" t="s">
        <v>422</v>
      </c>
      <c r="AE367" s="278" t="s">
        <v>423</v>
      </c>
      <c r="AF367" s="278" t="s">
        <v>422</v>
      </c>
      <c r="AG367" s="278" t="s">
        <v>422</v>
      </c>
      <c r="AH367" s="278" t="s">
        <v>423</v>
      </c>
      <c r="AI367" s="278" t="s">
        <v>423</v>
      </c>
      <c r="AJ367" s="278" t="s">
        <v>423</v>
      </c>
      <c r="AK367" s="278" t="s">
        <v>422</v>
      </c>
      <c r="AL367" s="279" t="s">
        <v>1372</v>
      </c>
      <c r="AM367" s="241"/>
      <c r="AN367" s="242"/>
    </row>
    <row r="368" spans="1:40" ht="15" customHeight="1" x14ac:dyDescent="0.3">
      <c r="A368" s="185">
        <v>366</v>
      </c>
      <c r="B368" s="285" t="s">
        <v>1663</v>
      </c>
      <c r="C368" s="281" t="s">
        <v>1618</v>
      </c>
      <c r="D368" s="200" t="s">
        <v>1881</v>
      </c>
      <c r="E368" s="383"/>
      <c r="F368" s="383"/>
      <c r="G368" s="370" t="s">
        <v>1604</v>
      </c>
      <c r="H368" s="248" t="s">
        <v>422</v>
      </c>
      <c r="I368" s="248">
        <v>2</v>
      </c>
      <c r="J368" s="248">
        <v>7.5</v>
      </c>
      <c r="K368" s="248">
        <v>0</v>
      </c>
      <c r="L368" s="212">
        <v>1</v>
      </c>
      <c r="M368" s="212">
        <f t="shared" si="48"/>
        <v>10.5</v>
      </c>
      <c r="N368" s="212">
        <f t="shared" si="49"/>
        <v>16</v>
      </c>
      <c r="O368" s="212">
        <f t="shared" si="50"/>
        <v>30</v>
      </c>
      <c r="P368" s="212">
        <f t="shared" si="51"/>
        <v>0</v>
      </c>
      <c r="Q368" s="212">
        <f t="shared" si="52"/>
        <v>8</v>
      </c>
      <c r="R368" s="212">
        <f t="shared" si="53"/>
        <v>54</v>
      </c>
      <c r="S368" s="286" t="s">
        <v>1680</v>
      </c>
      <c r="T368" s="275" t="s">
        <v>1679</v>
      </c>
      <c r="U368" s="280">
        <v>120</v>
      </c>
      <c r="V368" s="280">
        <v>124</v>
      </c>
      <c r="W368" s="280">
        <v>124</v>
      </c>
      <c r="X368" s="276">
        <v>44333</v>
      </c>
      <c r="Y368" s="277">
        <v>44394</v>
      </c>
      <c r="Z368" s="276">
        <v>44463</v>
      </c>
      <c r="AA368" s="273">
        <f t="shared" si="54"/>
        <v>2021</v>
      </c>
      <c r="AB368" s="273">
        <f t="shared" si="55"/>
        <v>9</v>
      </c>
      <c r="AC368" s="278" t="s">
        <v>920</v>
      </c>
      <c r="AD368" s="278" t="s">
        <v>422</v>
      </c>
      <c r="AE368" s="278" t="s">
        <v>423</v>
      </c>
      <c r="AF368" s="278" t="s">
        <v>422</v>
      </c>
      <c r="AG368" s="278" t="s">
        <v>422</v>
      </c>
      <c r="AH368" s="278" t="s">
        <v>423</v>
      </c>
      <c r="AI368" s="278" t="s">
        <v>423</v>
      </c>
      <c r="AJ368" s="278" t="s">
        <v>423</v>
      </c>
      <c r="AK368" s="278" t="s">
        <v>422</v>
      </c>
      <c r="AL368" s="279" t="s">
        <v>1372</v>
      </c>
      <c r="AM368" s="241"/>
      <c r="AN368" s="242"/>
    </row>
    <row r="369" spans="1:40" ht="15" customHeight="1" x14ac:dyDescent="0.3">
      <c r="A369" s="185">
        <v>372</v>
      </c>
      <c r="B369" s="285" t="s">
        <v>1692</v>
      </c>
      <c r="C369" s="281" t="s">
        <v>1618</v>
      </c>
      <c r="D369" s="200" t="s">
        <v>1848</v>
      </c>
      <c r="E369" s="383" t="s">
        <v>1790</v>
      </c>
      <c r="F369" s="383" t="s">
        <v>1597</v>
      </c>
      <c r="G369" s="370" t="s">
        <v>1596</v>
      </c>
      <c r="H369" s="248" t="s">
        <v>422</v>
      </c>
      <c r="I369" s="248">
        <v>2</v>
      </c>
      <c r="J369" s="248">
        <v>11.5</v>
      </c>
      <c r="K369" s="248">
        <v>9</v>
      </c>
      <c r="L369" s="212">
        <v>1</v>
      </c>
      <c r="M369" s="212">
        <f t="shared" si="48"/>
        <v>23.5</v>
      </c>
      <c r="N369" s="212">
        <f t="shared" si="49"/>
        <v>16</v>
      </c>
      <c r="O369" s="212">
        <f t="shared" si="50"/>
        <v>46</v>
      </c>
      <c r="P369" s="212">
        <f t="shared" si="51"/>
        <v>60</v>
      </c>
      <c r="Q369" s="212">
        <f t="shared" si="52"/>
        <v>8</v>
      </c>
      <c r="R369" s="212">
        <f t="shared" si="53"/>
        <v>130</v>
      </c>
      <c r="S369" s="286" t="s">
        <v>1705</v>
      </c>
      <c r="T369" s="275" t="s">
        <v>1714</v>
      </c>
      <c r="U369" s="280">
        <v>20</v>
      </c>
      <c r="V369" s="280">
        <v>22</v>
      </c>
      <c r="W369" s="280">
        <v>22</v>
      </c>
      <c r="X369" s="276">
        <v>44351</v>
      </c>
      <c r="Y369" s="277">
        <v>44423</v>
      </c>
      <c r="Z369" s="276">
        <v>44463</v>
      </c>
      <c r="AA369" s="273">
        <f t="shared" si="54"/>
        <v>2021</v>
      </c>
      <c r="AB369" s="273">
        <f t="shared" si="55"/>
        <v>9</v>
      </c>
      <c r="AC369" s="278" t="s">
        <v>920</v>
      </c>
      <c r="AD369" s="278" t="s">
        <v>422</v>
      </c>
      <c r="AE369" s="278" t="s">
        <v>422</v>
      </c>
      <c r="AF369" s="278" t="s">
        <v>422</v>
      </c>
      <c r="AG369" s="278" t="s">
        <v>422</v>
      </c>
      <c r="AH369" s="278" t="s">
        <v>422</v>
      </c>
      <c r="AI369" s="278" t="s">
        <v>422</v>
      </c>
      <c r="AJ369" s="278" t="s">
        <v>423</v>
      </c>
      <c r="AK369" s="278" t="s">
        <v>423</v>
      </c>
      <c r="AL369" s="279" t="s">
        <v>772</v>
      </c>
      <c r="AM369" s="241"/>
      <c r="AN369" s="242"/>
    </row>
    <row r="370" spans="1:40" ht="15" customHeight="1" x14ac:dyDescent="0.3">
      <c r="A370" s="185">
        <v>373</v>
      </c>
      <c r="B370" s="285" t="s">
        <v>1693</v>
      </c>
      <c r="C370" s="281" t="s">
        <v>1618</v>
      </c>
      <c r="D370" s="200" t="s">
        <v>1848</v>
      </c>
      <c r="E370" s="383" t="s">
        <v>1790</v>
      </c>
      <c r="F370" s="383" t="s">
        <v>1597</v>
      </c>
      <c r="G370" s="370" t="s">
        <v>1596</v>
      </c>
      <c r="H370" s="248" t="s">
        <v>422</v>
      </c>
      <c r="I370" s="248">
        <v>2</v>
      </c>
      <c r="J370" s="248">
        <v>5.5</v>
      </c>
      <c r="K370" s="248">
        <v>11</v>
      </c>
      <c r="L370" s="212">
        <v>1</v>
      </c>
      <c r="M370" s="212">
        <f t="shared" si="48"/>
        <v>19.5</v>
      </c>
      <c r="N370" s="212">
        <f t="shared" si="49"/>
        <v>16</v>
      </c>
      <c r="O370" s="212">
        <f t="shared" si="50"/>
        <v>22</v>
      </c>
      <c r="P370" s="212">
        <f t="shared" si="51"/>
        <v>73.333333333333343</v>
      </c>
      <c r="Q370" s="212">
        <f t="shared" si="52"/>
        <v>8</v>
      </c>
      <c r="R370" s="212">
        <f t="shared" si="53"/>
        <v>119.33333333333334</v>
      </c>
      <c r="S370" s="286" t="s">
        <v>1706</v>
      </c>
      <c r="T370" s="275" t="s">
        <v>1715</v>
      </c>
      <c r="U370" s="280">
        <v>10</v>
      </c>
      <c r="V370" s="280">
        <v>11</v>
      </c>
      <c r="W370" s="280">
        <v>11</v>
      </c>
      <c r="X370" s="276">
        <v>44351</v>
      </c>
      <c r="Y370" s="277">
        <v>44423</v>
      </c>
      <c r="Z370" s="276">
        <v>44463</v>
      </c>
      <c r="AA370" s="273">
        <f t="shared" si="54"/>
        <v>2021</v>
      </c>
      <c r="AB370" s="273">
        <f t="shared" si="55"/>
        <v>9</v>
      </c>
      <c r="AC370" s="278" t="s">
        <v>920</v>
      </c>
      <c r="AD370" s="278" t="s">
        <v>422</v>
      </c>
      <c r="AE370" s="278" t="s">
        <v>423</v>
      </c>
      <c r="AF370" s="278" t="s">
        <v>422</v>
      </c>
      <c r="AG370" s="278" t="s">
        <v>422</v>
      </c>
      <c r="AH370" s="278" t="s">
        <v>423</v>
      </c>
      <c r="AI370" s="278" t="s">
        <v>422</v>
      </c>
      <c r="AJ370" s="278" t="s">
        <v>423</v>
      </c>
      <c r="AK370" s="278" t="s">
        <v>423</v>
      </c>
      <c r="AL370" s="279" t="s">
        <v>772</v>
      </c>
      <c r="AM370" s="241"/>
      <c r="AN370" s="242"/>
    </row>
    <row r="371" spans="1:40" ht="15" customHeight="1" x14ac:dyDescent="0.3">
      <c r="A371" s="185">
        <v>374</v>
      </c>
      <c r="B371" s="285" t="s">
        <v>1694</v>
      </c>
      <c r="C371" s="281" t="s">
        <v>1618</v>
      </c>
      <c r="D371" s="200" t="s">
        <v>1848</v>
      </c>
      <c r="E371" s="383" t="s">
        <v>1790</v>
      </c>
      <c r="F371" s="383" t="s">
        <v>1597</v>
      </c>
      <c r="G371" s="370" t="s">
        <v>1596</v>
      </c>
      <c r="H371" s="248" t="s">
        <v>422</v>
      </c>
      <c r="I371" s="248">
        <v>1</v>
      </c>
      <c r="J371" s="248">
        <v>3.5</v>
      </c>
      <c r="K371" s="248">
        <v>6</v>
      </c>
      <c r="L371" s="212">
        <v>1</v>
      </c>
      <c r="M371" s="212">
        <f t="shared" si="48"/>
        <v>11.5</v>
      </c>
      <c r="N371" s="212">
        <f t="shared" si="49"/>
        <v>8</v>
      </c>
      <c r="O371" s="212">
        <f t="shared" si="50"/>
        <v>14</v>
      </c>
      <c r="P371" s="212">
        <f t="shared" si="51"/>
        <v>40</v>
      </c>
      <c r="Q371" s="212">
        <f t="shared" si="52"/>
        <v>8</v>
      </c>
      <c r="R371" s="212">
        <f t="shared" si="53"/>
        <v>70</v>
      </c>
      <c r="S371" s="286" t="s">
        <v>1707</v>
      </c>
      <c r="T371" s="275" t="s">
        <v>1716</v>
      </c>
      <c r="U371" s="280">
        <v>10</v>
      </c>
      <c r="V371" s="280">
        <v>11</v>
      </c>
      <c r="W371" s="280">
        <v>11</v>
      </c>
      <c r="X371" s="276">
        <v>44351</v>
      </c>
      <c r="Y371" s="277">
        <v>44423</v>
      </c>
      <c r="Z371" s="276">
        <v>44463</v>
      </c>
      <c r="AA371" s="273">
        <f t="shared" si="54"/>
        <v>2021</v>
      </c>
      <c r="AB371" s="273">
        <f t="shared" si="55"/>
        <v>9</v>
      </c>
      <c r="AC371" s="278" t="s">
        <v>920</v>
      </c>
      <c r="AD371" s="278" t="s">
        <v>422</v>
      </c>
      <c r="AE371" s="278" t="s">
        <v>423</v>
      </c>
      <c r="AF371" s="278" t="s">
        <v>422</v>
      </c>
      <c r="AG371" s="278" t="s">
        <v>422</v>
      </c>
      <c r="AH371" s="278" t="s">
        <v>423</v>
      </c>
      <c r="AI371" s="278" t="s">
        <v>422</v>
      </c>
      <c r="AJ371" s="278" t="s">
        <v>423</v>
      </c>
      <c r="AK371" s="278" t="s">
        <v>423</v>
      </c>
      <c r="AL371" s="279" t="s">
        <v>772</v>
      </c>
      <c r="AM371" s="241"/>
      <c r="AN371" s="242"/>
    </row>
    <row r="372" spans="1:40" ht="15" customHeight="1" x14ac:dyDescent="0.3">
      <c r="A372" s="185">
        <v>375</v>
      </c>
      <c r="B372" s="285" t="s">
        <v>1695</v>
      </c>
      <c r="C372" s="281" t="s">
        <v>1618</v>
      </c>
      <c r="D372" s="200" t="s">
        <v>1848</v>
      </c>
      <c r="E372" s="383" t="s">
        <v>1790</v>
      </c>
      <c r="F372" s="383" t="s">
        <v>1597</v>
      </c>
      <c r="G372" s="370" t="s">
        <v>1596</v>
      </c>
      <c r="H372" s="248" t="s">
        <v>422</v>
      </c>
      <c r="I372" s="248">
        <v>1</v>
      </c>
      <c r="J372" s="248">
        <v>3.5</v>
      </c>
      <c r="K372" s="359">
        <v>6</v>
      </c>
      <c r="L372" s="212">
        <v>1</v>
      </c>
      <c r="M372" s="212">
        <f t="shared" si="48"/>
        <v>11.5</v>
      </c>
      <c r="N372" s="212">
        <f t="shared" si="49"/>
        <v>8</v>
      </c>
      <c r="O372" s="212">
        <f t="shared" si="50"/>
        <v>14</v>
      </c>
      <c r="P372" s="212">
        <f t="shared" si="51"/>
        <v>40</v>
      </c>
      <c r="Q372" s="212">
        <f t="shared" si="52"/>
        <v>8</v>
      </c>
      <c r="R372" s="212">
        <f t="shared" si="53"/>
        <v>70</v>
      </c>
      <c r="S372" s="286" t="s">
        <v>1708</v>
      </c>
      <c r="T372" s="275" t="s">
        <v>1717</v>
      </c>
      <c r="U372" s="280">
        <v>10</v>
      </c>
      <c r="V372" s="280">
        <v>11</v>
      </c>
      <c r="W372" s="280">
        <v>11</v>
      </c>
      <c r="X372" s="276">
        <v>44351</v>
      </c>
      <c r="Y372" s="277">
        <v>44423</v>
      </c>
      <c r="Z372" s="276">
        <v>44463</v>
      </c>
      <c r="AA372" s="273">
        <f t="shared" si="54"/>
        <v>2021</v>
      </c>
      <c r="AB372" s="273">
        <f t="shared" si="55"/>
        <v>9</v>
      </c>
      <c r="AC372" s="278" t="s">
        <v>920</v>
      </c>
      <c r="AD372" s="278" t="s">
        <v>422</v>
      </c>
      <c r="AE372" s="278" t="s">
        <v>423</v>
      </c>
      <c r="AF372" s="278" t="s">
        <v>422</v>
      </c>
      <c r="AG372" s="278" t="s">
        <v>422</v>
      </c>
      <c r="AH372" s="278" t="s">
        <v>423</v>
      </c>
      <c r="AI372" s="278" t="s">
        <v>422</v>
      </c>
      <c r="AJ372" s="278" t="s">
        <v>423</v>
      </c>
      <c r="AK372" s="278" t="s">
        <v>423</v>
      </c>
      <c r="AL372" s="279" t="s">
        <v>772</v>
      </c>
      <c r="AM372" s="241"/>
      <c r="AN372" s="242"/>
    </row>
    <row r="373" spans="1:40" s="295" customFormat="1" ht="15" customHeight="1" x14ac:dyDescent="0.3">
      <c r="A373" s="185">
        <v>376</v>
      </c>
      <c r="B373" s="285" t="s">
        <v>1696</v>
      </c>
      <c r="C373" s="281" t="s">
        <v>1618</v>
      </c>
      <c r="D373" s="200" t="s">
        <v>1848</v>
      </c>
      <c r="E373" s="383" t="s">
        <v>1790</v>
      </c>
      <c r="F373" s="383" t="s">
        <v>1597</v>
      </c>
      <c r="G373" s="370" t="s">
        <v>1596</v>
      </c>
      <c r="H373" s="248" t="s">
        <v>422</v>
      </c>
      <c r="I373" s="248">
        <v>2</v>
      </c>
      <c r="J373" s="248">
        <v>5.5</v>
      </c>
      <c r="K373" s="359">
        <v>6</v>
      </c>
      <c r="L373" s="212">
        <v>1</v>
      </c>
      <c r="M373" s="212">
        <f t="shared" si="48"/>
        <v>14.5</v>
      </c>
      <c r="N373" s="212">
        <f t="shared" si="49"/>
        <v>16</v>
      </c>
      <c r="O373" s="212">
        <f t="shared" si="50"/>
        <v>22</v>
      </c>
      <c r="P373" s="212">
        <f t="shared" si="51"/>
        <v>40</v>
      </c>
      <c r="Q373" s="212">
        <f t="shared" si="52"/>
        <v>8</v>
      </c>
      <c r="R373" s="212">
        <f t="shared" si="53"/>
        <v>86</v>
      </c>
      <c r="S373" s="286" t="s">
        <v>1709</v>
      </c>
      <c r="T373" s="313" t="s">
        <v>1718</v>
      </c>
      <c r="U373" s="280">
        <v>10</v>
      </c>
      <c r="V373" s="280">
        <v>11</v>
      </c>
      <c r="W373" s="280">
        <v>11</v>
      </c>
      <c r="X373" s="276">
        <v>44351</v>
      </c>
      <c r="Y373" s="277">
        <v>44423</v>
      </c>
      <c r="Z373" s="276">
        <v>44463</v>
      </c>
      <c r="AA373" s="273">
        <f t="shared" si="54"/>
        <v>2021</v>
      </c>
      <c r="AB373" s="273">
        <f t="shared" si="55"/>
        <v>9</v>
      </c>
      <c r="AC373" s="278" t="s">
        <v>920</v>
      </c>
      <c r="AD373" s="278" t="s">
        <v>422</v>
      </c>
      <c r="AE373" s="278" t="s">
        <v>423</v>
      </c>
      <c r="AF373" s="278" t="s">
        <v>422</v>
      </c>
      <c r="AG373" s="278" t="s">
        <v>422</v>
      </c>
      <c r="AH373" s="278" t="s">
        <v>423</v>
      </c>
      <c r="AI373" s="278" t="s">
        <v>422</v>
      </c>
      <c r="AJ373" s="278" t="s">
        <v>423</v>
      </c>
      <c r="AK373" s="278" t="s">
        <v>423</v>
      </c>
      <c r="AL373" s="279" t="s">
        <v>772</v>
      </c>
      <c r="AM373" s="241"/>
      <c r="AN373" s="242"/>
    </row>
    <row r="374" spans="1:40" ht="15" customHeight="1" x14ac:dyDescent="0.3">
      <c r="A374" s="185">
        <v>377</v>
      </c>
      <c r="B374" s="285" t="s">
        <v>1697</v>
      </c>
      <c r="C374" s="281" t="s">
        <v>1618</v>
      </c>
      <c r="D374" s="200" t="s">
        <v>1848</v>
      </c>
      <c r="E374" s="383" t="s">
        <v>1790</v>
      </c>
      <c r="F374" s="383" t="s">
        <v>1597</v>
      </c>
      <c r="G374" s="370" t="s">
        <v>1596</v>
      </c>
      <c r="H374" s="248" t="s">
        <v>422</v>
      </c>
      <c r="I374" s="248">
        <v>1</v>
      </c>
      <c r="J374" s="248">
        <v>3.5</v>
      </c>
      <c r="K374" s="359">
        <v>6</v>
      </c>
      <c r="L374" s="212">
        <v>1</v>
      </c>
      <c r="M374" s="212">
        <f t="shared" si="48"/>
        <v>11.5</v>
      </c>
      <c r="N374" s="212">
        <f t="shared" si="49"/>
        <v>8</v>
      </c>
      <c r="O374" s="212">
        <f t="shared" si="50"/>
        <v>14</v>
      </c>
      <c r="P374" s="212">
        <f t="shared" si="51"/>
        <v>40</v>
      </c>
      <c r="Q374" s="212">
        <f t="shared" si="52"/>
        <v>8</v>
      </c>
      <c r="R374" s="212">
        <f t="shared" si="53"/>
        <v>70</v>
      </c>
      <c r="S374" s="286" t="s">
        <v>1710</v>
      </c>
      <c r="T374" s="275" t="s">
        <v>1719</v>
      </c>
      <c r="U374" s="280">
        <v>10</v>
      </c>
      <c r="V374" s="280">
        <v>11</v>
      </c>
      <c r="W374" s="280">
        <v>11</v>
      </c>
      <c r="X374" s="276">
        <v>44351</v>
      </c>
      <c r="Y374" s="277">
        <v>44423</v>
      </c>
      <c r="Z374" s="276">
        <v>44463</v>
      </c>
      <c r="AA374" s="273">
        <f t="shared" si="54"/>
        <v>2021</v>
      </c>
      <c r="AB374" s="273">
        <f t="shared" si="55"/>
        <v>9</v>
      </c>
      <c r="AC374" s="278" t="s">
        <v>920</v>
      </c>
      <c r="AD374" s="278" t="s">
        <v>422</v>
      </c>
      <c r="AE374" s="278" t="s">
        <v>423</v>
      </c>
      <c r="AF374" s="278" t="s">
        <v>422</v>
      </c>
      <c r="AG374" s="278" t="s">
        <v>422</v>
      </c>
      <c r="AH374" s="278" t="s">
        <v>423</v>
      </c>
      <c r="AI374" s="278" t="s">
        <v>422</v>
      </c>
      <c r="AJ374" s="278" t="s">
        <v>423</v>
      </c>
      <c r="AK374" s="278" t="s">
        <v>423</v>
      </c>
      <c r="AL374" s="279" t="s">
        <v>772</v>
      </c>
      <c r="AM374" s="241"/>
      <c r="AN374" s="242"/>
    </row>
    <row r="375" spans="1:40" ht="15" customHeight="1" x14ac:dyDescent="0.3">
      <c r="A375" s="185">
        <v>378</v>
      </c>
      <c r="B375" s="285" t="s">
        <v>1698</v>
      </c>
      <c r="C375" s="281" t="s">
        <v>1618</v>
      </c>
      <c r="D375" s="200" t="s">
        <v>1848</v>
      </c>
      <c r="E375" s="383" t="s">
        <v>1790</v>
      </c>
      <c r="F375" s="383" t="s">
        <v>1597</v>
      </c>
      <c r="G375" s="370" t="s">
        <v>1596</v>
      </c>
      <c r="H375" s="248" t="s">
        <v>422</v>
      </c>
      <c r="I375" s="248">
        <v>1</v>
      </c>
      <c r="J375" s="248">
        <v>3.5</v>
      </c>
      <c r="K375" s="359">
        <v>6</v>
      </c>
      <c r="L375" s="212">
        <v>1</v>
      </c>
      <c r="M375" s="212">
        <f t="shared" si="48"/>
        <v>11.5</v>
      </c>
      <c r="N375" s="212">
        <f t="shared" si="49"/>
        <v>8</v>
      </c>
      <c r="O375" s="212">
        <f t="shared" si="50"/>
        <v>14</v>
      </c>
      <c r="P375" s="212">
        <f t="shared" si="51"/>
        <v>40</v>
      </c>
      <c r="Q375" s="212">
        <f t="shared" si="52"/>
        <v>8</v>
      </c>
      <c r="R375" s="212">
        <f t="shared" si="53"/>
        <v>70</v>
      </c>
      <c r="S375" s="286" t="s">
        <v>1711</v>
      </c>
      <c r="T375" s="275" t="s">
        <v>1720</v>
      </c>
      <c r="U375" s="280">
        <v>10</v>
      </c>
      <c r="V375" s="280">
        <v>11</v>
      </c>
      <c r="W375" s="280">
        <v>11</v>
      </c>
      <c r="X375" s="276">
        <v>44351</v>
      </c>
      <c r="Y375" s="277">
        <v>44423</v>
      </c>
      <c r="Z375" s="276">
        <v>44463</v>
      </c>
      <c r="AA375" s="273">
        <f t="shared" si="54"/>
        <v>2021</v>
      </c>
      <c r="AB375" s="273">
        <f t="shared" si="55"/>
        <v>9</v>
      </c>
      <c r="AC375" s="278" t="s">
        <v>920</v>
      </c>
      <c r="AD375" s="278" t="s">
        <v>422</v>
      </c>
      <c r="AE375" s="278" t="s">
        <v>423</v>
      </c>
      <c r="AF375" s="278" t="s">
        <v>422</v>
      </c>
      <c r="AG375" s="278" t="s">
        <v>422</v>
      </c>
      <c r="AH375" s="278" t="s">
        <v>423</v>
      </c>
      <c r="AI375" s="278" t="s">
        <v>422</v>
      </c>
      <c r="AJ375" s="278" t="s">
        <v>423</v>
      </c>
      <c r="AK375" s="278" t="s">
        <v>423</v>
      </c>
      <c r="AL375" s="279" t="s">
        <v>772</v>
      </c>
      <c r="AM375" s="241"/>
      <c r="AN375" s="242"/>
    </row>
    <row r="376" spans="1:40" ht="15" customHeight="1" x14ac:dyDescent="0.3">
      <c r="A376" s="185">
        <v>382</v>
      </c>
      <c r="B376" s="285" t="s">
        <v>1721</v>
      </c>
      <c r="C376" s="281" t="s">
        <v>1621</v>
      </c>
      <c r="D376" s="200" t="s">
        <v>1881</v>
      </c>
      <c r="E376" s="383" t="s">
        <v>1596</v>
      </c>
      <c r="F376" s="383" t="s">
        <v>1597</v>
      </c>
      <c r="G376" s="370" t="s">
        <v>1604</v>
      </c>
      <c r="H376" s="248" t="s">
        <v>422</v>
      </c>
      <c r="I376" s="248">
        <v>2</v>
      </c>
      <c r="J376" s="248">
        <v>11</v>
      </c>
      <c r="K376" s="248">
        <v>0</v>
      </c>
      <c r="L376" s="212">
        <v>1</v>
      </c>
      <c r="M376" s="212">
        <f t="shared" si="48"/>
        <v>14</v>
      </c>
      <c r="N376" s="212">
        <f t="shared" si="49"/>
        <v>16</v>
      </c>
      <c r="O376" s="212">
        <f t="shared" si="50"/>
        <v>44</v>
      </c>
      <c r="P376" s="212">
        <f t="shared" si="51"/>
        <v>0</v>
      </c>
      <c r="Q376" s="212">
        <f t="shared" si="52"/>
        <v>8</v>
      </c>
      <c r="R376" s="212">
        <f t="shared" si="53"/>
        <v>68</v>
      </c>
      <c r="S376" s="286" t="s">
        <v>1726</v>
      </c>
      <c r="T376" s="275" t="s">
        <v>1728</v>
      </c>
      <c r="U376" s="280">
        <v>18</v>
      </c>
      <c r="V376" s="280">
        <v>18</v>
      </c>
      <c r="W376" s="280">
        <v>18</v>
      </c>
      <c r="X376" s="276">
        <v>44389</v>
      </c>
      <c r="Y376" s="277">
        <v>44408</v>
      </c>
      <c r="Z376" s="276">
        <v>44446</v>
      </c>
      <c r="AA376" s="273">
        <f t="shared" si="54"/>
        <v>2021</v>
      </c>
      <c r="AB376" s="273">
        <f t="shared" si="55"/>
        <v>9</v>
      </c>
      <c r="AC376" s="278" t="s">
        <v>920</v>
      </c>
      <c r="AD376" s="278" t="s">
        <v>422</v>
      </c>
      <c r="AE376" s="278" t="s">
        <v>423</v>
      </c>
      <c r="AF376" s="278" t="s">
        <v>422</v>
      </c>
      <c r="AG376" s="278" t="s">
        <v>422</v>
      </c>
      <c r="AH376" s="278" t="s">
        <v>422</v>
      </c>
      <c r="AI376" s="278" t="s">
        <v>423</v>
      </c>
      <c r="AJ376" s="278" t="s">
        <v>423</v>
      </c>
      <c r="AK376" s="278" t="s">
        <v>423</v>
      </c>
      <c r="AL376" s="279" t="s">
        <v>140</v>
      </c>
      <c r="AM376" s="241"/>
      <c r="AN376" s="242"/>
    </row>
    <row r="377" spans="1:40" ht="15" customHeight="1" x14ac:dyDescent="0.3">
      <c r="A377" s="185">
        <v>383</v>
      </c>
      <c r="B377" s="285" t="s">
        <v>1722</v>
      </c>
      <c r="C377" s="281" t="s">
        <v>1621</v>
      </c>
      <c r="D377" s="200" t="s">
        <v>1881</v>
      </c>
      <c r="E377" s="383" t="s">
        <v>1596</v>
      </c>
      <c r="F377" s="383" t="s">
        <v>1597</v>
      </c>
      <c r="G377" s="370" t="s">
        <v>1604</v>
      </c>
      <c r="H377" s="248" t="s">
        <v>422</v>
      </c>
      <c r="I377" s="248">
        <v>2</v>
      </c>
      <c r="J377" s="248">
        <v>11</v>
      </c>
      <c r="K377" s="248">
        <v>0</v>
      </c>
      <c r="L377" s="212">
        <v>1</v>
      </c>
      <c r="M377" s="212">
        <f t="shared" si="48"/>
        <v>14</v>
      </c>
      <c r="N377" s="212">
        <f t="shared" si="49"/>
        <v>16</v>
      </c>
      <c r="O377" s="212">
        <f t="shared" si="50"/>
        <v>44</v>
      </c>
      <c r="P377" s="212">
        <f t="shared" si="51"/>
        <v>0</v>
      </c>
      <c r="Q377" s="212">
        <f t="shared" si="52"/>
        <v>8</v>
      </c>
      <c r="R377" s="212">
        <f t="shared" si="53"/>
        <v>68</v>
      </c>
      <c r="S377" s="286" t="s">
        <v>1725</v>
      </c>
      <c r="T377" s="275" t="s">
        <v>1728</v>
      </c>
      <c r="U377" s="280">
        <v>18</v>
      </c>
      <c r="V377" s="280">
        <v>18</v>
      </c>
      <c r="W377" s="280">
        <v>18</v>
      </c>
      <c r="X377" s="276">
        <v>44389</v>
      </c>
      <c r="Y377" s="277">
        <v>44408</v>
      </c>
      <c r="Z377" s="276">
        <v>44446</v>
      </c>
      <c r="AA377" s="273">
        <f t="shared" si="54"/>
        <v>2021</v>
      </c>
      <c r="AB377" s="273">
        <f t="shared" si="55"/>
        <v>9</v>
      </c>
      <c r="AC377" s="278" t="s">
        <v>920</v>
      </c>
      <c r="AD377" s="278" t="s">
        <v>422</v>
      </c>
      <c r="AE377" s="278" t="s">
        <v>423</v>
      </c>
      <c r="AF377" s="278" t="s">
        <v>422</v>
      </c>
      <c r="AG377" s="278" t="s">
        <v>422</v>
      </c>
      <c r="AH377" s="278" t="s">
        <v>422</v>
      </c>
      <c r="AI377" s="278" t="s">
        <v>423</v>
      </c>
      <c r="AJ377" s="278" t="s">
        <v>423</v>
      </c>
      <c r="AK377" s="278" t="s">
        <v>423</v>
      </c>
      <c r="AL377" s="279" t="s">
        <v>140</v>
      </c>
      <c r="AM377" s="241"/>
      <c r="AN377" s="242"/>
    </row>
    <row r="378" spans="1:40" ht="15" customHeight="1" x14ac:dyDescent="0.3">
      <c r="A378" s="185">
        <v>384</v>
      </c>
      <c r="B378" s="285" t="s">
        <v>1723</v>
      </c>
      <c r="C378" s="281" t="s">
        <v>1621</v>
      </c>
      <c r="D378" s="200" t="s">
        <v>1881</v>
      </c>
      <c r="E378" s="383" t="s">
        <v>1596</v>
      </c>
      <c r="F378" s="383" t="s">
        <v>1597</v>
      </c>
      <c r="G378" s="370" t="s">
        <v>1604</v>
      </c>
      <c r="H378" s="248" t="s">
        <v>422</v>
      </c>
      <c r="I378" s="248">
        <v>2</v>
      </c>
      <c r="J378" s="248">
        <v>12</v>
      </c>
      <c r="K378" s="248">
        <v>0</v>
      </c>
      <c r="L378" s="212">
        <v>1</v>
      </c>
      <c r="M378" s="212">
        <f t="shared" si="48"/>
        <v>15</v>
      </c>
      <c r="N378" s="212">
        <f t="shared" si="49"/>
        <v>16</v>
      </c>
      <c r="O378" s="212">
        <f t="shared" si="50"/>
        <v>48</v>
      </c>
      <c r="P378" s="212">
        <f t="shared" si="51"/>
        <v>0</v>
      </c>
      <c r="Q378" s="212">
        <f t="shared" si="52"/>
        <v>8</v>
      </c>
      <c r="R378" s="212">
        <f t="shared" si="53"/>
        <v>72</v>
      </c>
      <c r="S378" s="286" t="s">
        <v>1725</v>
      </c>
      <c r="T378" s="275" t="s">
        <v>1729</v>
      </c>
      <c r="U378" s="280">
        <v>18</v>
      </c>
      <c r="V378" s="280">
        <v>18</v>
      </c>
      <c r="W378" s="280">
        <v>18</v>
      </c>
      <c r="X378" s="276">
        <v>44389</v>
      </c>
      <c r="Y378" s="277">
        <v>44408</v>
      </c>
      <c r="Z378" s="276">
        <v>44446</v>
      </c>
      <c r="AA378" s="273">
        <f t="shared" si="54"/>
        <v>2021</v>
      </c>
      <c r="AB378" s="273">
        <f t="shared" si="55"/>
        <v>9</v>
      </c>
      <c r="AC378" s="278" t="s">
        <v>920</v>
      </c>
      <c r="AD378" s="278" t="s">
        <v>422</v>
      </c>
      <c r="AE378" s="278" t="s">
        <v>423</v>
      </c>
      <c r="AF378" s="278" t="s">
        <v>422</v>
      </c>
      <c r="AG378" s="278" t="s">
        <v>422</v>
      </c>
      <c r="AH378" s="278" t="s">
        <v>422</v>
      </c>
      <c r="AI378" s="278" t="s">
        <v>423</v>
      </c>
      <c r="AJ378" s="278" t="s">
        <v>422</v>
      </c>
      <c r="AK378" s="278" t="s">
        <v>423</v>
      </c>
      <c r="AL378" s="279" t="s">
        <v>140</v>
      </c>
      <c r="AM378" s="241"/>
      <c r="AN378" s="242"/>
    </row>
    <row r="379" spans="1:40" ht="15" customHeight="1" x14ac:dyDescent="0.3">
      <c r="A379" s="185">
        <v>385</v>
      </c>
      <c r="B379" s="285" t="s">
        <v>1724</v>
      </c>
      <c r="C379" s="281" t="s">
        <v>1621</v>
      </c>
      <c r="D379" s="200" t="s">
        <v>1881</v>
      </c>
      <c r="E379" s="383" t="s">
        <v>1596</v>
      </c>
      <c r="F379" s="383" t="s">
        <v>1597</v>
      </c>
      <c r="G379" s="370" t="s">
        <v>1604</v>
      </c>
      <c r="H379" s="248" t="s">
        <v>422</v>
      </c>
      <c r="I379" s="248">
        <v>2</v>
      </c>
      <c r="J379" s="248">
        <v>12</v>
      </c>
      <c r="K379" s="248">
        <v>0</v>
      </c>
      <c r="L379" s="212">
        <v>1</v>
      </c>
      <c r="M379" s="212">
        <f t="shared" si="48"/>
        <v>15</v>
      </c>
      <c r="N379" s="212">
        <f t="shared" si="49"/>
        <v>16</v>
      </c>
      <c r="O379" s="212">
        <f t="shared" si="50"/>
        <v>48</v>
      </c>
      <c r="P379" s="212">
        <f t="shared" si="51"/>
        <v>0</v>
      </c>
      <c r="Q379" s="212">
        <f t="shared" si="52"/>
        <v>8</v>
      </c>
      <c r="R379" s="212">
        <f t="shared" si="53"/>
        <v>72</v>
      </c>
      <c r="S379" s="286" t="s">
        <v>1725</v>
      </c>
      <c r="T379" s="275" t="s">
        <v>1727</v>
      </c>
      <c r="U379" s="280">
        <v>9</v>
      </c>
      <c r="V379" s="280">
        <v>9</v>
      </c>
      <c r="W379" s="280">
        <v>9</v>
      </c>
      <c r="X379" s="276">
        <v>44389</v>
      </c>
      <c r="Y379" s="277">
        <v>44408</v>
      </c>
      <c r="Z379" s="276">
        <v>44446</v>
      </c>
      <c r="AA379" s="273">
        <f t="shared" si="54"/>
        <v>2021</v>
      </c>
      <c r="AB379" s="273">
        <f t="shared" si="55"/>
        <v>9</v>
      </c>
      <c r="AC379" s="278" t="s">
        <v>920</v>
      </c>
      <c r="AD379" s="278" t="s">
        <v>422</v>
      </c>
      <c r="AE379" s="278" t="s">
        <v>423</v>
      </c>
      <c r="AF379" s="278" t="s">
        <v>422</v>
      </c>
      <c r="AG379" s="278" t="s">
        <v>422</v>
      </c>
      <c r="AH379" s="278" t="s">
        <v>422</v>
      </c>
      <c r="AI379" s="278" t="s">
        <v>423</v>
      </c>
      <c r="AJ379" s="278" t="s">
        <v>422</v>
      </c>
      <c r="AK379" s="278" t="s">
        <v>423</v>
      </c>
      <c r="AL379" s="279" t="s">
        <v>140</v>
      </c>
      <c r="AM379" s="241"/>
      <c r="AN379" s="242"/>
    </row>
    <row r="380" spans="1:40" ht="15" customHeight="1" x14ac:dyDescent="0.3">
      <c r="A380" s="185">
        <v>387</v>
      </c>
      <c r="B380" s="285" t="s">
        <v>1731</v>
      </c>
      <c r="C380" s="281" t="s">
        <v>1618</v>
      </c>
      <c r="D380" s="200" t="s">
        <v>1881</v>
      </c>
      <c r="E380" s="383"/>
      <c r="F380" s="383" t="s">
        <v>1597</v>
      </c>
      <c r="G380" s="370" t="s">
        <v>1596</v>
      </c>
      <c r="H380" s="248" t="s">
        <v>422</v>
      </c>
      <c r="I380" s="248">
        <v>2</v>
      </c>
      <c r="J380" s="248">
        <v>6.6</v>
      </c>
      <c r="K380" s="248">
        <v>15</v>
      </c>
      <c r="L380" s="212">
        <v>1</v>
      </c>
      <c r="M380" s="212">
        <f t="shared" si="48"/>
        <v>24.6</v>
      </c>
      <c r="N380" s="212">
        <f t="shared" si="49"/>
        <v>16</v>
      </c>
      <c r="O380" s="212">
        <f t="shared" si="50"/>
        <v>26.4</v>
      </c>
      <c r="P380" s="212">
        <f t="shared" si="51"/>
        <v>100</v>
      </c>
      <c r="Q380" s="212">
        <f t="shared" si="52"/>
        <v>8</v>
      </c>
      <c r="R380" s="212">
        <f t="shared" si="53"/>
        <v>150.4</v>
      </c>
      <c r="S380" s="286" t="s">
        <v>1743</v>
      </c>
      <c r="T380" s="275" t="s">
        <v>1737</v>
      </c>
      <c r="U380" s="280">
        <v>80</v>
      </c>
      <c r="V380" s="280">
        <v>84</v>
      </c>
      <c r="W380" s="280">
        <v>84</v>
      </c>
      <c r="X380" s="276">
        <v>44397</v>
      </c>
      <c r="Y380" s="277">
        <v>44469</v>
      </c>
      <c r="Z380" s="276">
        <v>44463</v>
      </c>
      <c r="AA380" s="273">
        <f t="shared" si="54"/>
        <v>2021</v>
      </c>
      <c r="AB380" s="273">
        <f t="shared" si="55"/>
        <v>9</v>
      </c>
      <c r="AC380" s="278" t="s">
        <v>920</v>
      </c>
      <c r="AD380" s="278" t="s">
        <v>422</v>
      </c>
      <c r="AE380" s="278" t="s">
        <v>422</v>
      </c>
      <c r="AF380" s="278" t="s">
        <v>422</v>
      </c>
      <c r="AG380" s="278" t="s">
        <v>422</v>
      </c>
      <c r="AH380" s="278" t="s">
        <v>422</v>
      </c>
      <c r="AI380" s="278" t="s">
        <v>422</v>
      </c>
      <c r="AJ380" s="278" t="s">
        <v>422</v>
      </c>
      <c r="AK380" s="278" t="s">
        <v>422</v>
      </c>
      <c r="AL380" s="279" t="s">
        <v>140</v>
      </c>
      <c r="AM380" s="241"/>
      <c r="AN380" s="242"/>
    </row>
    <row r="381" spans="1:40" ht="15" customHeight="1" x14ac:dyDescent="0.3">
      <c r="A381" s="185">
        <v>388</v>
      </c>
      <c r="B381" s="285" t="s">
        <v>1732</v>
      </c>
      <c r="C381" s="281" t="s">
        <v>1618</v>
      </c>
      <c r="D381" s="200" t="s">
        <v>1881</v>
      </c>
      <c r="E381" s="383"/>
      <c r="F381" s="383" t="s">
        <v>1597</v>
      </c>
      <c r="G381" s="370" t="s">
        <v>1604</v>
      </c>
      <c r="H381" s="248" t="s">
        <v>422</v>
      </c>
      <c r="I381" s="248">
        <v>2</v>
      </c>
      <c r="J381" s="248">
        <v>10</v>
      </c>
      <c r="K381" s="248">
        <v>0</v>
      </c>
      <c r="L381" s="212">
        <v>1</v>
      </c>
      <c r="M381" s="212">
        <f t="shared" si="48"/>
        <v>13</v>
      </c>
      <c r="N381" s="212">
        <f t="shared" si="49"/>
        <v>16</v>
      </c>
      <c r="O381" s="212">
        <f t="shared" si="50"/>
        <v>40</v>
      </c>
      <c r="P381" s="212">
        <f t="shared" si="51"/>
        <v>0</v>
      </c>
      <c r="Q381" s="212">
        <f t="shared" si="52"/>
        <v>8</v>
      </c>
      <c r="R381" s="212">
        <f t="shared" si="53"/>
        <v>64</v>
      </c>
      <c r="S381" s="286" t="s">
        <v>1744</v>
      </c>
      <c r="T381" s="275" t="s">
        <v>1738</v>
      </c>
      <c r="U381" s="280">
        <v>50</v>
      </c>
      <c r="V381" s="280">
        <v>52</v>
      </c>
      <c r="W381" s="280">
        <v>52</v>
      </c>
      <c r="X381" s="276">
        <v>44397</v>
      </c>
      <c r="Y381" s="277">
        <v>44469</v>
      </c>
      <c r="Z381" s="276">
        <v>44463</v>
      </c>
      <c r="AA381" s="273">
        <f t="shared" si="54"/>
        <v>2021</v>
      </c>
      <c r="AB381" s="273">
        <f t="shared" si="55"/>
        <v>9</v>
      </c>
      <c r="AC381" s="278" t="s">
        <v>920</v>
      </c>
      <c r="AD381" s="278" t="s">
        <v>422</v>
      </c>
      <c r="AE381" s="278" t="s">
        <v>423</v>
      </c>
      <c r="AF381" s="278" t="s">
        <v>422</v>
      </c>
      <c r="AG381" s="278" t="s">
        <v>422</v>
      </c>
      <c r="AH381" s="278" t="s">
        <v>423</v>
      </c>
      <c r="AI381" s="278" t="s">
        <v>423</v>
      </c>
      <c r="AJ381" s="278" t="s">
        <v>423</v>
      </c>
      <c r="AK381" s="278" t="s">
        <v>423</v>
      </c>
      <c r="AL381" s="279" t="s">
        <v>1372</v>
      </c>
      <c r="AM381" s="241"/>
      <c r="AN381" s="242"/>
    </row>
    <row r="382" spans="1:40" ht="15" customHeight="1" x14ac:dyDescent="0.3">
      <c r="A382" s="185">
        <v>389</v>
      </c>
      <c r="B382" s="285" t="s">
        <v>1733</v>
      </c>
      <c r="C382" s="281" t="s">
        <v>1618</v>
      </c>
      <c r="D382" s="200" t="s">
        <v>1881</v>
      </c>
      <c r="E382" s="383" t="s">
        <v>1596</v>
      </c>
      <c r="F382" s="383" t="s">
        <v>1597</v>
      </c>
      <c r="G382" s="370" t="s">
        <v>1604</v>
      </c>
      <c r="H382" s="248" t="s">
        <v>422</v>
      </c>
      <c r="I382" s="248">
        <v>2</v>
      </c>
      <c r="J382" s="248">
        <v>7.5</v>
      </c>
      <c r="K382" s="248">
        <v>0</v>
      </c>
      <c r="L382" s="212">
        <v>1</v>
      </c>
      <c r="M382" s="212">
        <f t="shared" si="48"/>
        <v>10.5</v>
      </c>
      <c r="N382" s="212">
        <f t="shared" si="49"/>
        <v>16</v>
      </c>
      <c r="O382" s="212">
        <f t="shared" si="50"/>
        <v>30</v>
      </c>
      <c r="P382" s="212">
        <f t="shared" si="51"/>
        <v>0</v>
      </c>
      <c r="Q382" s="212">
        <f t="shared" si="52"/>
        <v>8</v>
      </c>
      <c r="R382" s="212">
        <f t="shared" si="53"/>
        <v>54</v>
      </c>
      <c r="S382" s="286" t="s">
        <v>1745</v>
      </c>
      <c r="T382" s="275" t="s">
        <v>1739</v>
      </c>
      <c r="U382" s="280">
        <v>50</v>
      </c>
      <c r="V382" s="280">
        <v>52</v>
      </c>
      <c r="W382" s="280">
        <v>52</v>
      </c>
      <c r="X382" s="276">
        <v>44397</v>
      </c>
      <c r="Y382" s="277">
        <v>44469</v>
      </c>
      <c r="Z382" s="276">
        <v>44463</v>
      </c>
      <c r="AA382" s="273">
        <f t="shared" si="54"/>
        <v>2021</v>
      </c>
      <c r="AB382" s="273">
        <f t="shared" si="55"/>
        <v>9</v>
      </c>
      <c r="AC382" s="278" t="s">
        <v>920</v>
      </c>
      <c r="AD382" s="278" t="s">
        <v>422</v>
      </c>
      <c r="AE382" s="278" t="s">
        <v>423</v>
      </c>
      <c r="AF382" s="278" t="s">
        <v>422</v>
      </c>
      <c r="AG382" s="278" t="s">
        <v>422</v>
      </c>
      <c r="AH382" s="278" t="s">
        <v>423</v>
      </c>
      <c r="AI382" s="278" t="s">
        <v>423</v>
      </c>
      <c r="AJ382" s="278" t="s">
        <v>423</v>
      </c>
      <c r="AK382" s="278" t="s">
        <v>423</v>
      </c>
      <c r="AL382" s="279" t="s">
        <v>1372</v>
      </c>
      <c r="AM382" s="241"/>
      <c r="AN382" s="242"/>
    </row>
    <row r="383" spans="1:40" ht="15" customHeight="1" x14ac:dyDescent="0.3">
      <c r="A383" s="185">
        <v>390</v>
      </c>
      <c r="B383" s="285" t="s">
        <v>1734</v>
      </c>
      <c r="C383" s="281" t="s">
        <v>1618</v>
      </c>
      <c r="D383" s="200" t="s">
        <v>1881</v>
      </c>
      <c r="E383" s="383" t="s">
        <v>1596</v>
      </c>
      <c r="F383" s="383" t="s">
        <v>1597</v>
      </c>
      <c r="G383" s="370" t="s">
        <v>1604</v>
      </c>
      <c r="H383" s="248" t="s">
        <v>422</v>
      </c>
      <c r="I383" s="248">
        <v>2</v>
      </c>
      <c r="J383" s="248">
        <v>8.5</v>
      </c>
      <c r="K383" s="248">
        <v>0</v>
      </c>
      <c r="L383" s="212">
        <v>1</v>
      </c>
      <c r="M383" s="212">
        <f t="shared" si="48"/>
        <v>11.5</v>
      </c>
      <c r="N383" s="212">
        <f t="shared" si="49"/>
        <v>16</v>
      </c>
      <c r="O383" s="212">
        <f t="shared" si="50"/>
        <v>34</v>
      </c>
      <c r="P383" s="212">
        <f t="shared" si="51"/>
        <v>0</v>
      </c>
      <c r="Q383" s="212">
        <f t="shared" si="52"/>
        <v>8</v>
      </c>
      <c r="R383" s="212">
        <f t="shared" si="53"/>
        <v>58</v>
      </c>
      <c r="S383" s="286" t="s">
        <v>1746</v>
      </c>
      <c r="T383" s="275" t="s">
        <v>1740</v>
      </c>
      <c r="U383" s="280">
        <v>65</v>
      </c>
      <c r="V383" s="280">
        <v>67</v>
      </c>
      <c r="W383" s="280">
        <v>67</v>
      </c>
      <c r="X383" s="276">
        <v>44397</v>
      </c>
      <c r="Y383" s="277">
        <v>44469</v>
      </c>
      <c r="Z383" s="276">
        <v>44463</v>
      </c>
      <c r="AA383" s="273">
        <f t="shared" si="54"/>
        <v>2021</v>
      </c>
      <c r="AB383" s="273">
        <f t="shared" si="55"/>
        <v>9</v>
      </c>
      <c r="AC383" s="278" t="s">
        <v>920</v>
      </c>
      <c r="AD383" s="278" t="s">
        <v>422</v>
      </c>
      <c r="AE383" s="278" t="s">
        <v>422</v>
      </c>
      <c r="AF383" s="278" t="s">
        <v>422</v>
      </c>
      <c r="AG383" s="278" t="s">
        <v>422</v>
      </c>
      <c r="AH383" s="278" t="s">
        <v>422</v>
      </c>
      <c r="AI383" s="278" t="s">
        <v>423</v>
      </c>
      <c r="AJ383" s="278" t="s">
        <v>422</v>
      </c>
      <c r="AK383" s="278" t="s">
        <v>423</v>
      </c>
      <c r="AL383" s="279" t="s">
        <v>1240</v>
      </c>
      <c r="AM383" s="241"/>
      <c r="AN383" s="242"/>
    </row>
    <row r="384" spans="1:40" ht="15" customHeight="1" x14ac:dyDescent="0.3">
      <c r="A384" s="185">
        <v>391</v>
      </c>
      <c r="B384" s="285" t="s">
        <v>1735</v>
      </c>
      <c r="C384" s="281" t="s">
        <v>1618</v>
      </c>
      <c r="D384" s="200" t="s">
        <v>1881</v>
      </c>
      <c r="E384" s="383" t="s">
        <v>1596</v>
      </c>
      <c r="F384" s="383" t="s">
        <v>1597</v>
      </c>
      <c r="G384" s="370" t="s">
        <v>1604</v>
      </c>
      <c r="H384" s="248" t="s">
        <v>422</v>
      </c>
      <c r="I384" s="248">
        <v>2</v>
      </c>
      <c r="J384" s="248">
        <v>6</v>
      </c>
      <c r="K384" s="248">
        <v>0</v>
      </c>
      <c r="L384" s="212">
        <v>1</v>
      </c>
      <c r="M384" s="212">
        <f t="shared" si="48"/>
        <v>9</v>
      </c>
      <c r="N384" s="212">
        <f t="shared" si="49"/>
        <v>16</v>
      </c>
      <c r="O384" s="212">
        <f t="shared" si="50"/>
        <v>24</v>
      </c>
      <c r="P384" s="212">
        <f t="shared" si="51"/>
        <v>0</v>
      </c>
      <c r="Q384" s="212">
        <f t="shared" si="52"/>
        <v>8</v>
      </c>
      <c r="R384" s="212">
        <f t="shared" si="53"/>
        <v>48</v>
      </c>
      <c r="S384" s="286" t="s">
        <v>1747</v>
      </c>
      <c r="T384" s="275" t="s">
        <v>1741</v>
      </c>
      <c r="U384" s="280">
        <v>100</v>
      </c>
      <c r="V384" s="280">
        <v>104</v>
      </c>
      <c r="W384" s="280">
        <v>104</v>
      </c>
      <c r="X384" s="276">
        <v>44397</v>
      </c>
      <c r="Y384" s="277">
        <v>44469</v>
      </c>
      <c r="Z384" s="276">
        <v>44463</v>
      </c>
      <c r="AA384" s="273">
        <f t="shared" si="54"/>
        <v>2021</v>
      </c>
      <c r="AB384" s="273">
        <f t="shared" si="55"/>
        <v>9</v>
      </c>
      <c r="AC384" s="278" t="s">
        <v>920</v>
      </c>
      <c r="AD384" s="278" t="s">
        <v>422</v>
      </c>
      <c r="AE384" s="278" t="s">
        <v>422</v>
      </c>
      <c r="AF384" s="278" t="s">
        <v>422</v>
      </c>
      <c r="AG384" s="278" t="s">
        <v>422</v>
      </c>
      <c r="AH384" s="278" t="s">
        <v>422</v>
      </c>
      <c r="AI384" s="278" t="s">
        <v>423</v>
      </c>
      <c r="AJ384" s="278" t="s">
        <v>422</v>
      </c>
      <c r="AK384" s="278" t="s">
        <v>423</v>
      </c>
      <c r="AL384" s="279" t="s">
        <v>1240</v>
      </c>
      <c r="AM384" s="241"/>
      <c r="AN384" s="242"/>
    </row>
    <row r="385" spans="1:40" ht="15" customHeight="1" x14ac:dyDescent="0.3">
      <c r="A385" s="185">
        <v>400</v>
      </c>
      <c r="B385" s="285" t="s">
        <v>1778</v>
      </c>
      <c r="C385" s="281" t="s">
        <v>1615</v>
      </c>
      <c r="D385" s="200" t="s">
        <v>1881</v>
      </c>
      <c r="E385" s="383"/>
      <c r="F385" s="383" t="s">
        <v>1597</v>
      </c>
      <c r="G385" s="370" t="s">
        <v>1604</v>
      </c>
      <c r="H385" s="248" t="s">
        <v>422</v>
      </c>
      <c r="I385" s="248">
        <v>2</v>
      </c>
      <c r="J385" s="248">
        <v>10.5</v>
      </c>
      <c r="K385" s="248">
        <v>0</v>
      </c>
      <c r="L385" s="212">
        <v>1</v>
      </c>
      <c r="M385" s="212">
        <f t="shared" si="48"/>
        <v>13.5</v>
      </c>
      <c r="N385" s="212">
        <f t="shared" si="49"/>
        <v>16</v>
      </c>
      <c r="O385" s="212">
        <f t="shared" si="50"/>
        <v>42</v>
      </c>
      <c r="P385" s="212">
        <f t="shared" si="51"/>
        <v>0</v>
      </c>
      <c r="Q385" s="212">
        <f t="shared" si="52"/>
        <v>8</v>
      </c>
      <c r="R385" s="212">
        <f t="shared" si="53"/>
        <v>66</v>
      </c>
      <c r="S385" s="286" t="s">
        <v>1779</v>
      </c>
      <c r="T385" s="275" t="s">
        <v>1780</v>
      </c>
      <c r="U385" s="280">
        <v>211</v>
      </c>
      <c r="V385" s="280">
        <v>216</v>
      </c>
      <c r="W385" s="280">
        <v>216</v>
      </c>
      <c r="X385" s="276">
        <v>44418</v>
      </c>
      <c r="Y385" s="277">
        <v>44423</v>
      </c>
      <c r="Z385" s="276">
        <v>44460</v>
      </c>
      <c r="AA385" s="273">
        <f t="shared" si="54"/>
        <v>2021</v>
      </c>
      <c r="AB385" s="273">
        <f t="shared" si="55"/>
        <v>9</v>
      </c>
      <c r="AC385" s="278" t="s">
        <v>920</v>
      </c>
      <c r="AD385" s="278" t="s">
        <v>422</v>
      </c>
      <c r="AE385" s="278" t="s">
        <v>422</v>
      </c>
      <c r="AF385" s="278" t="s">
        <v>422</v>
      </c>
      <c r="AG385" s="278" t="s">
        <v>422</v>
      </c>
      <c r="AH385" s="278" t="s">
        <v>422</v>
      </c>
      <c r="AI385" s="278" t="s">
        <v>423</v>
      </c>
      <c r="AJ385" s="278" t="s">
        <v>422</v>
      </c>
      <c r="AK385" s="278" t="s">
        <v>423</v>
      </c>
      <c r="AL385" s="279" t="s">
        <v>140</v>
      </c>
      <c r="AM385" s="241"/>
      <c r="AN385" s="242"/>
    </row>
    <row r="386" spans="1:40" ht="15" customHeight="1" x14ac:dyDescent="0.3">
      <c r="A386" s="185">
        <v>401</v>
      </c>
      <c r="B386" s="285" t="s">
        <v>1781</v>
      </c>
      <c r="C386" s="281" t="s">
        <v>1615</v>
      </c>
      <c r="D386" s="200" t="s">
        <v>1881</v>
      </c>
      <c r="E386" s="383"/>
      <c r="F386" s="383"/>
      <c r="G386" s="370" t="s">
        <v>1604</v>
      </c>
      <c r="H386" s="248"/>
      <c r="I386" s="359">
        <v>2</v>
      </c>
      <c r="J386" s="359">
        <v>7.5</v>
      </c>
      <c r="K386" s="248">
        <v>0</v>
      </c>
      <c r="L386" s="212">
        <v>1</v>
      </c>
      <c r="M386" s="212">
        <f t="shared" si="48"/>
        <v>10.5</v>
      </c>
      <c r="N386" s="212">
        <f t="shared" si="49"/>
        <v>16</v>
      </c>
      <c r="O386" s="212">
        <f t="shared" si="50"/>
        <v>30</v>
      </c>
      <c r="P386" s="212">
        <f t="shared" si="51"/>
        <v>0</v>
      </c>
      <c r="Q386" s="212">
        <f t="shared" si="52"/>
        <v>8</v>
      </c>
      <c r="R386" s="212">
        <f t="shared" si="53"/>
        <v>54</v>
      </c>
      <c r="S386" s="286" t="s">
        <v>1782</v>
      </c>
      <c r="T386" s="275" t="s">
        <v>1391</v>
      </c>
      <c r="U386" s="280">
        <v>155</v>
      </c>
      <c r="V386" s="280">
        <v>160</v>
      </c>
      <c r="W386" s="280">
        <v>160</v>
      </c>
      <c r="X386" s="276">
        <v>44418</v>
      </c>
      <c r="Y386" s="277">
        <v>44423</v>
      </c>
      <c r="Z386" s="276">
        <v>44460</v>
      </c>
      <c r="AA386" s="273">
        <f t="shared" si="54"/>
        <v>2021</v>
      </c>
      <c r="AB386" s="273">
        <f t="shared" si="55"/>
        <v>9</v>
      </c>
      <c r="AC386" s="278" t="s">
        <v>920</v>
      </c>
      <c r="AD386" s="278" t="s">
        <v>422</v>
      </c>
      <c r="AE386" s="278" t="s">
        <v>422</v>
      </c>
      <c r="AF386" s="278" t="s">
        <v>422</v>
      </c>
      <c r="AG386" s="278" t="s">
        <v>422</v>
      </c>
      <c r="AH386" s="278" t="s">
        <v>422</v>
      </c>
      <c r="AI386" s="278" t="s">
        <v>423</v>
      </c>
      <c r="AJ386" s="278" t="s">
        <v>422</v>
      </c>
      <c r="AK386" s="278" t="s">
        <v>423</v>
      </c>
      <c r="AL386" s="279" t="s">
        <v>1240</v>
      </c>
      <c r="AM386" s="241"/>
      <c r="AN386" s="242"/>
    </row>
    <row r="387" spans="1:40" ht="15" customHeight="1" x14ac:dyDescent="0.3">
      <c r="A387" s="185">
        <v>413</v>
      </c>
      <c r="B387" s="285" t="s">
        <v>1805</v>
      </c>
      <c r="C387" s="281" t="s">
        <v>1618</v>
      </c>
      <c r="D387" s="200" t="s">
        <v>1881</v>
      </c>
      <c r="E387" s="383"/>
      <c r="F387" s="383" t="s">
        <v>1597</v>
      </c>
      <c r="G387" s="370" t="s">
        <v>1604</v>
      </c>
      <c r="H387" s="248" t="s">
        <v>422</v>
      </c>
      <c r="I387" s="248">
        <v>2</v>
      </c>
      <c r="J387" s="248">
        <v>6.5</v>
      </c>
      <c r="K387" s="248">
        <v>0</v>
      </c>
      <c r="L387" s="212">
        <v>1</v>
      </c>
      <c r="M387" s="212">
        <f t="shared" si="48"/>
        <v>9.5</v>
      </c>
      <c r="N387" s="212">
        <f t="shared" si="49"/>
        <v>16</v>
      </c>
      <c r="O387" s="212">
        <f t="shared" si="50"/>
        <v>26</v>
      </c>
      <c r="P387" s="212">
        <f t="shared" si="51"/>
        <v>0</v>
      </c>
      <c r="Q387" s="212">
        <f t="shared" si="52"/>
        <v>8</v>
      </c>
      <c r="R387" s="212">
        <f t="shared" si="53"/>
        <v>50</v>
      </c>
      <c r="S387" s="286" t="s">
        <v>1793</v>
      </c>
      <c r="T387" s="275" t="s">
        <v>1794</v>
      </c>
      <c r="U387" s="280">
        <v>120</v>
      </c>
      <c r="V387" s="280">
        <v>124</v>
      </c>
      <c r="W387" s="280">
        <v>124</v>
      </c>
      <c r="X387" s="276">
        <v>44414</v>
      </c>
      <c r="Y387" s="277">
        <v>44506</v>
      </c>
      <c r="Z387" s="276">
        <v>44463</v>
      </c>
      <c r="AA387" s="273">
        <f t="shared" si="54"/>
        <v>2021</v>
      </c>
      <c r="AB387" s="273">
        <f t="shared" si="55"/>
        <v>9</v>
      </c>
      <c r="AC387" s="278" t="s">
        <v>920</v>
      </c>
      <c r="AD387" s="278" t="s">
        <v>422</v>
      </c>
      <c r="AE387" s="278" t="s">
        <v>422</v>
      </c>
      <c r="AF387" s="278" t="s">
        <v>422</v>
      </c>
      <c r="AG387" s="278" t="s">
        <v>422</v>
      </c>
      <c r="AH387" s="278" t="s">
        <v>422</v>
      </c>
      <c r="AI387" s="278" t="s">
        <v>423</v>
      </c>
      <c r="AJ387" s="278" t="s">
        <v>422</v>
      </c>
      <c r="AK387" s="278" t="s">
        <v>423</v>
      </c>
      <c r="AL387" s="279" t="s">
        <v>1372</v>
      </c>
      <c r="AM387" s="241"/>
      <c r="AN387" s="242"/>
    </row>
    <row r="388" spans="1:40" ht="15" customHeight="1" x14ac:dyDescent="0.3">
      <c r="A388" s="185">
        <v>414</v>
      </c>
      <c r="B388" s="285" t="s">
        <v>1806</v>
      </c>
      <c r="C388" s="281" t="s">
        <v>1618</v>
      </c>
      <c r="D388" s="200" t="s">
        <v>1881</v>
      </c>
      <c r="E388" s="383"/>
      <c r="F388" s="383" t="s">
        <v>1597</v>
      </c>
      <c r="G388" s="370" t="s">
        <v>1604</v>
      </c>
      <c r="H388" s="248" t="s">
        <v>422</v>
      </c>
      <c r="I388" s="248">
        <v>2</v>
      </c>
      <c r="J388" s="248">
        <v>7</v>
      </c>
      <c r="K388" s="248">
        <v>0</v>
      </c>
      <c r="L388" s="212">
        <v>1.5</v>
      </c>
      <c r="M388" s="212">
        <f t="shared" si="48"/>
        <v>10.5</v>
      </c>
      <c r="N388" s="212">
        <f t="shared" si="49"/>
        <v>16</v>
      </c>
      <c r="O388" s="212">
        <f t="shared" si="50"/>
        <v>28</v>
      </c>
      <c r="P388" s="212">
        <f t="shared" si="51"/>
        <v>0</v>
      </c>
      <c r="Q388" s="212">
        <f t="shared" si="52"/>
        <v>12</v>
      </c>
      <c r="R388" s="212">
        <f t="shared" si="53"/>
        <v>56</v>
      </c>
      <c r="S388" s="286" t="s">
        <v>1793</v>
      </c>
      <c r="T388" s="275" t="s">
        <v>1795</v>
      </c>
      <c r="U388" s="280">
        <v>80</v>
      </c>
      <c r="V388" s="280">
        <v>82</v>
      </c>
      <c r="W388" s="280">
        <v>82</v>
      </c>
      <c r="X388" s="276">
        <v>44414</v>
      </c>
      <c r="Y388" s="277">
        <v>44506</v>
      </c>
      <c r="Z388" s="276">
        <v>44463</v>
      </c>
      <c r="AA388" s="273">
        <f t="shared" si="54"/>
        <v>2021</v>
      </c>
      <c r="AB388" s="273">
        <f t="shared" si="55"/>
        <v>9</v>
      </c>
      <c r="AC388" s="278" t="s">
        <v>920</v>
      </c>
      <c r="AD388" s="278" t="s">
        <v>422</v>
      </c>
      <c r="AE388" s="278" t="s">
        <v>422</v>
      </c>
      <c r="AF388" s="278" t="s">
        <v>422</v>
      </c>
      <c r="AG388" s="278" t="s">
        <v>422</v>
      </c>
      <c r="AH388" s="278" t="s">
        <v>422</v>
      </c>
      <c r="AI388" s="278" t="s">
        <v>423</v>
      </c>
      <c r="AJ388" s="278" t="s">
        <v>422</v>
      </c>
      <c r="AK388" s="278" t="s">
        <v>423</v>
      </c>
      <c r="AL388" s="279" t="s">
        <v>1372</v>
      </c>
      <c r="AM388" s="241"/>
      <c r="AN388" s="242"/>
    </row>
    <row r="389" spans="1:40" ht="15" customHeight="1" x14ac:dyDescent="0.3">
      <c r="A389" s="185">
        <v>348</v>
      </c>
      <c r="B389" s="235" t="s">
        <v>1753</v>
      </c>
      <c r="C389" s="281" t="s">
        <v>1615</v>
      </c>
      <c r="D389" s="200" t="s">
        <v>1881</v>
      </c>
      <c r="E389" s="282"/>
      <c r="F389" s="282" t="s">
        <v>1597</v>
      </c>
      <c r="G389" s="273" t="s">
        <v>1596</v>
      </c>
      <c r="H389" s="248" t="s">
        <v>422</v>
      </c>
      <c r="I389" s="248">
        <v>2</v>
      </c>
      <c r="J389" s="248">
        <v>9.8000000000000007</v>
      </c>
      <c r="K389" s="248">
        <v>30</v>
      </c>
      <c r="L389" s="212">
        <v>1</v>
      </c>
      <c r="M389" s="212">
        <f t="shared" ref="M389:M452" si="56">SUM((I389:L389))</f>
        <v>42.8</v>
      </c>
      <c r="N389" s="212">
        <f t="shared" ref="N389:N462" si="57">+I389/0.125</f>
        <v>16</v>
      </c>
      <c r="O389" s="212">
        <f t="shared" ref="O389:O458" si="58">+J389/0.25</f>
        <v>39.200000000000003</v>
      </c>
      <c r="P389" s="212">
        <f t="shared" ref="P389:P458" si="59">+K389/0.15</f>
        <v>200</v>
      </c>
      <c r="Q389" s="212">
        <f t="shared" ref="Q389:Q458" si="60">+L389/0.125</f>
        <v>8</v>
      </c>
      <c r="R389" s="212">
        <f t="shared" ref="R389:R452" si="61">SUM(N389:Q389)</f>
        <v>263.2</v>
      </c>
      <c r="S389" s="286" t="s">
        <v>1628</v>
      </c>
      <c r="T389" s="287" t="s">
        <v>1629</v>
      </c>
      <c r="U389" s="280">
        <v>67</v>
      </c>
      <c r="V389" s="273">
        <v>70</v>
      </c>
      <c r="W389" s="273">
        <v>70</v>
      </c>
      <c r="X389" s="276">
        <v>44307</v>
      </c>
      <c r="Y389" s="277">
        <v>44392</v>
      </c>
      <c r="Z389" s="277">
        <v>44480</v>
      </c>
      <c r="AA389" s="273">
        <f t="shared" ref="AA389:AA452" si="62">IF(YEAR(Z389)&gt;2000,YEAR(Z389),YEAR(Y389))</f>
        <v>2021</v>
      </c>
      <c r="AB389" s="273">
        <f t="shared" ref="AB389:AB462" si="63">MONTH(Z389)</f>
        <v>10</v>
      </c>
      <c r="AC389" s="278" t="s">
        <v>920</v>
      </c>
      <c r="AD389" s="278" t="s">
        <v>422</v>
      </c>
      <c r="AE389" s="278" t="s">
        <v>422</v>
      </c>
      <c r="AF389" s="278" t="s">
        <v>422</v>
      </c>
      <c r="AG389" s="278" t="s">
        <v>422</v>
      </c>
      <c r="AH389" s="278" t="s">
        <v>422</v>
      </c>
      <c r="AI389" s="278" t="s">
        <v>422</v>
      </c>
      <c r="AJ389" s="278" t="s">
        <v>422</v>
      </c>
      <c r="AK389" s="278" t="s">
        <v>422</v>
      </c>
      <c r="AL389" s="279" t="s">
        <v>140</v>
      </c>
      <c r="AM389" s="33"/>
      <c r="AN389" s="1" t="s">
        <v>1433</v>
      </c>
    </row>
    <row r="390" spans="1:40" ht="15" customHeight="1" x14ac:dyDescent="0.3">
      <c r="A390" s="185">
        <v>379</v>
      </c>
      <c r="B390" s="235" t="s">
        <v>1699</v>
      </c>
      <c r="C390" s="281" t="s">
        <v>1618</v>
      </c>
      <c r="D390" s="200" t="s">
        <v>1881</v>
      </c>
      <c r="E390" s="383"/>
      <c r="F390" s="383" t="s">
        <v>1601</v>
      </c>
      <c r="G390" s="370" t="s">
        <v>1604</v>
      </c>
      <c r="H390" s="248" t="s">
        <v>422</v>
      </c>
      <c r="I390" s="248">
        <v>1.2</v>
      </c>
      <c r="J390" s="248">
        <v>7</v>
      </c>
      <c r="K390" s="248">
        <v>0</v>
      </c>
      <c r="L390" s="212">
        <v>1</v>
      </c>
      <c r="M390" s="212">
        <f t="shared" si="56"/>
        <v>9.1999999999999993</v>
      </c>
      <c r="N390" s="212">
        <f t="shared" si="57"/>
        <v>9.6</v>
      </c>
      <c r="O390" s="212">
        <f t="shared" si="58"/>
        <v>28</v>
      </c>
      <c r="P390" s="212">
        <f t="shared" si="59"/>
        <v>0</v>
      </c>
      <c r="Q390" s="212">
        <f t="shared" si="60"/>
        <v>8</v>
      </c>
      <c r="R390" s="212">
        <f t="shared" si="61"/>
        <v>45.6</v>
      </c>
      <c r="S390" s="286" t="s">
        <v>1712</v>
      </c>
      <c r="T390" s="275" t="s">
        <v>1713</v>
      </c>
      <c r="U390" s="280">
        <f>95+55</f>
        <v>150</v>
      </c>
      <c r="V390" s="280">
        <v>152</v>
      </c>
      <c r="W390" s="280">
        <v>152</v>
      </c>
      <c r="X390" s="276">
        <v>44351</v>
      </c>
      <c r="Y390" s="277">
        <v>44423</v>
      </c>
      <c r="Z390" s="276">
        <v>44496</v>
      </c>
      <c r="AA390" s="273">
        <f t="shared" si="62"/>
        <v>2021</v>
      </c>
      <c r="AB390" s="273">
        <f t="shared" si="63"/>
        <v>10</v>
      </c>
      <c r="AC390" s="278" t="s">
        <v>920</v>
      </c>
      <c r="AD390" s="278" t="s">
        <v>422</v>
      </c>
      <c r="AE390" s="278" t="s">
        <v>422</v>
      </c>
      <c r="AF390" s="278" t="s">
        <v>422</v>
      </c>
      <c r="AG390" s="278" t="s">
        <v>422</v>
      </c>
      <c r="AH390" s="278" t="s">
        <v>423</v>
      </c>
      <c r="AI390" s="278" t="s">
        <v>423</v>
      </c>
      <c r="AJ390" s="278" t="s">
        <v>423</v>
      </c>
      <c r="AK390" s="278" t="s">
        <v>423</v>
      </c>
      <c r="AL390" s="279" t="s">
        <v>1911</v>
      </c>
      <c r="AM390" s="241"/>
      <c r="AN390" s="242"/>
    </row>
    <row r="391" spans="1:40" ht="15" customHeight="1" x14ac:dyDescent="0.3">
      <c r="A391" s="185">
        <v>380</v>
      </c>
      <c r="B391" s="235" t="s">
        <v>1700</v>
      </c>
      <c r="C391" s="281" t="s">
        <v>1618</v>
      </c>
      <c r="D391" s="200" t="s">
        <v>1881</v>
      </c>
      <c r="E391" s="383"/>
      <c r="F391" s="383" t="s">
        <v>1601</v>
      </c>
      <c r="G391" s="370" t="s">
        <v>1604</v>
      </c>
      <c r="H391" s="248" t="s">
        <v>422</v>
      </c>
      <c r="I391" s="248">
        <v>1.5</v>
      </c>
      <c r="J391" s="248">
        <v>14</v>
      </c>
      <c r="K391" s="248">
        <v>0</v>
      </c>
      <c r="L391" s="212">
        <v>1</v>
      </c>
      <c r="M391" s="212">
        <f t="shared" si="56"/>
        <v>16.5</v>
      </c>
      <c r="N391" s="212">
        <f t="shared" si="57"/>
        <v>12</v>
      </c>
      <c r="O391" s="212">
        <f t="shared" si="58"/>
        <v>56</v>
      </c>
      <c r="P391" s="212">
        <f t="shared" si="59"/>
        <v>0</v>
      </c>
      <c r="Q391" s="212">
        <f t="shared" si="60"/>
        <v>8</v>
      </c>
      <c r="R391" s="212">
        <f t="shared" si="61"/>
        <v>76</v>
      </c>
      <c r="S391" s="286" t="s">
        <v>1671</v>
      </c>
      <c r="T391" s="275" t="s">
        <v>1702</v>
      </c>
      <c r="U391" s="280">
        <v>55</v>
      </c>
      <c r="V391" s="280">
        <v>44</v>
      </c>
      <c r="W391" s="280">
        <v>44</v>
      </c>
      <c r="X391" s="276">
        <v>44351</v>
      </c>
      <c r="Y391" s="277">
        <v>44423</v>
      </c>
      <c r="Z391" s="276">
        <v>44496</v>
      </c>
      <c r="AA391" s="273">
        <f t="shared" si="62"/>
        <v>2021</v>
      </c>
      <c r="AB391" s="273">
        <f t="shared" si="63"/>
        <v>10</v>
      </c>
      <c r="AC391" s="278" t="s">
        <v>920</v>
      </c>
      <c r="AD391" s="278" t="s">
        <v>422</v>
      </c>
      <c r="AE391" s="278" t="s">
        <v>422</v>
      </c>
      <c r="AF391" s="278" t="s">
        <v>422</v>
      </c>
      <c r="AG391" s="278" t="s">
        <v>422</v>
      </c>
      <c r="AH391" s="278" t="s">
        <v>423</v>
      </c>
      <c r="AI391" s="278" t="s">
        <v>423</v>
      </c>
      <c r="AJ391" s="278" t="s">
        <v>423</v>
      </c>
      <c r="AK391" s="278" t="s">
        <v>423</v>
      </c>
      <c r="AL391" s="279" t="s">
        <v>1372</v>
      </c>
      <c r="AM391" s="241"/>
      <c r="AN391" s="242" t="s">
        <v>1826</v>
      </c>
    </row>
    <row r="392" spans="1:40" ht="15" customHeight="1" x14ac:dyDescent="0.3">
      <c r="A392" s="185">
        <v>381</v>
      </c>
      <c r="B392" s="235" t="s">
        <v>1701</v>
      </c>
      <c r="C392" s="281" t="s">
        <v>1618</v>
      </c>
      <c r="D392" s="200" t="s">
        <v>1881</v>
      </c>
      <c r="E392" s="383"/>
      <c r="F392" s="383" t="s">
        <v>1777</v>
      </c>
      <c r="G392" s="370" t="s">
        <v>1604</v>
      </c>
      <c r="H392" s="248" t="s">
        <v>422</v>
      </c>
      <c r="I392" s="248">
        <v>1.5</v>
      </c>
      <c r="J392" s="248">
        <v>14</v>
      </c>
      <c r="K392" s="248">
        <v>0</v>
      </c>
      <c r="L392" s="212">
        <v>1</v>
      </c>
      <c r="M392" s="212">
        <f t="shared" si="56"/>
        <v>16.5</v>
      </c>
      <c r="N392" s="212">
        <f t="shared" si="57"/>
        <v>12</v>
      </c>
      <c r="O392" s="212">
        <f t="shared" si="58"/>
        <v>56</v>
      </c>
      <c r="P392" s="212">
        <f t="shared" si="59"/>
        <v>0</v>
      </c>
      <c r="Q392" s="212">
        <f t="shared" si="60"/>
        <v>8</v>
      </c>
      <c r="R392" s="212">
        <f t="shared" si="61"/>
        <v>76</v>
      </c>
      <c r="S392" s="286" t="s">
        <v>1670</v>
      </c>
      <c r="T392" s="275" t="s">
        <v>1668</v>
      </c>
      <c r="U392" s="280">
        <v>60</v>
      </c>
      <c r="V392" s="280">
        <v>55</v>
      </c>
      <c r="W392" s="280">
        <v>55</v>
      </c>
      <c r="X392" s="276">
        <v>44351</v>
      </c>
      <c r="Y392" s="277">
        <v>44423</v>
      </c>
      <c r="Z392" s="276">
        <v>44496</v>
      </c>
      <c r="AA392" s="273">
        <f t="shared" si="62"/>
        <v>2021</v>
      </c>
      <c r="AB392" s="273">
        <f t="shared" si="63"/>
        <v>10</v>
      </c>
      <c r="AC392" s="278" t="s">
        <v>920</v>
      </c>
      <c r="AD392" s="278" t="s">
        <v>422</v>
      </c>
      <c r="AE392" s="278" t="s">
        <v>422</v>
      </c>
      <c r="AF392" s="278" t="s">
        <v>422</v>
      </c>
      <c r="AG392" s="278" t="s">
        <v>422</v>
      </c>
      <c r="AH392" s="278" t="s">
        <v>423</v>
      </c>
      <c r="AI392" s="278" t="s">
        <v>423</v>
      </c>
      <c r="AJ392" s="278" t="s">
        <v>423</v>
      </c>
      <c r="AK392" s="278" t="s">
        <v>423</v>
      </c>
      <c r="AL392" s="279" t="s">
        <v>1372</v>
      </c>
      <c r="AM392" s="241"/>
      <c r="AN392" s="242" t="s">
        <v>1826</v>
      </c>
    </row>
    <row r="393" spans="1:40" ht="15" customHeight="1" x14ac:dyDescent="0.3">
      <c r="A393" s="185">
        <v>393</v>
      </c>
      <c r="B393" s="235" t="s">
        <v>1759</v>
      </c>
      <c r="C393" s="281" t="s">
        <v>1615</v>
      </c>
      <c r="D393" s="200" t="s">
        <v>1881</v>
      </c>
      <c r="E393" s="383"/>
      <c r="F393" s="383" t="s">
        <v>1777</v>
      </c>
      <c r="G393" s="370" t="s">
        <v>1604</v>
      </c>
      <c r="H393" s="248" t="s">
        <v>422</v>
      </c>
      <c r="I393" s="248">
        <v>2</v>
      </c>
      <c r="J393" s="359">
        <v>13</v>
      </c>
      <c r="K393" s="248">
        <v>0</v>
      </c>
      <c r="L393" s="212">
        <v>1</v>
      </c>
      <c r="M393" s="212">
        <f t="shared" si="56"/>
        <v>16</v>
      </c>
      <c r="N393" s="212">
        <f t="shared" si="57"/>
        <v>16</v>
      </c>
      <c r="O393" s="212">
        <f t="shared" si="58"/>
        <v>52</v>
      </c>
      <c r="P393" s="212">
        <f t="shared" si="59"/>
        <v>0</v>
      </c>
      <c r="Q393" s="212">
        <f t="shared" si="60"/>
        <v>8</v>
      </c>
      <c r="R393" s="212">
        <f t="shared" si="61"/>
        <v>76</v>
      </c>
      <c r="S393" s="286" t="s">
        <v>1766</v>
      </c>
      <c r="T393" s="275" t="s">
        <v>1767</v>
      </c>
      <c r="U393" s="280">
        <v>60</v>
      </c>
      <c r="V393" s="280">
        <v>62</v>
      </c>
      <c r="W393" s="280">
        <v>62</v>
      </c>
      <c r="X393" s="276">
        <v>44418</v>
      </c>
      <c r="Y393" s="277">
        <v>44484</v>
      </c>
      <c r="Z393" s="26">
        <v>44480</v>
      </c>
      <c r="AA393" s="273">
        <f t="shared" si="62"/>
        <v>2021</v>
      </c>
      <c r="AB393" s="273">
        <f t="shared" si="63"/>
        <v>10</v>
      </c>
      <c r="AC393" s="278" t="s">
        <v>920</v>
      </c>
      <c r="AD393" s="278" t="s">
        <v>422</v>
      </c>
      <c r="AE393" s="278" t="s">
        <v>422</v>
      </c>
      <c r="AF393" s="278" t="s">
        <v>422</v>
      </c>
      <c r="AG393" s="278" t="s">
        <v>422</v>
      </c>
      <c r="AH393" s="278" t="s">
        <v>422</v>
      </c>
      <c r="AI393" s="278" t="s">
        <v>423</v>
      </c>
      <c r="AJ393" s="278" t="s">
        <v>422</v>
      </c>
      <c r="AK393" s="278" t="s">
        <v>423</v>
      </c>
      <c r="AL393" s="279" t="s">
        <v>140</v>
      </c>
      <c r="AM393" s="241"/>
      <c r="AN393" s="242"/>
    </row>
    <row r="394" spans="1:40" ht="15" customHeight="1" x14ac:dyDescent="0.3">
      <c r="A394" s="185">
        <v>394</v>
      </c>
      <c r="B394" s="235" t="s">
        <v>1760</v>
      </c>
      <c r="C394" s="281" t="s">
        <v>1615</v>
      </c>
      <c r="D394" s="200" t="s">
        <v>1881</v>
      </c>
      <c r="E394" s="383"/>
      <c r="F394" s="383" t="s">
        <v>1777</v>
      </c>
      <c r="G394" s="370" t="s">
        <v>1604</v>
      </c>
      <c r="H394" s="248" t="s">
        <v>422</v>
      </c>
      <c r="I394" s="248">
        <v>2</v>
      </c>
      <c r="J394" s="248">
        <v>13</v>
      </c>
      <c r="K394" s="248">
        <v>0</v>
      </c>
      <c r="L394" s="212">
        <v>1</v>
      </c>
      <c r="M394" s="212">
        <f t="shared" si="56"/>
        <v>16</v>
      </c>
      <c r="N394" s="212">
        <f t="shared" si="57"/>
        <v>16</v>
      </c>
      <c r="O394" s="212">
        <f t="shared" si="58"/>
        <v>52</v>
      </c>
      <c r="P394" s="212">
        <f t="shared" si="59"/>
        <v>0</v>
      </c>
      <c r="Q394" s="212">
        <f t="shared" si="60"/>
        <v>8</v>
      </c>
      <c r="R394" s="212">
        <f t="shared" si="61"/>
        <v>76</v>
      </c>
      <c r="S394" s="286" t="s">
        <v>1768</v>
      </c>
      <c r="T394" s="275" t="s">
        <v>1769</v>
      </c>
      <c r="U394" s="280">
        <v>60</v>
      </c>
      <c r="V394" s="280">
        <v>37</v>
      </c>
      <c r="W394" s="280">
        <v>37</v>
      </c>
      <c r="X394" s="276">
        <v>44418</v>
      </c>
      <c r="Y394" s="277">
        <v>44484</v>
      </c>
      <c r="Z394" s="26">
        <v>44480</v>
      </c>
      <c r="AA394" s="273">
        <f t="shared" si="62"/>
        <v>2021</v>
      </c>
      <c r="AB394" s="273">
        <f t="shared" si="63"/>
        <v>10</v>
      </c>
      <c r="AC394" s="278" t="s">
        <v>920</v>
      </c>
      <c r="AD394" s="278" t="s">
        <v>422</v>
      </c>
      <c r="AE394" s="278" t="s">
        <v>422</v>
      </c>
      <c r="AF394" s="278" t="s">
        <v>422</v>
      </c>
      <c r="AG394" s="278" t="s">
        <v>422</v>
      </c>
      <c r="AH394" s="278" t="s">
        <v>422</v>
      </c>
      <c r="AI394" s="278" t="s">
        <v>423</v>
      </c>
      <c r="AJ394" s="278" t="s">
        <v>422</v>
      </c>
      <c r="AK394" s="278" t="s">
        <v>423</v>
      </c>
      <c r="AL394" s="279" t="s">
        <v>138</v>
      </c>
      <c r="AM394" s="241"/>
      <c r="AN394" s="242"/>
    </row>
    <row r="395" spans="1:40" ht="15" customHeight="1" x14ac:dyDescent="0.3">
      <c r="A395" s="185">
        <v>395</v>
      </c>
      <c r="B395" s="235" t="s">
        <v>1761</v>
      </c>
      <c r="C395" s="281" t="s">
        <v>1615</v>
      </c>
      <c r="D395" s="200" t="s">
        <v>1881</v>
      </c>
      <c r="E395" s="383"/>
      <c r="F395" s="383" t="s">
        <v>1777</v>
      </c>
      <c r="G395" s="370" t="s">
        <v>1604</v>
      </c>
      <c r="H395" s="248" t="s">
        <v>422</v>
      </c>
      <c r="I395" s="359">
        <v>2</v>
      </c>
      <c r="J395" s="248">
        <v>8.5</v>
      </c>
      <c r="K395" s="248">
        <v>0</v>
      </c>
      <c r="L395" s="212">
        <v>1.5</v>
      </c>
      <c r="M395" s="212">
        <f t="shared" si="56"/>
        <v>12</v>
      </c>
      <c r="N395" s="212">
        <f t="shared" si="57"/>
        <v>16</v>
      </c>
      <c r="O395" s="212">
        <f t="shared" si="58"/>
        <v>34</v>
      </c>
      <c r="P395" s="212">
        <f t="shared" si="59"/>
        <v>0</v>
      </c>
      <c r="Q395" s="212">
        <f t="shared" si="60"/>
        <v>12</v>
      </c>
      <c r="R395" s="212">
        <f t="shared" si="61"/>
        <v>62</v>
      </c>
      <c r="S395" s="286" t="s">
        <v>1770</v>
      </c>
      <c r="T395" s="275" t="s">
        <v>1771</v>
      </c>
      <c r="U395" s="280">
        <v>60</v>
      </c>
      <c r="V395" s="280">
        <v>65</v>
      </c>
      <c r="W395" s="280">
        <v>65</v>
      </c>
      <c r="X395" s="276">
        <v>44418</v>
      </c>
      <c r="Y395" s="277">
        <v>44484</v>
      </c>
      <c r="Z395" s="26">
        <v>44480</v>
      </c>
      <c r="AA395" s="273">
        <f t="shared" si="62"/>
        <v>2021</v>
      </c>
      <c r="AB395" s="273">
        <f t="shared" si="63"/>
        <v>10</v>
      </c>
      <c r="AC395" s="278" t="s">
        <v>920</v>
      </c>
      <c r="AD395" s="278" t="s">
        <v>422</v>
      </c>
      <c r="AE395" s="278" t="s">
        <v>422</v>
      </c>
      <c r="AF395" s="278" t="s">
        <v>422</v>
      </c>
      <c r="AG395" s="278" t="s">
        <v>422</v>
      </c>
      <c r="AH395" s="278" t="s">
        <v>422</v>
      </c>
      <c r="AI395" s="278" t="s">
        <v>423</v>
      </c>
      <c r="AJ395" s="278" t="s">
        <v>422</v>
      </c>
      <c r="AK395" s="278" t="s">
        <v>423</v>
      </c>
      <c r="AL395" s="279" t="s">
        <v>138</v>
      </c>
      <c r="AM395" s="241"/>
      <c r="AN395" s="242"/>
    </row>
    <row r="396" spans="1:40" ht="15" customHeight="1" x14ac:dyDescent="0.3">
      <c r="A396" s="185">
        <v>396</v>
      </c>
      <c r="B396" s="235" t="s">
        <v>1762</v>
      </c>
      <c r="C396" s="281" t="s">
        <v>1615</v>
      </c>
      <c r="D396" s="200" t="s">
        <v>1881</v>
      </c>
      <c r="E396" s="383"/>
      <c r="F396" s="383" t="s">
        <v>1777</v>
      </c>
      <c r="G396" s="370" t="s">
        <v>1604</v>
      </c>
      <c r="H396" s="248" t="s">
        <v>422</v>
      </c>
      <c r="I396" s="248">
        <v>1.5</v>
      </c>
      <c r="J396" s="248">
        <v>10.5</v>
      </c>
      <c r="K396" s="248">
        <v>0</v>
      </c>
      <c r="L396" s="212">
        <v>1.5</v>
      </c>
      <c r="M396" s="212">
        <f t="shared" si="56"/>
        <v>13.5</v>
      </c>
      <c r="N396" s="212">
        <f t="shared" si="57"/>
        <v>12</v>
      </c>
      <c r="O396" s="212">
        <f t="shared" si="58"/>
        <v>42</v>
      </c>
      <c r="P396" s="212">
        <f t="shared" si="59"/>
        <v>0</v>
      </c>
      <c r="Q396" s="212">
        <f t="shared" si="60"/>
        <v>12</v>
      </c>
      <c r="R396" s="212">
        <f t="shared" si="61"/>
        <v>66</v>
      </c>
      <c r="S396" s="286" t="s">
        <v>1772</v>
      </c>
      <c r="T396" s="275" t="s">
        <v>1773</v>
      </c>
      <c r="U396" s="280">
        <v>75</v>
      </c>
      <c r="V396" s="280">
        <v>76</v>
      </c>
      <c r="W396" s="280">
        <v>76</v>
      </c>
      <c r="X396" s="276">
        <v>44418</v>
      </c>
      <c r="Y396" s="277">
        <v>44484</v>
      </c>
      <c r="Z396" s="26">
        <v>44480</v>
      </c>
      <c r="AA396" s="273">
        <f t="shared" si="62"/>
        <v>2021</v>
      </c>
      <c r="AB396" s="273">
        <f t="shared" si="63"/>
        <v>10</v>
      </c>
      <c r="AC396" s="278" t="s">
        <v>920</v>
      </c>
      <c r="AD396" s="278" t="s">
        <v>422</v>
      </c>
      <c r="AE396" s="278" t="s">
        <v>422</v>
      </c>
      <c r="AF396" s="278" t="s">
        <v>422</v>
      </c>
      <c r="AG396" s="278" t="s">
        <v>422</v>
      </c>
      <c r="AH396" s="278" t="s">
        <v>422</v>
      </c>
      <c r="AI396" s="278" t="s">
        <v>423</v>
      </c>
      <c r="AJ396" s="278" t="s">
        <v>422</v>
      </c>
      <c r="AK396" s="278" t="s">
        <v>423</v>
      </c>
      <c r="AL396" s="279" t="s">
        <v>138</v>
      </c>
      <c r="AM396" s="241"/>
      <c r="AN396" s="242"/>
    </row>
    <row r="397" spans="1:40" ht="15" customHeight="1" x14ac:dyDescent="0.3">
      <c r="A397" s="185">
        <v>397</v>
      </c>
      <c r="B397" s="235" t="s">
        <v>1763</v>
      </c>
      <c r="C397" s="281" t="s">
        <v>1615</v>
      </c>
      <c r="D397" s="200" t="s">
        <v>1881</v>
      </c>
      <c r="E397" s="383"/>
      <c r="F397" s="383" t="s">
        <v>1777</v>
      </c>
      <c r="G397" s="370" t="s">
        <v>1604</v>
      </c>
      <c r="H397" s="248" t="s">
        <v>422</v>
      </c>
      <c r="I397" s="248">
        <v>2</v>
      </c>
      <c r="J397" s="248">
        <v>11.5</v>
      </c>
      <c r="K397" s="248">
        <v>0</v>
      </c>
      <c r="L397" s="212">
        <v>1.5</v>
      </c>
      <c r="M397" s="212">
        <f t="shared" si="56"/>
        <v>15</v>
      </c>
      <c r="N397" s="212">
        <f t="shared" si="57"/>
        <v>16</v>
      </c>
      <c r="O397" s="212">
        <f t="shared" si="58"/>
        <v>46</v>
      </c>
      <c r="P397" s="212">
        <f t="shared" si="59"/>
        <v>0</v>
      </c>
      <c r="Q397" s="212">
        <f t="shared" si="60"/>
        <v>12</v>
      </c>
      <c r="R397" s="212">
        <f t="shared" si="61"/>
        <v>74</v>
      </c>
      <c r="S397" s="286" t="s">
        <v>1774</v>
      </c>
      <c r="T397" s="275" t="s">
        <v>1775</v>
      </c>
      <c r="U397" s="280">
        <v>80</v>
      </c>
      <c r="V397" s="280">
        <v>82</v>
      </c>
      <c r="W397" s="280">
        <v>82</v>
      </c>
      <c r="X397" s="276">
        <v>44418</v>
      </c>
      <c r="Y397" s="277">
        <v>44484</v>
      </c>
      <c r="Z397" s="26">
        <v>44480</v>
      </c>
      <c r="AA397" s="273">
        <f t="shared" si="62"/>
        <v>2021</v>
      </c>
      <c r="AB397" s="273">
        <f t="shared" si="63"/>
        <v>10</v>
      </c>
      <c r="AC397" s="278" t="s">
        <v>920</v>
      </c>
      <c r="AD397" s="278" t="s">
        <v>422</v>
      </c>
      <c r="AE397" s="278" t="s">
        <v>422</v>
      </c>
      <c r="AF397" s="278" t="s">
        <v>422</v>
      </c>
      <c r="AG397" s="278" t="s">
        <v>422</v>
      </c>
      <c r="AH397" s="278" t="s">
        <v>422</v>
      </c>
      <c r="AI397" s="278" t="s">
        <v>423</v>
      </c>
      <c r="AJ397" s="278" t="s">
        <v>422</v>
      </c>
      <c r="AK397" s="278" t="s">
        <v>423</v>
      </c>
      <c r="AL397" s="279" t="s">
        <v>1827</v>
      </c>
      <c r="AM397" s="241"/>
      <c r="AN397" s="242"/>
    </row>
    <row r="398" spans="1:40" ht="15" customHeight="1" x14ac:dyDescent="0.3">
      <c r="A398" s="185">
        <v>398</v>
      </c>
      <c r="B398" s="235" t="s">
        <v>1764</v>
      </c>
      <c r="C398" s="281" t="s">
        <v>1615</v>
      </c>
      <c r="D398" s="200" t="s">
        <v>1881</v>
      </c>
      <c r="E398" s="383"/>
      <c r="F398" s="383" t="s">
        <v>1777</v>
      </c>
      <c r="G398" s="370" t="s">
        <v>1604</v>
      </c>
      <c r="H398" s="248" t="s">
        <v>422</v>
      </c>
      <c r="I398" s="248">
        <v>2</v>
      </c>
      <c r="J398" s="248">
        <v>12</v>
      </c>
      <c r="K398" s="248">
        <v>0</v>
      </c>
      <c r="L398" s="212">
        <v>1.5</v>
      </c>
      <c r="M398" s="212">
        <f t="shared" si="56"/>
        <v>15.5</v>
      </c>
      <c r="N398" s="212">
        <f t="shared" si="57"/>
        <v>16</v>
      </c>
      <c r="O398" s="212">
        <f t="shared" si="58"/>
        <v>48</v>
      </c>
      <c r="P398" s="212">
        <f t="shared" si="59"/>
        <v>0</v>
      </c>
      <c r="Q398" s="212">
        <f t="shared" si="60"/>
        <v>12</v>
      </c>
      <c r="R398" s="212">
        <f t="shared" si="61"/>
        <v>76</v>
      </c>
      <c r="S398" s="286" t="s">
        <v>1776</v>
      </c>
      <c r="T398" s="275" t="s">
        <v>1282</v>
      </c>
      <c r="U398" s="280">
        <v>152</v>
      </c>
      <c r="V398" s="280">
        <f>53+41+61</f>
        <v>155</v>
      </c>
      <c r="W398" s="280">
        <f>53+41+61</f>
        <v>155</v>
      </c>
      <c r="X398" s="276">
        <v>44418</v>
      </c>
      <c r="Y398" s="277">
        <v>44484</v>
      </c>
      <c r="Z398" s="26">
        <v>44480</v>
      </c>
      <c r="AA398" s="273">
        <f t="shared" si="62"/>
        <v>2021</v>
      </c>
      <c r="AB398" s="273">
        <f t="shared" si="63"/>
        <v>10</v>
      </c>
      <c r="AC398" s="278" t="s">
        <v>920</v>
      </c>
      <c r="AD398" s="278" t="s">
        <v>422</v>
      </c>
      <c r="AE398" s="278" t="s">
        <v>422</v>
      </c>
      <c r="AF398" s="278" t="s">
        <v>422</v>
      </c>
      <c r="AG398" s="278" t="s">
        <v>422</v>
      </c>
      <c r="AH398" s="278" t="s">
        <v>422</v>
      </c>
      <c r="AI398" s="278" t="s">
        <v>423</v>
      </c>
      <c r="AJ398" s="278" t="s">
        <v>422</v>
      </c>
      <c r="AK398" s="278" t="s">
        <v>423</v>
      </c>
      <c r="AL398" s="279" t="s">
        <v>140</v>
      </c>
      <c r="AM398" s="241"/>
      <c r="AN398" s="242"/>
    </row>
    <row r="399" spans="1:40" ht="15" customHeight="1" x14ac:dyDescent="0.3">
      <c r="A399" s="185">
        <v>402</v>
      </c>
      <c r="B399" s="235" t="s">
        <v>1783</v>
      </c>
      <c r="C399" s="281" t="s">
        <v>1615</v>
      </c>
      <c r="D399" s="200" t="s">
        <v>1881</v>
      </c>
      <c r="E399" s="383"/>
      <c r="F399" s="383"/>
      <c r="G399" s="370" t="s">
        <v>1604</v>
      </c>
      <c r="H399" s="248" t="s">
        <v>422</v>
      </c>
      <c r="I399" s="359">
        <v>2</v>
      </c>
      <c r="J399" s="248">
        <v>11</v>
      </c>
      <c r="K399" s="248">
        <v>0</v>
      </c>
      <c r="L399" s="212">
        <v>1</v>
      </c>
      <c r="M399" s="212">
        <f t="shared" si="56"/>
        <v>14</v>
      </c>
      <c r="N399" s="212">
        <f t="shared" si="57"/>
        <v>16</v>
      </c>
      <c r="O399" s="212">
        <f t="shared" si="58"/>
        <v>44</v>
      </c>
      <c r="P399" s="212">
        <f t="shared" si="59"/>
        <v>0</v>
      </c>
      <c r="Q399" s="212">
        <f t="shared" si="60"/>
        <v>8</v>
      </c>
      <c r="R399" s="212">
        <f t="shared" si="61"/>
        <v>68</v>
      </c>
      <c r="S399" s="286" t="s">
        <v>1828</v>
      </c>
      <c r="T399" s="275" t="s">
        <v>1784</v>
      </c>
      <c r="U399" s="280">
        <v>144</v>
      </c>
      <c r="V399" s="280">
        <f>49*3</f>
        <v>147</v>
      </c>
      <c r="W399" s="280">
        <f>49*3</f>
        <v>147</v>
      </c>
      <c r="X399" s="276">
        <v>44418</v>
      </c>
      <c r="Y399" s="277">
        <v>44423</v>
      </c>
      <c r="Z399" s="26">
        <v>44480</v>
      </c>
      <c r="AA399" s="273">
        <f t="shared" si="62"/>
        <v>2021</v>
      </c>
      <c r="AB399" s="273">
        <f t="shared" si="63"/>
        <v>10</v>
      </c>
      <c r="AC399" s="278" t="s">
        <v>920</v>
      </c>
      <c r="AD399" s="278" t="s">
        <v>422</v>
      </c>
      <c r="AE399" s="278" t="s">
        <v>422</v>
      </c>
      <c r="AF399" s="278" t="s">
        <v>422</v>
      </c>
      <c r="AG399" s="278" t="s">
        <v>422</v>
      </c>
      <c r="AH399" s="278" t="s">
        <v>422</v>
      </c>
      <c r="AI399" s="278" t="s">
        <v>423</v>
      </c>
      <c r="AJ399" s="278" t="s">
        <v>422</v>
      </c>
      <c r="AK399" s="278" t="s">
        <v>422</v>
      </c>
      <c r="AL399" s="279" t="s">
        <v>1372</v>
      </c>
      <c r="AM399" s="241"/>
      <c r="AN399" s="242"/>
    </row>
    <row r="400" spans="1:40" ht="15" customHeight="1" x14ac:dyDescent="0.3">
      <c r="A400" s="185">
        <v>403</v>
      </c>
      <c r="B400" s="235" t="s">
        <v>1785</v>
      </c>
      <c r="C400" s="281" t="s">
        <v>1615</v>
      </c>
      <c r="D400" s="200" t="s">
        <v>1881</v>
      </c>
      <c r="E400" s="383"/>
      <c r="F400" s="383"/>
      <c r="G400" s="370" t="s">
        <v>1604</v>
      </c>
      <c r="H400" s="248" t="s">
        <v>422</v>
      </c>
      <c r="I400" s="359">
        <v>2</v>
      </c>
      <c r="J400" s="248">
        <v>11.5</v>
      </c>
      <c r="K400" s="248">
        <v>0</v>
      </c>
      <c r="L400" s="212">
        <v>1</v>
      </c>
      <c r="M400" s="212">
        <f t="shared" si="56"/>
        <v>14.5</v>
      </c>
      <c r="N400" s="212">
        <f t="shared" si="57"/>
        <v>16</v>
      </c>
      <c r="O400" s="212">
        <f t="shared" si="58"/>
        <v>46</v>
      </c>
      <c r="P400" s="212">
        <f t="shared" si="59"/>
        <v>0</v>
      </c>
      <c r="Q400" s="212">
        <f t="shared" si="60"/>
        <v>8</v>
      </c>
      <c r="R400" s="212">
        <f t="shared" si="61"/>
        <v>70</v>
      </c>
      <c r="S400" s="286" t="s">
        <v>1829</v>
      </c>
      <c r="T400" s="275" t="s">
        <v>1786</v>
      </c>
      <c r="U400" s="280">
        <v>144</v>
      </c>
      <c r="V400" s="280">
        <f>49*3</f>
        <v>147</v>
      </c>
      <c r="W400" s="280">
        <f>49*3</f>
        <v>147</v>
      </c>
      <c r="X400" s="276">
        <v>44418</v>
      </c>
      <c r="Y400" s="277">
        <v>44423</v>
      </c>
      <c r="Z400" s="26">
        <v>44480</v>
      </c>
      <c r="AA400" s="273">
        <f t="shared" si="62"/>
        <v>2021</v>
      </c>
      <c r="AB400" s="273">
        <f t="shared" si="63"/>
        <v>10</v>
      </c>
      <c r="AC400" s="278" t="s">
        <v>920</v>
      </c>
      <c r="AD400" s="278" t="s">
        <v>422</v>
      </c>
      <c r="AE400" s="278" t="s">
        <v>422</v>
      </c>
      <c r="AF400" s="278" t="s">
        <v>422</v>
      </c>
      <c r="AG400" s="278" t="s">
        <v>422</v>
      </c>
      <c r="AH400" s="278" t="s">
        <v>422</v>
      </c>
      <c r="AI400" s="278" t="s">
        <v>423</v>
      </c>
      <c r="AJ400" s="278" t="s">
        <v>422</v>
      </c>
      <c r="AK400" s="278" t="s">
        <v>422</v>
      </c>
      <c r="AL400" s="279" t="s">
        <v>1372</v>
      </c>
      <c r="AM400" s="241"/>
      <c r="AN400" s="242"/>
    </row>
    <row r="401" spans="1:40" ht="15" customHeight="1" x14ac:dyDescent="0.3">
      <c r="A401" s="185">
        <v>408</v>
      </c>
      <c r="B401" s="235" t="s">
        <v>1800</v>
      </c>
      <c r="C401" s="281" t="s">
        <v>1618</v>
      </c>
      <c r="D401" s="200" t="s">
        <v>1881</v>
      </c>
      <c r="E401" s="383"/>
      <c r="F401" s="383" t="s">
        <v>1777</v>
      </c>
      <c r="G401" s="370" t="s">
        <v>1604</v>
      </c>
      <c r="H401" s="248"/>
      <c r="I401" s="248">
        <v>2</v>
      </c>
      <c r="J401" s="359">
        <v>11.5</v>
      </c>
      <c r="K401" s="248">
        <v>0</v>
      </c>
      <c r="L401" s="212">
        <v>1.5</v>
      </c>
      <c r="M401" s="212">
        <f t="shared" si="56"/>
        <v>15</v>
      </c>
      <c r="N401" s="212">
        <f t="shared" si="57"/>
        <v>16</v>
      </c>
      <c r="O401" s="212">
        <f t="shared" si="58"/>
        <v>46</v>
      </c>
      <c r="P401" s="212">
        <f t="shared" si="59"/>
        <v>0</v>
      </c>
      <c r="Q401" s="212">
        <f t="shared" si="60"/>
        <v>12</v>
      </c>
      <c r="R401" s="212">
        <f t="shared" si="61"/>
        <v>74</v>
      </c>
      <c r="S401" s="286" t="s">
        <v>1888</v>
      </c>
      <c r="T401" s="275" t="s">
        <v>1887</v>
      </c>
      <c r="U401" s="280">
        <v>195</v>
      </c>
      <c r="V401" s="280">
        <f>67+67</f>
        <v>134</v>
      </c>
      <c r="W401" s="280">
        <f>67+67</f>
        <v>134</v>
      </c>
      <c r="X401" s="276">
        <v>44414</v>
      </c>
      <c r="Y401" s="277">
        <v>44506</v>
      </c>
      <c r="Z401" s="276">
        <v>44496</v>
      </c>
      <c r="AA401" s="273">
        <f t="shared" si="62"/>
        <v>2021</v>
      </c>
      <c r="AB401" s="273">
        <f t="shared" si="63"/>
        <v>10</v>
      </c>
      <c r="AC401" s="278" t="s">
        <v>1831</v>
      </c>
      <c r="AD401" s="278" t="s">
        <v>1832</v>
      </c>
      <c r="AE401" s="278" t="s">
        <v>422</v>
      </c>
      <c r="AF401" s="278" t="s">
        <v>422</v>
      </c>
      <c r="AG401" s="278" t="s">
        <v>422</v>
      </c>
      <c r="AH401" s="278" t="s">
        <v>422</v>
      </c>
      <c r="AI401" s="278" t="s">
        <v>423</v>
      </c>
      <c r="AJ401" s="278" t="s">
        <v>422</v>
      </c>
      <c r="AK401" s="278" t="s">
        <v>423</v>
      </c>
      <c r="AL401" s="279" t="s">
        <v>1924</v>
      </c>
      <c r="AM401" s="241"/>
      <c r="AN401" s="243" t="s">
        <v>1831</v>
      </c>
    </row>
    <row r="402" spans="1:40" ht="15" customHeight="1" x14ac:dyDescent="0.3">
      <c r="A402" s="185">
        <v>410</v>
      </c>
      <c r="B402" s="235" t="s">
        <v>1802</v>
      </c>
      <c r="C402" s="281" t="s">
        <v>1618</v>
      </c>
      <c r="D402" s="200" t="s">
        <v>1881</v>
      </c>
      <c r="E402" s="383"/>
      <c r="F402" s="383" t="s">
        <v>1777</v>
      </c>
      <c r="G402" s="370" t="s">
        <v>1604</v>
      </c>
      <c r="H402" s="248" t="s">
        <v>422</v>
      </c>
      <c r="I402" s="248">
        <v>1.5</v>
      </c>
      <c r="J402" s="248">
        <v>7</v>
      </c>
      <c r="K402" s="248">
        <v>0</v>
      </c>
      <c r="L402" s="212">
        <v>1</v>
      </c>
      <c r="M402" s="212">
        <f t="shared" si="56"/>
        <v>9.5</v>
      </c>
      <c r="N402" s="212">
        <f t="shared" si="57"/>
        <v>12</v>
      </c>
      <c r="O402" s="212">
        <f t="shared" si="58"/>
        <v>28</v>
      </c>
      <c r="P402" s="212">
        <f t="shared" si="59"/>
        <v>0</v>
      </c>
      <c r="Q402" s="212">
        <f t="shared" si="60"/>
        <v>8</v>
      </c>
      <c r="R402" s="212">
        <f t="shared" si="61"/>
        <v>48</v>
      </c>
      <c r="S402" s="286" t="s">
        <v>1792</v>
      </c>
      <c r="T402" s="275" t="s">
        <v>1889</v>
      </c>
      <c r="U402" s="280">
        <v>90</v>
      </c>
      <c r="V402" s="280">
        <v>94</v>
      </c>
      <c r="W402" s="280">
        <v>94</v>
      </c>
      <c r="X402" s="276">
        <v>44414</v>
      </c>
      <c r="Y402" s="277">
        <v>44506</v>
      </c>
      <c r="Z402" s="276">
        <v>44496</v>
      </c>
      <c r="AA402" s="273">
        <f t="shared" si="62"/>
        <v>2021</v>
      </c>
      <c r="AB402" s="273">
        <f t="shared" si="63"/>
        <v>10</v>
      </c>
      <c r="AC402" s="278" t="s">
        <v>920</v>
      </c>
      <c r="AD402" s="278" t="s">
        <v>422</v>
      </c>
      <c r="AE402" s="278" t="s">
        <v>423</v>
      </c>
      <c r="AF402" s="278" t="s">
        <v>422</v>
      </c>
      <c r="AG402" s="278" t="s">
        <v>422</v>
      </c>
      <c r="AH402" s="278" t="s">
        <v>423</v>
      </c>
      <c r="AI402" s="278" t="s">
        <v>423</v>
      </c>
      <c r="AJ402" s="278" t="s">
        <v>423</v>
      </c>
      <c r="AK402" s="278" t="s">
        <v>422</v>
      </c>
      <c r="AL402" s="279" t="s">
        <v>1912</v>
      </c>
      <c r="AM402" s="241"/>
      <c r="AN402" s="242" t="s">
        <v>1826</v>
      </c>
    </row>
    <row r="403" spans="1:40" ht="15" customHeight="1" x14ac:dyDescent="0.3">
      <c r="A403" s="185">
        <v>411</v>
      </c>
      <c r="B403" s="235" t="s">
        <v>1803</v>
      </c>
      <c r="C403" s="281" t="s">
        <v>1618</v>
      </c>
      <c r="D403" s="200" t="s">
        <v>1881</v>
      </c>
      <c r="E403" s="383"/>
      <c r="F403" s="383" t="s">
        <v>1777</v>
      </c>
      <c r="G403" s="370" t="s">
        <v>1604</v>
      </c>
      <c r="H403" s="248" t="s">
        <v>422</v>
      </c>
      <c r="I403" s="248">
        <v>1.2</v>
      </c>
      <c r="J403" s="248">
        <v>7</v>
      </c>
      <c r="K403" s="248">
        <v>0</v>
      </c>
      <c r="L403" s="212">
        <v>1</v>
      </c>
      <c r="M403" s="212">
        <f t="shared" si="56"/>
        <v>9.1999999999999993</v>
      </c>
      <c r="N403" s="212">
        <f t="shared" si="57"/>
        <v>9.6</v>
      </c>
      <c r="O403" s="212">
        <f t="shared" si="58"/>
        <v>28</v>
      </c>
      <c r="P403" s="212">
        <f t="shared" si="59"/>
        <v>0</v>
      </c>
      <c r="Q403" s="212">
        <f t="shared" si="60"/>
        <v>8</v>
      </c>
      <c r="R403" s="212">
        <f t="shared" si="61"/>
        <v>45.6</v>
      </c>
      <c r="S403" s="286" t="s">
        <v>1792</v>
      </c>
      <c r="T403" s="275" t="s">
        <v>1890</v>
      </c>
      <c r="U403" s="280">
        <v>120</v>
      </c>
      <c r="V403" s="280">
        <v>124</v>
      </c>
      <c r="W403" s="280">
        <v>124</v>
      </c>
      <c r="X403" s="276">
        <v>44414</v>
      </c>
      <c r="Y403" s="277">
        <v>44506</v>
      </c>
      <c r="Z403" s="276">
        <v>44496</v>
      </c>
      <c r="AA403" s="273">
        <f t="shared" si="62"/>
        <v>2021</v>
      </c>
      <c r="AB403" s="273">
        <f t="shared" si="63"/>
        <v>10</v>
      </c>
      <c r="AC403" s="278" t="s">
        <v>920</v>
      </c>
      <c r="AD403" s="278" t="s">
        <v>422</v>
      </c>
      <c r="AE403" s="278" t="s">
        <v>423</v>
      </c>
      <c r="AF403" s="278" t="s">
        <v>422</v>
      </c>
      <c r="AG403" s="278" t="s">
        <v>422</v>
      </c>
      <c r="AH403" s="278" t="s">
        <v>423</v>
      </c>
      <c r="AI403" s="278" t="s">
        <v>423</v>
      </c>
      <c r="AJ403" s="278" t="s">
        <v>423</v>
      </c>
      <c r="AK403" s="278" t="s">
        <v>422</v>
      </c>
      <c r="AL403" s="279" t="s">
        <v>1911</v>
      </c>
      <c r="AM403" s="241"/>
      <c r="AN403" s="242" t="s">
        <v>1826</v>
      </c>
    </row>
    <row r="404" spans="1:40" ht="15" customHeight="1" x14ac:dyDescent="0.3">
      <c r="A404" s="185">
        <v>412</v>
      </c>
      <c r="B404" s="235" t="s">
        <v>1804</v>
      </c>
      <c r="C404" s="281" t="s">
        <v>1618</v>
      </c>
      <c r="D404" s="200" t="s">
        <v>1881</v>
      </c>
      <c r="E404" s="383"/>
      <c r="F404" s="383"/>
      <c r="G404" s="370" t="s">
        <v>1604</v>
      </c>
      <c r="H404" s="248" t="s">
        <v>422</v>
      </c>
      <c r="I404" s="359">
        <v>2</v>
      </c>
      <c r="J404" s="248">
        <v>13</v>
      </c>
      <c r="K404" s="248">
        <v>0</v>
      </c>
      <c r="L404" s="212">
        <v>1</v>
      </c>
      <c r="M404" s="212">
        <f t="shared" si="56"/>
        <v>16</v>
      </c>
      <c r="N404" s="212">
        <f t="shared" si="57"/>
        <v>16</v>
      </c>
      <c r="O404" s="212">
        <f t="shared" si="58"/>
        <v>52</v>
      </c>
      <c r="P404" s="212">
        <f t="shared" si="59"/>
        <v>0</v>
      </c>
      <c r="Q404" s="212">
        <f t="shared" si="60"/>
        <v>8</v>
      </c>
      <c r="R404" s="212">
        <f t="shared" si="61"/>
        <v>76</v>
      </c>
      <c r="S404" s="286" t="s">
        <v>1791</v>
      </c>
      <c r="T404" s="275" t="s">
        <v>1891</v>
      </c>
      <c r="U404" s="280">
        <v>55</v>
      </c>
      <c r="V404" s="280">
        <v>35</v>
      </c>
      <c r="W404" s="280">
        <v>35</v>
      </c>
      <c r="X404" s="276">
        <v>44414</v>
      </c>
      <c r="Y404" s="277">
        <v>44506</v>
      </c>
      <c r="Z404" s="276">
        <v>44496</v>
      </c>
      <c r="AA404" s="273">
        <f t="shared" si="62"/>
        <v>2021</v>
      </c>
      <c r="AB404" s="273">
        <f t="shared" si="63"/>
        <v>10</v>
      </c>
      <c r="AC404" s="278" t="s">
        <v>920</v>
      </c>
      <c r="AD404" s="278" t="s">
        <v>422</v>
      </c>
      <c r="AE404" s="278" t="s">
        <v>423</v>
      </c>
      <c r="AF404" s="278" t="s">
        <v>422</v>
      </c>
      <c r="AG404" s="278" t="s">
        <v>422</v>
      </c>
      <c r="AH404" s="278" t="s">
        <v>423</v>
      </c>
      <c r="AI404" s="278" t="s">
        <v>423</v>
      </c>
      <c r="AJ404" s="278" t="s">
        <v>423</v>
      </c>
      <c r="AK404" s="278" t="s">
        <v>423</v>
      </c>
      <c r="AL404" s="279" t="s">
        <v>138</v>
      </c>
      <c r="AM404" s="241"/>
      <c r="AN404" s="242"/>
    </row>
    <row r="405" spans="1:40" ht="15" customHeight="1" x14ac:dyDescent="0.3">
      <c r="A405" s="185">
        <v>424</v>
      </c>
      <c r="B405" s="235" t="s">
        <v>1833</v>
      </c>
      <c r="C405" s="281" t="s">
        <v>1618</v>
      </c>
      <c r="D405" s="200" t="s">
        <v>1881</v>
      </c>
      <c r="E405" s="383"/>
      <c r="F405" s="383" t="s">
        <v>1597</v>
      </c>
      <c r="G405" s="370" t="s">
        <v>1604</v>
      </c>
      <c r="H405" s="248" t="s">
        <v>422</v>
      </c>
      <c r="I405" s="359">
        <v>2</v>
      </c>
      <c r="J405" s="248">
        <v>15</v>
      </c>
      <c r="K405" s="248">
        <v>0</v>
      </c>
      <c r="L405" s="212">
        <v>1</v>
      </c>
      <c r="M405" s="212">
        <f t="shared" si="56"/>
        <v>18</v>
      </c>
      <c r="N405" s="212">
        <f t="shared" si="57"/>
        <v>16</v>
      </c>
      <c r="O405" s="212">
        <f t="shared" si="58"/>
        <v>60</v>
      </c>
      <c r="P405" s="212">
        <f t="shared" si="59"/>
        <v>0</v>
      </c>
      <c r="Q405" s="212">
        <f t="shared" si="60"/>
        <v>8</v>
      </c>
      <c r="R405" s="212">
        <f t="shared" si="61"/>
        <v>84</v>
      </c>
      <c r="S405" s="286" t="s">
        <v>1670</v>
      </c>
      <c r="T405" s="373" t="s">
        <v>1668</v>
      </c>
      <c r="U405" s="280">
        <v>6</v>
      </c>
      <c r="V405" s="280">
        <v>6</v>
      </c>
      <c r="W405" s="280">
        <v>6</v>
      </c>
      <c r="X405" s="276">
        <v>44474</v>
      </c>
      <c r="Y405" s="277">
        <v>44499</v>
      </c>
      <c r="Z405" s="276">
        <v>44496</v>
      </c>
      <c r="AA405" s="273">
        <f t="shared" si="62"/>
        <v>2021</v>
      </c>
      <c r="AB405" s="273">
        <f t="shared" si="63"/>
        <v>10</v>
      </c>
      <c r="AC405" s="278" t="s">
        <v>920</v>
      </c>
      <c r="AD405" s="278" t="s">
        <v>422</v>
      </c>
      <c r="AE405" s="278" t="s">
        <v>422</v>
      </c>
      <c r="AF405" s="278" t="s">
        <v>422</v>
      </c>
      <c r="AG405" s="278" t="s">
        <v>422</v>
      </c>
      <c r="AH405" s="278" t="s">
        <v>422</v>
      </c>
      <c r="AI405" s="278" t="s">
        <v>423</v>
      </c>
      <c r="AJ405" s="278" t="s">
        <v>423</v>
      </c>
      <c r="AK405" s="278" t="s">
        <v>423</v>
      </c>
      <c r="AL405" s="279" t="s">
        <v>138</v>
      </c>
      <c r="AM405" s="241"/>
      <c r="AN405" s="242"/>
    </row>
    <row r="406" spans="1:40" ht="15" customHeight="1" x14ac:dyDescent="0.3">
      <c r="A406" s="185">
        <v>425</v>
      </c>
      <c r="B406" s="235" t="s">
        <v>1834</v>
      </c>
      <c r="C406" s="281" t="s">
        <v>1618</v>
      </c>
      <c r="D406" s="200" t="s">
        <v>1881</v>
      </c>
      <c r="E406" s="383"/>
      <c r="F406" s="383" t="s">
        <v>422</v>
      </c>
      <c r="G406" s="370" t="s">
        <v>1604</v>
      </c>
      <c r="H406" s="248" t="s">
        <v>1596</v>
      </c>
      <c r="I406" s="248">
        <v>2</v>
      </c>
      <c r="J406" s="248">
        <v>14</v>
      </c>
      <c r="K406" s="248">
        <v>0</v>
      </c>
      <c r="L406" s="212">
        <v>1</v>
      </c>
      <c r="M406" s="212">
        <f t="shared" si="56"/>
        <v>17</v>
      </c>
      <c r="N406" s="212">
        <f t="shared" si="57"/>
        <v>16</v>
      </c>
      <c r="O406" s="212">
        <f t="shared" si="58"/>
        <v>56</v>
      </c>
      <c r="P406" s="212">
        <f t="shared" si="59"/>
        <v>0</v>
      </c>
      <c r="Q406" s="212">
        <f t="shared" si="60"/>
        <v>8</v>
      </c>
      <c r="R406" s="212">
        <f t="shared" si="61"/>
        <v>80</v>
      </c>
      <c r="S406" s="286" t="s">
        <v>1666</v>
      </c>
      <c r="T406" s="373" t="s">
        <v>1664</v>
      </c>
      <c r="U406" s="280">
        <v>35</v>
      </c>
      <c r="V406" s="280">
        <v>36</v>
      </c>
      <c r="W406" s="280">
        <v>36</v>
      </c>
      <c r="X406" s="276">
        <v>44474</v>
      </c>
      <c r="Y406" s="277">
        <v>44499</v>
      </c>
      <c r="Z406" s="276">
        <v>44496</v>
      </c>
      <c r="AA406" s="273">
        <f t="shared" si="62"/>
        <v>2021</v>
      </c>
      <c r="AB406" s="273">
        <f t="shared" si="63"/>
        <v>10</v>
      </c>
      <c r="AC406" s="278" t="s">
        <v>920</v>
      </c>
      <c r="AD406" s="278" t="s">
        <v>422</v>
      </c>
      <c r="AE406" s="278" t="s">
        <v>422</v>
      </c>
      <c r="AF406" s="278" t="s">
        <v>422</v>
      </c>
      <c r="AG406" s="278" t="s">
        <v>422</v>
      </c>
      <c r="AH406" s="278" t="s">
        <v>422</v>
      </c>
      <c r="AI406" s="278" t="s">
        <v>423</v>
      </c>
      <c r="AJ406" s="278" t="s">
        <v>423</v>
      </c>
      <c r="AK406" s="278" t="s">
        <v>423</v>
      </c>
      <c r="AL406" s="279" t="s">
        <v>140</v>
      </c>
      <c r="AM406" s="241"/>
      <c r="AN406" s="242"/>
    </row>
    <row r="407" spans="1:40" ht="15" customHeight="1" x14ac:dyDescent="0.3">
      <c r="A407" s="185">
        <v>426</v>
      </c>
      <c r="B407" s="235" t="s">
        <v>1844</v>
      </c>
      <c r="C407" s="281" t="s">
        <v>1615</v>
      </c>
      <c r="D407" s="200" t="s">
        <v>1881</v>
      </c>
      <c r="E407" s="383"/>
      <c r="F407" s="383" t="s">
        <v>422</v>
      </c>
      <c r="G407" s="370" t="s">
        <v>1604</v>
      </c>
      <c r="H407" s="248" t="s">
        <v>422</v>
      </c>
      <c r="I407" s="248">
        <v>2</v>
      </c>
      <c r="J407" s="248">
        <v>11</v>
      </c>
      <c r="K407" s="248">
        <v>0</v>
      </c>
      <c r="L407" s="212">
        <v>1</v>
      </c>
      <c r="M407" s="212">
        <f t="shared" si="56"/>
        <v>14</v>
      </c>
      <c r="N407" s="212">
        <f t="shared" si="57"/>
        <v>16</v>
      </c>
      <c r="O407" s="212">
        <f t="shared" si="58"/>
        <v>44</v>
      </c>
      <c r="P407" s="212">
        <f t="shared" si="59"/>
        <v>0</v>
      </c>
      <c r="Q407" s="212">
        <f t="shared" si="60"/>
        <v>8</v>
      </c>
      <c r="R407" s="212">
        <f t="shared" si="61"/>
        <v>68</v>
      </c>
      <c r="S407" s="373" t="s">
        <v>1835</v>
      </c>
      <c r="T407" s="287" t="s">
        <v>940</v>
      </c>
      <c r="U407" s="280">
        <v>115</v>
      </c>
      <c r="V407" s="280">
        <v>117</v>
      </c>
      <c r="W407" s="280">
        <v>117</v>
      </c>
      <c r="X407" s="276">
        <v>44432</v>
      </c>
      <c r="Y407" s="277">
        <v>44489</v>
      </c>
      <c r="Z407" s="276">
        <v>44508</v>
      </c>
      <c r="AA407" s="273">
        <f t="shared" si="62"/>
        <v>2021</v>
      </c>
      <c r="AB407" s="273">
        <f t="shared" si="63"/>
        <v>11</v>
      </c>
      <c r="AC407" s="278" t="s">
        <v>920</v>
      </c>
      <c r="AD407" s="278" t="s">
        <v>422</v>
      </c>
      <c r="AE407" s="278" t="s">
        <v>422</v>
      </c>
      <c r="AF407" s="278" t="s">
        <v>422</v>
      </c>
      <c r="AG407" s="278" t="s">
        <v>422</v>
      </c>
      <c r="AH407" s="278" t="s">
        <v>422</v>
      </c>
      <c r="AI407" s="278" t="s">
        <v>423</v>
      </c>
      <c r="AJ407" s="278" t="s">
        <v>423</v>
      </c>
      <c r="AK407" s="278" t="s">
        <v>423</v>
      </c>
      <c r="AL407" s="279" t="s">
        <v>1911</v>
      </c>
      <c r="AM407" s="241"/>
      <c r="AN407" s="242"/>
    </row>
    <row r="408" spans="1:40" ht="15" customHeight="1" x14ac:dyDescent="0.3">
      <c r="A408" s="185">
        <v>427</v>
      </c>
      <c r="B408" s="235" t="s">
        <v>1843</v>
      </c>
      <c r="C408" s="281" t="s">
        <v>1615</v>
      </c>
      <c r="D408" s="200" t="s">
        <v>1881</v>
      </c>
      <c r="E408" s="383"/>
      <c r="F408" s="383" t="s">
        <v>422</v>
      </c>
      <c r="G408" s="370" t="s">
        <v>1604</v>
      </c>
      <c r="H408" s="248" t="s">
        <v>422</v>
      </c>
      <c r="I408" s="248">
        <v>2</v>
      </c>
      <c r="J408" s="248">
        <v>10.5</v>
      </c>
      <c r="K408" s="248">
        <v>0</v>
      </c>
      <c r="L408" s="212">
        <v>1</v>
      </c>
      <c r="M408" s="212">
        <f t="shared" si="56"/>
        <v>13.5</v>
      </c>
      <c r="N408" s="212">
        <f t="shared" si="57"/>
        <v>16</v>
      </c>
      <c r="O408" s="212">
        <f t="shared" si="58"/>
        <v>42</v>
      </c>
      <c r="P408" s="212">
        <f t="shared" si="59"/>
        <v>0</v>
      </c>
      <c r="Q408" s="212">
        <f t="shared" si="60"/>
        <v>8</v>
      </c>
      <c r="R408" s="212">
        <f t="shared" si="61"/>
        <v>66</v>
      </c>
      <c r="S408" s="373" t="s">
        <v>1836</v>
      </c>
      <c r="T408" s="287" t="s">
        <v>932</v>
      </c>
      <c r="U408" s="280">
        <v>90</v>
      </c>
      <c r="V408" s="280">
        <v>90</v>
      </c>
      <c r="W408" s="280">
        <v>90</v>
      </c>
      <c r="X408" s="276">
        <v>44468</v>
      </c>
      <c r="Y408" s="277">
        <v>44484</v>
      </c>
      <c r="Z408" s="276">
        <v>44508</v>
      </c>
      <c r="AA408" s="273">
        <f t="shared" si="62"/>
        <v>2021</v>
      </c>
      <c r="AB408" s="273">
        <f t="shared" si="63"/>
        <v>11</v>
      </c>
      <c r="AC408" s="278" t="s">
        <v>920</v>
      </c>
      <c r="AD408" s="278" t="s">
        <v>422</v>
      </c>
      <c r="AE408" s="278" t="s">
        <v>422</v>
      </c>
      <c r="AF408" s="278" t="s">
        <v>422</v>
      </c>
      <c r="AG408" s="278" t="s">
        <v>422</v>
      </c>
      <c r="AH408" s="278" t="s">
        <v>422</v>
      </c>
      <c r="AI408" s="278" t="s">
        <v>423</v>
      </c>
      <c r="AJ408" s="278" t="s">
        <v>422</v>
      </c>
      <c r="AK408" s="278" t="s">
        <v>423</v>
      </c>
      <c r="AL408" s="279" t="s">
        <v>140</v>
      </c>
      <c r="AM408" s="241"/>
      <c r="AN408" s="242"/>
    </row>
    <row r="409" spans="1:40" ht="15" customHeight="1" x14ac:dyDescent="0.3">
      <c r="A409" s="185">
        <v>428</v>
      </c>
      <c r="B409" s="235" t="s">
        <v>1842</v>
      </c>
      <c r="C409" s="281" t="s">
        <v>1615</v>
      </c>
      <c r="D409" s="200" t="s">
        <v>1881</v>
      </c>
      <c r="E409" s="383"/>
      <c r="F409" s="383" t="s">
        <v>422</v>
      </c>
      <c r="G409" s="370" t="s">
        <v>1604</v>
      </c>
      <c r="H409" s="248" t="s">
        <v>422</v>
      </c>
      <c r="I409" s="248">
        <v>1.5</v>
      </c>
      <c r="J409" s="248">
        <v>7</v>
      </c>
      <c r="K409" s="248">
        <v>0</v>
      </c>
      <c r="L409" s="212">
        <v>1</v>
      </c>
      <c r="M409" s="212">
        <f t="shared" si="56"/>
        <v>9.5</v>
      </c>
      <c r="N409" s="212">
        <f t="shared" si="57"/>
        <v>12</v>
      </c>
      <c r="O409" s="212">
        <f t="shared" si="58"/>
        <v>28</v>
      </c>
      <c r="P409" s="212">
        <f t="shared" si="59"/>
        <v>0</v>
      </c>
      <c r="Q409" s="212">
        <f t="shared" si="60"/>
        <v>8</v>
      </c>
      <c r="R409" s="212">
        <f t="shared" si="61"/>
        <v>48</v>
      </c>
      <c r="S409" s="373" t="s">
        <v>1837</v>
      </c>
      <c r="T409" s="287" t="s">
        <v>1391</v>
      </c>
      <c r="U409" s="280">
        <v>60</v>
      </c>
      <c r="V409" s="280">
        <v>59</v>
      </c>
      <c r="W409" s="280">
        <v>59</v>
      </c>
      <c r="X409" s="276">
        <v>44393</v>
      </c>
      <c r="Y409" s="277">
        <v>44423</v>
      </c>
      <c r="Z409" s="276">
        <v>44508</v>
      </c>
      <c r="AA409" s="273">
        <f t="shared" si="62"/>
        <v>2021</v>
      </c>
      <c r="AB409" s="273">
        <f t="shared" si="63"/>
        <v>11</v>
      </c>
      <c r="AC409" s="278" t="s">
        <v>920</v>
      </c>
      <c r="AD409" s="278" t="s">
        <v>422</v>
      </c>
      <c r="AE409" s="278" t="s">
        <v>422</v>
      </c>
      <c r="AF409" s="278" t="s">
        <v>422</v>
      </c>
      <c r="AG409" s="278" t="s">
        <v>422</v>
      </c>
      <c r="AH409" s="278" t="s">
        <v>422</v>
      </c>
      <c r="AI409" s="278" t="s">
        <v>423</v>
      </c>
      <c r="AJ409" s="278" t="s">
        <v>422</v>
      </c>
      <c r="AK409" s="278" t="s">
        <v>423</v>
      </c>
      <c r="AL409" s="279" t="s">
        <v>1911</v>
      </c>
      <c r="AM409" s="241"/>
      <c r="AN409" s="242"/>
    </row>
    <row r="410" spans="1:40" ht="15" customHeight="1" x14ac:dyDescent="0.3">
      <c r="A410" s="185">
        <v>429</v>
      </c>
      <c r="B410" s="235" t="s">
        <v>1841</v>
      </c>
      <c r="C410" s="281" t="s">
        <v>1615</v>
      </c>
      <c r="D410" s="200" t="s">
        <v>1881</v>
      </c>
      <c r="E410" s="383"/>
      <c r="F410" s="383" t="s">
        <v>422</v>
      </c>
      <c r="G410" s="370" t="s">
        <v>1604</v>
      </c>
      <c r="H410" s="248" t="s">
        <v>422</v>
      </c>
      <c r="I410" s="248">
        <v>1.5</v>
      </c>
      <c r="J410" s="248">
        <v>6.5</v>
      </c>
      <c r="K410" s="248">
        <v>0</v>
      </c>
      <c r="L410" s="212">
        <v>1</v>
      </c>
      <c r="M410" s="212">
        <f t="shared" si="56"/>
        <v>9</v>
      </c>
      <c r="N410" s="212">
        <f t="shared" si="57"/>
        <v>12</v>
      </c>
      <c r="O410" s="212">
        <f t="shared" si="58"/>
        <v>26</v>
      </c>
      <c r="P410" s="212">
        <f t="shared" si="59"/>
        <v>0</v>
      </c>
      <c r="Q410" s="212">
        <f t="shared" si="60"/>
        <v>8</v>
      </c>
      <c r="R410" s="212">
        <f t="shared" si="61"/>
        <v>46</v>
      </c>
      <c r="S410" s="373" t="s">
        <v>1838</v>
      </c>
      <c r="T410" s="287" t="s">
        <v>1839</v>
      </c>
      <c r="U410" s="280">
        <v>128</v>
      </c>
      <c r="V410" s="280">
        <v>130</v>
      </c>
      <c r="W410" s="280">
        <v>130</v>
      </c>
      <c r="X410" s="276">
        <v>44468</v>
      </c>
      <c r="Y410" s="277">
        <v>44484</v>
      </c>
      <c r="Z410" s="276">
        <v>44508</v>
      </c>
      <c r="AA410" s="273">
        <f t="shared" si="62"/>
        <v>2021</v>
      </c>
      <c r="AB410" s="273">
        <f t="shared" si="63"/>
        <v>11</v>
      </c>
      <c r="AC410" s="278" t="s">
        <v>920</v>
      </c>
      <c r="AD410" s="278" t="s">
        <v>422</v>
      </c>
      <c r="AE410" s="278" t="s">
        <v>422</v>
      </c>
      <c r="AF410" s="278" t="s">
        <v>422</v>
      </c>
      <c r="AG410" s="278" t="s">
        <v>422</v>
      </c>
      <c r="AH410" s="278" t="s">
        <v>422</v>
      </c>
      <c r="AI410" s="278" t="s">
        <v>423</v>
      </c>
      <c r="AJ410" s="278" t="s">
        <v>422</v>
      </c>
      <c r="AK410" s="278" t="s">
        <v>423</v>
      </c>
      <c r="AL410" s="279" t="s">
        <v>1372</v>
      </c>
      <c r="AM410" s="241"/>
      <c r="AN410" s="242"/>
    </row>
    <row r="411" spans="1:40" ht="15" customHeight="1" x14ac:dyDescent="0.3">
      <c r="A411" s="185">
        <v>430</v>
      </c>
      <c r="B411" s="235" t="s">
        <v>1852</v>
      </c>
      <c r="C411" s="281" t="s">
        <v>1830</v>
      </c>
      <c r="D411" s="200" t="s">
        <v>1881</v>
      </c>
      <c r="E411" s="383"/>
      <c r="F411" s="383" t="s">
        <v>422</v>
      </c>
      <c r="G411" s="370" t="s">
        <v>1952</v>
      </c>
      <c r="H411" s="248" t="s">
        <v>1596</v>
      </c>
      <c r="I411" s="248">
        <v>2</v>
      </c>
      <c r="J411" s="248">
        <v>15</v>
      </c>
      <c r="K411" s="248">
        <f>2+15</f>
        <v>17</v>
      </c>
      <c r="L411" s="212">
        <v>1</v>
      </c>
      <c r="M411" s="212">
        <f t="shared" si="56"/>
        <v>35</v>
      </c>
      <c r="N411" s="212">
        <f t="shared" si="57"/>
        <v>16</v>
      </c>
      <c r="O411" s="212">
        <f t="shared" si="58"/>
        <v>60</v>
      </c>
      <c r="P411" s="212">
        <f t="shared" si="59"/>
        <v>113.33333333333334</v>
      </c>
      <c r="Q411" s="212">
        <f t="shared" si="60"/>
        <v>8</v>
      </c>
      <c r="R411" s="212">
        <f t="shared" si="61"/>
        <v>197.33333333333334</v>
      </c>
      <c r="S411" s="373" t="s">
        <v>1863</v>
      </c>
      <c r="T411" s="287" t="s">
        <v>1874</v>
      </c>
      <c r="U411" s="280">
        <v>148</v>
      </c>
      <c r="V411" s="280">
        <v>148</v>
      </c>
      <c r="W411" s="280">
        <v>148</v>
      </c>
      <c r="X411" s="276">
        <v>44477</v>
      </c>
      <c r="Y411" s="277">
        <v>44576</v>
      </c>
      <c r="Z411" s="276">
        <v>44530</v>
      </c>
      <c r="AA411" s="273">
        <f t="shared" si="62"/>
        <v>2021</v>
      </c>
      <c r="AB411" s="273">
        <f t="shared" si="63"/>
        <v>11</v>
      </c>
      <c r="AC411" s="278" t="s">
        <v>310</v>
      </c>
      <c r="AD411" s="278" t="s">
        <v>422</v>
      </c>
      <c r="AE411" s="278" t="s">
        <v>422</v>
      </c>
      <c r="AF411" s="278" t="s">
        <v>422</v>
      </c>
      <c r="AG411" s="278" t="s">
        <v>422</v>
      </c>
      <c r="AH411" s="278" t="s">
        <v>422</v>
      </c>
      <c r="AI411" s="278" t="s">
        <v>422</v>
      </c>
      <c r="AJ411" s="278" t="s">
        <v>449</v>
      </c>
      <c r="AK411" s="278" t="s">
        <v>423</v>
      </c>
      <c r="AL411" s="279" t="s">
        <v>140</v>
      </c>
      <c r="AM411" s="241"/>
      <c r="AN411" s="242"/>
    </row>
    <row r="412" spans="1:40" ht="15" customHeight="1" x14ac:dyDescent="0.3">
      <c r="A412" s="185">
        <v>432</v>
      </c>
      <c r="B412" s="235" t="s">
        <v>1854</v>
      </c>
      <c r="C412" s="281" t="s">
        <v>1830</v>
      </c>
      <c r="D412" s="200" t="s">
        <v>1881</v>
      </c>
      <c r="E412" s="383"/>
      <c r="F412" s="383" t="s">
        <v>422</v>
      </c>
      <c r="G412" s="370" t="s">
        <v>1952</v>
      </c>
      <c r="H412" s="248" t="s">
        <v>422</v>
      </c>
      <c r="I412" s="248">
        <v>2</v>
      </c>
      <c r="J412" s="248">
        <v>14</v>
      </c>
      <c r="K412" s="248">
        <v>15</v>
      </c>
      <c r="L412" s="212">
        <v>1</v>
      </c>
      <c r="M412" s="212">
        <f t="shared" si="56"/>
        <v>32</v>
      </c>
      <c r="N412" s="212">
        <f t="shared" si="57"/>
        <v>16</v>
      </c>
      <c r="O412" s="212">
        <f t="shared" si="58"/>
        <v>56</v>
      </c>
      <c r="P412" s="212">
        <f t="shared" si="59"/>
        <v>100</v>
      </c>
      <c r="Q412" s="212">
        <f t="shared" si="60"/>
        <v>8</v>
      </c>
      <c r="R412" s="212">
        <f t="shared" si="61"/>
        <v>180</v>
      </c>
      <c r="S412" s="373" t="s">
        <v>1865</v>
      </c>
      <c r="T412" s="287" t="s">
        <v>1875</v>
      </c>
      <c r="U412" s="280">
        <v>130</v>
      </c>
      <c r="V412" s="280">
        <v>130</v>
      </c>
      <c r="W412" s="280">
        <v>130</v>
      </c>
      <c r="X412" s="276">
        <v>44477</v>
      </c>
      <c r="Y412" s="277">
        <v>44576</v>
      </c>
      <c r="Z412" s="276">
        <v>44530</v>
      </c>
      <c r="AA412" s="273">
        <f t="shared" si="62"/>
        <v>2021</v>
      </c>
      <c r="AB412" s="273">
        <f t="shared" si="63"/>
        <v>11</v>
      </c>
      <c r="AC412" s="278" t="s">
        <v>310</v>
      </c>
      <c r="AD412" s="278" t="s">
        <v>422</v>
      </c>
      <c r="AE412" s="278" t="s">
        <v>422</v>
      </c>
      <c r="AF412" s="278" t="s">
        <v>422</v>
      </c>
      <c r="AG412" s="278" t="s">
        <v>422</v>
      </c>
      <c r="AH412" s="278" t="s">
        <v>422</v>
      </c>
      <c r="AI412" s="278" t="s">
        <v>422</v>
      </c>
      <c r="AJ412" s="278" t="s">
        <v>449</v>
      </c>
      <c r="AK412" s="278" t="s">
        <v>423</v>
      </c>
      <c r="AL412" s="279" t="s">
        <v>138</v>
      </c>
      <c r="AM412" s="241"/>
      <c r="AN412" s="242"/>
    </row>
    <row r="413" spans="1:40" ht="15" customHeight="1" x14ac:dyDescent="0.3">
      <c r="A413" s="185">
        <v>435</v>
      </c>
      <c r="B413" s="235" t="s">
        <v>1857</v>
      </c>
      <c r="C413" s="281" t="s">
        <v>1830</v>
      </c>
      <c r="D413" s="200" t="s">
        <v>1881</v>
      </c>
      <c r="E413" s="383"/>
      <c r="F413" s="383" t="s">
        <v>422</v>
      </c>
      <c r="G413" s="370" t="s">
        <v>1952</v>
      </c>
      <c r="H413" s="248" t="s">
        <v>422</v>
      </c>
      <c r="I413" s="248">
        <v>2.5</v>
      </c>
      <c r="J413" s="248">
        <v>16</v>
      </c>
      <c r="K413" s="248">
        <v>15</v>
      </c>
      <c r="L413" s="212">
        <v>1.5</v>
      </c>
      <c r="M413" s="212">
        <f t="shared" si="56"/>
        <v>35</v>
      </c>
      <c r="N413" s="212">
        <f t="shared" si="57"/>
        <v>20</v>
      </c>
      <c r="O413" s="212">
        <f t="shared" si="58"/>
        <v>64</v>
      </c>
      <c r="P413" s="212">
        <f t="shared" si="59"/>
        <v>100</v>
      </c>
      <c r="Q413" s="212">
        <f t="shared" si="60"/>
        <v>12</v>
      </c>
      <c r="R413" s="212">
        <f t="shared" si="61"/>
        <v>196</v>
      </c>
      <c r="S413" s="373" t="s">
        <v>1868</v>
      </c>
      <c r="T413" s="287" t="s">
        <v>1877</v>
      </c>
      <c r="U413" s="280">
        <v>138</v>
      </c>
      <c r="V413" s="280">
        <v>138</v>
      </c>
      <c r="W413" s="280">
        <v>138</v>
      </c>
      <c r="X413" s="276">
        <v>44477</v>
      </c>
      <c r="Y413" s="277">
        <v>44576</v>
      </c>
      <c r="Z413" s="276">
        <v>44530</v>
      </c>
      <c r="AA413" s="273">
        <f t="shared" si="62"/>
        <v>2021</v>
      </c>
      <c r="AB413" s="273">
        <f t="shared" si="63"/>
        <v>11</v>
      </c>
      <c r="AC413" s="278" t="s">
        <v>310</v>
      </c>
      <c r="AD413" s="278" t="s">
        <v>422</v>
      </c>
      <c r="AE413" s="278" t="s">
        <v>422</v>
      </c>
      <c r="AF413" s="278" t="s">
        <v>422</v>
      </c>
      <c r="AG413" s="278" t="s">
        <v>422</v>
      </c>
      <c r="AH413" s="278" t="s">
        <v>422</v>
      </c>
      <c r="AI413" s="278" t="s">
        <v>422</v>
      </c>
      <c r="AJ413" s="278" t="s">
        <v>449</v>
      </c>
      <c r="AK413" s="278" t="s">
        <v>423</v>
      </c>
      <c r="AL413" s="279" t="s">
        <v>1921</v>
      </c>
      <c r="AM413" s="241"/>
      <c r="AN413" s="242"/>
    </row>
    <row r="414" spans="1:40" ht="15" customHeight="1" x14ac:dyDescent="0.3">
      <c r="A414" s="185">
        <v>436</v>
      </c>
      <c r="B414" s="235" t="s">
        <v>1858</v>
      </c>
      <c r="C414" s="281" t="s">
        <v>1830</v>
      </c>
      <c r="D414" s="200" t="s">
        <v>1881</v>
      </c>
      <c r="E414" s="383"/>
      <c r="F414" s="383" t="s">
        <v>422</v>
      </c>
      <c r="G414" s="370" t="s">
        <v>1952</v>
      </c>
      <c r="H414" s="248" t="s">
        <v>422</v>
      </c>
      <c r="I414" s="248">
        <v>2</v>
      </c>
      <c r="J414" s="248">
        <v>14</v>
      </c>
      <c r="K414" s="248">
        <v>15</v>
      </c>
      <c r="L414" s="212">
        <v>1</v>
      </c>
      <c r="M414" s="212">
        <f t="shared" si="56"/>
        <v>32</v>
      </c>
      <c r="N414" s="212">
        <f t="shared" si="57"/>
        <v>16</v>
      </c>
      <c r="O414" s="212">
        <f t="shared" si="58"/>
        <v>56</v>
      </c>
      <c r="P414" s="212">
        <f t="shared" si="59"/>
        <v>100</v>
      </c>
      <c r="Q414" s="212">
        <f t="shared" si="60"/>
        <v>8</v>
      </c>
      <c r="R414" s="212">
        <f t="shared" si="61"/>
        <v>180</v>
      </c>
      <c r="S414" s="373" t="s">
        <v>1869</v>
      </c>
      <c r="T414" s="287" t="s">
        <v>1878</v>
      </c>
      <c r="U414" s="280">
        <v>138</v>
      </c>
      <c r="V414" s="280">
        <v>138</v>
      </c>
      <c r="W414" s="280">
        <v>138</v>
      </c>
      <c r="X414" s="276">
        <v>44477</v>
      </c>
      <c r="Y414" s="277">
        <v>44576</v>
      </c>
      <c r="Z414" s="276">
        <v>44530</v>
      </c>
      <c r="AA414" s="273">
        <f t="shared" si="62"/>
        <v>2021</v>
      </c>
      <c r="AB414" s="273">
        <f t="shared" si="63"/>
        <v>11</v>
      </c>
      <c r="AC414" s="278" t="s">
        <v>310</v>
      </c>
      <c r="AD414" s="278" t="s">
        <v>422</v>
      </c>
      <c r="AE414" s="278" t="s">
        <v>422</v>
      </c>
      <c r="AF414" s="278" t="s">
        <v>422</v>
      </c>
      <c r="AG414" s="278" t="s">
        <v>422</v>
      </c>
      <c r="AH414" s="278" t="s">
        <v>422</v>
      </c>
      <c r="AI414" s="278" t="s">
        <v>422</v>
      </c>
      <c r="AJ414" s="278" t="s">
        <v>449</v>
      </c>
      <c r="AK414" s="278" t="s">
        <v>423</v>
      </c>
      <c r="AL414" s="279" t="s">
        <v>140</v>
      </c>
      <c r="AM414" s="241"/>
      <c r="AN414" s="242"/>
    </row>
    <row r="415" spans="1:40" ht="15" customHeight="1" x14ac:dyDescent="0.3">
      <c r="A415" s="185">
        <v>437</v>
      </c>
      <c r="B415" s="235" t="s">
        <v>1859</v>
      </c>
      <c r="C415" s="281" t="s">
        <v>1830</v>
      </c>
      <c r="D415" s="200" t="s">
        <v>1881</v>
      </c>
      <c r="E415" s="383"/>
      <c r="F415" s="383" t="s">
        <v>422</v>
      </c>
      <c r="G415" s="370" t="s">
        <v>1952</v>
      </c>
      <c r="H415" s="248" t="s">
        <v>1596</v>
      </c>
      <c r="I415" s="248">
        <v>2</v>
      </c>
      <c r="J415" s="248">
        <v>14</v>
      </c>
      <c r="K415" s="248">
        <v>15</v>
      </c>
      <c r="L415" s="212">
        <v>1</v>
      </c>
      <c r="M415" s="212">
        <f t="shared" si="56"/>
        <v>32</v>
      </c>
      <c r="N415" s="212">
        <f t="shared" si="57"/>
        <v>16</v>
      </c>
      <c r="O415" s="212">
        <f t="shared" si="58"/>
        <v>56</v>
      </c>
      <c r="P415" s="212">
        <f t="shared" si="59"/>
        <v>100</v>
      </c>
      <c r="Q415" s="212">
        <f t="shared" si="60"/>
        <v>8</v>
      </c>
      <c r="R415" s="212">
        <f t="shared" si="61"/>
        <v>180</v>
      </c>
      <c r="S415" s="373" t="s">
        <v>1870</v>
      </c>
      <c r="T415" s="287" t="s">
        <v>1878</v>
      </c>
      <c r="U415" s="280">
        <v>108</v>
      </c>
      <c r="V415" s="280">
        <v>108</v>
      </c>
      <c r="W415" s="280">
        <v>108</v>
      </c>
      <c r="X415" s="276">
        <v>44477</v>
      </c>
      <c r="Y415" s="277">
        <v>44576</v>
      </c>
      <c r="Z415" s="276">
        <v>44530</v>
      </c>
      <c r="AA415" s="273">
        <f t="shared" si="62"/>
        <v>2021</v>
      </c>
      <c r="AB415" s="273">
        <f t="shared" si="63"/>
        <v>11</v>
      </c>
      <c r="AC415" s="278" t="s">
        <v>310</v>
      </c>
      <c r="AD415" s="278" t="s">
        <v>422</v>
      </c>
      <c r="AE415" s="278" t="s">
        <v>422</v>
      </c>
      <c r="AF415" s="278" t="s">
        <v>422</v>
      </c>
      <c r="AG415" s="278" t="s">
        <v>422</v>
      </c>
      <c r="AH415" s="278" t="s">
        <v>422</v>
      </c>
      <c r="AI415" s="278" t="s">
        <v>422</v>
      </c>
      <c r="AJ415" s="278" t="s">
        <v>449</v>
      </c>
      <c r="AK415" s="278" t="s">
        <v>423</v>
      </c>
      <c r="AL415" s="279" t="s">
        <v>140</v>
      </c>
      <c r="AM415" s="241"/>
      <c r="AN415" s="242"/>
    </row>
    <row r="416" spans="1:40" ht="15" customHeight="1" x14ac:dyDescent="0.3">
      <c r="A416" s="185">
        <v>441</v>
      </c>
      <c r="B416" s="235" t="s">
        <v>1900</v>
      </c>
      <c r="C416" s="281" t="s">
        <v>1617</v>
      </c>
      <c r="D416" s="281" t="s">
        <v>1848</v>
      </c>
      <c r="E416" s="383"/>
      <c r="F416" s="383" t="s">
        <v>1892</v>
      </c>
      <c r="G416" s="370" t="s">
        <v>1596</v>
      </c>
      <c r="H416" s="248" t="s">
        <v>422</v>
      </c>
      <c r="I416" s="248">
        <v>1</v>
      </c>
      <c r="J416" s="248">
        <v>4</v>
      </c>
      <c r="K416" s="248">
        <f>7+4</f>
        <v>11</v>
      </c>
      <c r="L416" s="212">
        <v>1</v>
      </c>
      <c r="M416" s="212">
        <f t="shared" si="56"/>
        <v>17</v>
      </c>
      <c r="N416" s="212">
        <f t="shared" si="57"/>
        <v>8</v>
      </c>
      <c r="O416" s="212">
        <f t="shared" si="58"/>
        <v>16</v>
      </c>
      <c r="P416" s="212">
        <f t="shared" si="59"/>
        <v>73.333333333333343</v>
      </c>
      <c r="Q416" s="212">
        <f t="shared" si="60"/>
        <v>8</v>
      </c>
      <c r="R416" s="212">
        <f t="shared" si="61"/>
        <v>105.33333333333334</v>
      </c>
      <c r="S416" s="275" t="s">
        <v>1899</v>
      </c>
      <c r="T416" s="275" t="s">
        <v>1899</v>
      </c>
      <c r="U416" s="280">
        <v>100</v>
      </c>
      <c r="V416" s="280">
        <v>120</v>
      </c>
      <c r="W416" s="280">
        <v>120</v>
      </c>
      <c r="X416" s="276">
        <v>44510</v>
      </c>
      <c r="Y416" s="277">
        <v>44510</v>
      </c>
      <c r="Z416" s="276">
        <v>44510</v>
      </c>
      <c r="AA416" s="273">
        <f t="shared" si="62"/>
        <v>2021</v>
      </c>
      <c r="AB416" s="273">
        <f t="shared" si="63"/>
        <v>11</v>
      </c>
      <c r="AC416" s="278" t="s">
        <v>310</v>
      </c>
      <c r="AD416" s="278" t="s">
        <v>422</v>
      </c>
      <c r="AE416" s="278" t="s">
        <v>422</v>
      </c>
      <c r="AF416" s="278" t="s">
        <v>422</v>
      </c>
      <c r="AG416" s="278" t="s">
        <v>422</v>
      </c>
      <c r="AH416" s="278" t="s">
        <v>422</v>
      </c>
      <c r="AI416" s="278" t="s">
        <v>422</v>
      </c>
      <c r="AJ416" s="278" t="s">
        <v>423</v>
      </c>
      <c r="AK416" s="278" t="s">
        <v>423</v>
      </c>
      <c r="AL416" s="279" t="s">
        <v>1372</v>
      </c>
      <c r="AM416" s="33"/>
      <c r="AN416" s="33"/>
    </row>
    <row r="417" spans="1:40" ht="15" customHeight="1" x14ac:dyDescent="0.3">
      <c r="A417" s="185">
        <v>308</v>
      </c>
      <c r="B417" s="392" t="s">
        <v>1536</v>
      </c>
      <c r="C417" s="281" t="s">
        <v>1615</v>
      </c>
      <c r="D417" s="200" t="s">
        <v>1881</v>
      </c>
      <c r="E417" s="383"/>
      <c r="F417" s="383" t="s">
        <v>1601</v>
      </c>
      <c r="G417" s="370" t="s">
        <v>1604</v>
      </c>
      <c r="H417" s="248"/>
      <c r="I417" s="248">
        <v>2</v>
      </c>
      <c r="J417" s="248">
        <v>15</v>
      </c>
      <c r="K417" s="248">
        <v>0</v>
      </c>
      <c r="L417" s="212">
        <v>1.5</v>
      </c>
      <c r="M417" s="212">
        <f t="shared" si="56"/>
        <v>18.5</v>
      </c>
      <c r="N417" s="212">
        <f t="shared" si="57"/>
        <v>16</v>
      </c>
      <c r="O417" s="212">
        <f t="shared" si="58"/>
        <v>60</v>
      </c>
      <c r="P417" s="212">
        <f t="shared" si="59"/>
        <v>0</v>
      </c>
      <c r="Q417" s="212">
        <f t="shared" si="60"/>
        <v>12</v>
      </c>
      <c r="R417" s="212">
        <f t="shared" si="61"/>
        <v>88</v>
      </c>
      <c r="S417" s="373" t="s">
        <v>1535</v>
      </c>
      <c r="T417" s="373" t="s">
        <v>1495</v>
      </c>
      <c r="U417" s="280">
        <v>240</v>
      </c>
      <c r="V417" s="280">
        <v>170</v>
      </c>
      <c r="W417" s="280">
        <v>0</v>
      </c>
      <c r="X417" s="374">
        <v>44286</v>
      </c>
      <c r="Y417" s="374">
        <v>44348</v>
      </c>
      <c r="Z417" s="276">
        <v>44545</v>
      </c>
      <c r="AA417" s="273">
        <f t="shared" si="62"/>
        <v>2021</v>
      </c>
      <c r="AB417" s="273">
        <f t="shared" si="63"/>
        <v>12</v>
      </c>
      <c r="AC417" s="278" t="s">
        <v>1042</v>
      </c>
      <c r="AD417" s="278" t="s">
        <v>1595</v>
      </c>
      <c r="AE417" s="278" t="s">
        <v>422</v>
      </c>
      <c r="AF417" s="278" t="s">
        <v>422</v>
      </c>
      <c r="AG417" s="278" t="s">
        <v>422</v>
      </c>
      <c r="AH417" s="278" t="s">
        <v>422</v>
      </c>
      <c r="AI417" s="278" t="s">
        <v>423</v>
      </c>
      <c r="AJ417" s="278" t="s">
        <v>422</v>
      </c>
      <c r="AK417" s="278" t="s">
        <v>423</v>
      </c>
      <c r="AL417" s="279" t="s">
        <v>1929</v>
      </c>
      <c r="AM417" s="241"/>
      <c r="AN417" s="241"/>
    </row>
    <row r="418" spans="1:40" ht="15" customHeight="1" x14ac:dyDescent="0.3">
      <c r="A418" s="185">
        <v>319</v>
      </c>
      <c r="B418" s="393" t="s">
        <v>1500</v>
      </c>
      <c r="C418" s="247" t="s">
        <v>1615</v>
      </c>
      <c r="D418" s="281" t="s">
        <v>1881</v>
      </c>
      <c r="E418" s="312"/>
      <c r="F418" s="312"/>
      <c r="G418" s="273" t="s">
        <v>1604</v>
      </c>
      <c r="H418" s="248"/>
      <c r="I418" s="317">
        <v>2</v>
      </c>
      <c r="J418" s="361">
        <v>11</v>
      </c>
      <c r="K418" s="317">
        <v>0</v>
      </c>
      <c r="L418" s="212">
        <v>1</v>
      </c>
      <c r="M418" s="212">
        <f t="shared" si="56"/>
        <v>14</v>
      </c>
      <c r="N418" s="212">
        <f t="shared" si="57"/>
        <v>16</v>
      </c>
      <c r="O418" s="212">
        <f t="shared" si="58"/>
        <v>44</v>
      </c>
      <c r="P418" s="212">
        <f t="shared" si="59"/>
        <v>0</v>
      </c>
      <c r="Q418" s="212">
        <f t="shared" si="60"/>
        <v>8</v>
      </c>
      <c r="R418" s="212">
        <f t="shared" si="61"/>
        <v>68</v>
      </c>
      <c r="S418" s="394" t="s">
        <v>1507</v>
      </c>
      <c r="T418" s="394" t="s">
        <v>1506</v>
      </c>
      <c r="U418" s="280">
        <v>88</v>
      </c>
      <c r="V418" s="280">
        <v>0</v>
      </c>
      <c r="W418" s="280">
        <v>0</v>
      </c>
      <c r="X418" s="374">
        <v>44244</v>
      </c>
      <c r="Y418" s="374">
        <v>44317</v>
      </c>
      <c r="Z418" s="276">
        <v>44560</v>
      </c>
      <c r="AA418" s="273">
        <f t="shared" si="62"/>
        <v>2021</v>
      </c>
      <c r="AB418" s="273">
        <f t="shared" si="63"/>
        <v>12</v>
      </c>
      <c r="AC418" s="278" t="s">
        <v>1928</v>
      </c>
      <c r="AD418" s="278" t="s">
        <v>449</v>
      </c>
      <c r="AE418" s="278" t="s">
        <v>422</v>
      </c>
      <c r="AF418" s="278" t="s">
        <v>449</v>
      </c>
      <c r="AG418" s="278" t="s">
        <v>449</v>
      </c>
      <c r="AH418" s="278" t="s">
        <v>449</v>
      </c>
      <c r="AI418" s="278" t="s">
        <v>423</v>
      </c>
      <c r="AJ418" s="278" t="s">
        <v>423</v>
      </c>
      <c r="AK418" s="278" t="s">
        <v>423</v>
      </c>
      <c r="AL418" s="29"/>
      <c r="AM418" s="310"/>
      <c r="AN418" s="310"/>
    </row>
    <row r="419" spans="1:40" ht="15" customHeight="1" x14ac:dyDescent="0.3">
      <c r="A419" s="185">
        <v>342</v>
      </c>
      <c r="B419" s="329" t="s">
        <v>1750</v>
      </c>
      <c r="C419" s="247" t="s">
        <v>1615</v>
      </c>
      <c r="D419" s="200" t="s">
        <v>1881</v>
      </c>
      <c r="E419" s="308"/>
      <c r="F419" s="282" t="s">
        <v>1601</v>
      </c>
      <c r="G419" s="273" t="s">
        <v>1604</v>
      </c>
      <c r="H419" s="248"/>
      <c r="I419" s="317">
        <v>2</v>
      </c>
      <c r="J419" s="361">
        <v>7</v>
      </c>
      <c r="K419" s="317">
        <v>0</v>
      </c>
      <c r="L419" s="212">
        <v>1</v>
      </c>
      <c r="M419" s="212">
        <f t="shared" si="56"/>
        <v>10</v>
      </c>
      <c r="N419" s="212">
        <f t="shared" si="57"/>
        <v>16</v>
      </c>
      <c r="O419" s="212">
        <f t="shared" si="58"/>
        <v>28</v>
      </c>
      <c r="P419" s="212">
        <f t="shared" si="59"/>
        <v>0</v>
      </c>
      <c r="Q419" s="212">
        <f t="shared" si="60"/>
        <v>8</v>
      </c>
      <c r="R419" s="212">
        <f t="shared" si="61"/>
        <v>52</v>
      </c>
      <c r="S419" s="312" t="s">
        <v>1624</v>
      </c>
      <c r="T419" s="313" t="s">
        <v>1822</v>
      </c>
      <c r="U419" s="280">
        <v>100</v>
      </c>
      <c r="V419" s="273">
        <v>0</v>
      </c>
      <c r="W419" s="273">
        <v>0</v>
      </c>
      <c r="X419" s="276">
        <v>44307</v>
      </c>
      <c r="Y419" s="277">
        <v>44392</v>
      </c>
      <c r="Z419" s="277">
        <v>44545</v>
      </c>
      <c r="AA419" s="273">
        <f t="shared" si="62"/>
        <v>2021</v>
      </c>
      <c r="AB419" s="273">
        <f t="shared" si="63"/>
        <v>12</v>
      </c>
      <c r="AC419" s="322" t="s">
        <v>1817</v>
      </c>
      <c r="AD419" s="278" t="s">
        <v>449</v>
      </c>
      <c r="AE419" s="278" t="s">
        <v>422</v>
      </c>
      <c r="AF419" s="278" t="s">
        <v>449</v>
      </c>
      <c r="AG419" s="278" t="s">
        <v>449</v>
      </c>
      <c r="AH419" s="278" t="s">
        <v>449</v>
      </c>
      <c r="AI419" s="278" t="s">
        <v>423</v>
      </c>
      <c r="AJ419" s="278" t="s">
        <v>422</v>
      </c>
      <c r="AK419" s="278" t="s">
        <v>423</v>
      </c>
      <c r="AL419" s="279" t="s">
        <v>1240</v>
      </c>
      <c r="AM419" s="29"/>
      <c r="AN419" s="29" t="s">
        <v>1756</v>
      </c>
    </row>
    <row r="420" spans="1:40" ht="15" customHeight="1" x14ac:dyDescent="0.3">
      <c r="A420" s="185">
        <v>343</v>
      </c>
      <c r="B420" s="329" t="s">
        <v>1893</v>
      </c>
      <c r="C420" s="247" t="s">
        <v>1615</v>
      </c>
      <c r="D420" s="200" t="s">
        <v>1881</v>
      </c>
      <c r="E420" s="308"/>
      <c r="F420" s="282"/>
      <c r="G420" s="273" t="s">
        <v>1604</v>
      </c>
      <c r="H420" s="248"/>
      <c r="I420" s="317">
        <v>2</v>
      </c>
      <c r="J420" s="361">
        <v>7</v>
      </c>
      <c r="K420" s="317">
        <v>0</v>
      </c>
      <c r="L420" s="212">
        <v>1</v>
      </c>
      <c r="M420" s="212">
        <f t="shared" si="56"/>
        <v>10</v>
      </c>
      <c r="N420" s="212">
        <f t="shared" si="57"/>
        <v>16</v>
      </c>
      <c r="O420" s="212">
        <f t="shared" si="58"/>
        <v>28</v>
      </c>
      <c r="P420" s="212">
        <f t="shared" si="59"/>
        <v>0</v>
      </c>
      <c r="Q420" s="212">
        <f t="shared" si="60"/>
        <v>8</v>
      </c>
      <c r="R420" s="212">
        <f t="shared" si="61"/>
        <v>52</v>
      </c>
      <c r="S420" s="312" t="s">
        <v>1625</v>
      </c>
      <c r="T420" s="313" t="s">
        <v>1930</v>
      </c>
      <c r="U420" s="280">
        <v>131</v>
      </c>
      <c r="V420" s="273">
        <v>0</v>
      </c>
      <c r="W420" s="273">
        <v>0</v>
      </c>
      <c r="X420" s="276">
        <v>44307</v>
      </c>
      <c r="Y420" s="277">
        <v>44392</v>
      </c>
      <c r="Z420" s="277">
        <v>44545</v>
      </c>
      <c r="AA420" s="273">
        <f t="shared" si="62"/>
        <v>2021</v>
      </c>
      <c r="AB420" s="273">
        <f t="shared" si="63"/>
        <v>12</v>
      </c>
      <c r="AC420" s="322" t="s">
        <v>1818</v>
      </c>
      <c r="AD420" s="278" t="s">
        <v>449</v>
      </c>
      <c r="AE420" s="278" t="s">
        <v>422</v>
      </c>
      <c r="AF420" s="278" t="s">
        <v>449</v>
      </c>
      <c r="AG420" s="278" t="s">
        <v>449</v>
      </c>
      <c r="AH420" s="278" t="s">
        <v>449</v>
      </c>
      <c r="AI420" s="278" t="s">
        <v>423</v>
      </c>
      <c r="AJ420" s="278" t="s">
        <v>422</v>
      </c>
      <c r="AK420" s="278" t="s">
        <v>423</v>
      </c>
      <c r="AL420" s="279" t="s">
        <v>1820</v>
      </c>
      <c r="AM420" s="29"/>
      <c r="AN420" s="29"/>
    </row>
    <row r="421" spans="1:40" ht="15" customHeight="1" x14ac:dyDescent="0.3">
      <c r="A421" s="185">
        <v>347</v>
      </c>
      <c r="B421" s="235" t="s">
        <v>1894</v>
      </c>
      <c r="C421" s="247" t="s">
        <v>1615</v>
      </c>
      <c r="D421" s="200" t="s">
        <v>1881</v>
      </c>
      <c r="E421" s="308"/>
      <c r="F421" s="282" t="s">
        <v>1597</v>
      </c>
      <c r="G421" s="273" t="s">
        <v>1604</v>
      </c>
      <c r="H421" s="248"/>
      <c r="I421" s="317">
        <v>2</v>
      </c>
      <c r="J421" s="361">
        <v>10</v>
      </c>
      <c r="K421" s="317">
        <v>0</v>
      </c>
      <c r="L421" s="212">
        <v>15</v>
      </c>
      <c r="M421" s="212">
        <f t="shared" si="56"/>
        <v>27</v>
      </c>
      <c r="N421" s="212">
        <f t="shared" si="57"/>
        <v>16</v>
      </c>
      <c r="O421" s="212">
        <f t="shared" si="58"/>
        <v>40</v>
      </c>
      <c r="P421" s="212">
        <f t="shared" si="59"/>
        <v>0</v>
      </c>
      <c r="Q421" s="212">
        <f t="shared" si="60"/>
        <v>120</v>
      </c>
      <c r="R421" s="212">
        <f t="shared" si="61"/>
        <v>176</v>
      </c>
      <c r="S421" s="283" t="s">
        <v>1627</v>
      </c>
      <c r="T421" s="284" t="s">
        <v>1824</v>
      </c>
      <c r="U421" s="280">
        <v>100</v>
      </c>
      <c r="V421" s="273">
        <v>0</v>
      </c>
      <c r="W421" s="273">
        <v>0</v>
      </c>
      <c r="X421" s="276">
        <v>44307</v>
      </c>
      <c r="Y421" s="277">
        <v>44392</v>
      </c>
      <c r="Z421" s="277">
        <v>44545</v>
      </c>
      <c r="AA421" s="273">
        <f t="shared" si="62"/>
        <v>2021</v>
      </c>
      <c r="AB421" s="273">
        <f t="shared" si="63"/>
        <v>12</v>
      </c>
      <c r="AC421" s="322" t="s">
        <v>1819</v>
      </c>
      <c r="AD421" s="278" t="s">
        <v>449</v>
      </c>
      <c r="AE421" s="278" t="s">
        <v>422</v>
      </c>
      <c r="AF421" s="278" t="s">
        <v>449</v>
      </c>
      <c r="AG421" s="278" t="s">
        <v>449</v>
      </c>
      <c r="AH421" s="278" t="s">
        <v>449</v>
      </c>
      <c r="AI421" s="278" t="s">
        <v>423</v>
      </c>
      <c r="AJ421" s="278" t="s">
        <v>422</v>
      </c>
      <c r="AK421" s="278" t="s">
        <v>423</v>
      </c>
      <c r="AL421" s="279" t="s">
        <v>1821</v>
      </c>
      <c r="AM421" s="29"/>
      <c r="AN421" s="29" t="s">
        <v>1821</v>
      </c>
    </row>
    <row r="422" spans="1:40" ht="15" customHeight="1" x14ac:dyDescent="0.3">
      <c r="A422" s="185">
        <v>358</v>
      </c>
      <c r="B422" s="235" t="s">
        <v>1656</v>
      </c>
      <c r="C422" s="247" t="s">
        <v>1618</v>
      </c>
      <c r="D422" s="200" t="s">
        <v>1881</v>
      </c>
      <c r="E422" s="383"/>
      <c r="F422" s="282" t="s">
        <v>1597</v>
      </c>
      <c r="G422" s="273" t="s">
        <v>1604</v>
      </c>
      <c r="H422" s="317" t="s">
        <v>138</v>
      </c>
      <c r="I422" s="317">
        <v>1.5</v>
      </c>
      <c r="J422" s="317">
        <v>14</v>
      </c>
      <c r="K422" s="317">
        <v>0</v>
      </c>
      <c r="L422" s="212">
        <v>1</v>
      </c>
      <c r="M422" s="212">
        <f t="shared" si="56"/>
        <v>16.5</v>
      </c>
      <c r="N422" s="212">
        <f t="shared" si="57"/>
        <v>12</v>
      </c>
      <c r="O422" s="212">
        <f t="shared" si="58"/>
        <v>56</v>
      </c>
      <c r="P422" s="212">
        <f t="shared" si="59"/>
        <v>0</v>
      </c>
      <c r="Q422" s="212">
        <f t="shared" si="60"/>
        <v>8</v>
      </c>
      <c r="R422" s="212">
        <f t="shared" si="61"/>
        <v>76</v>
      </c>
      <c r="S422" s="283" t="s">
        <v>1666</v>
      </c>
      <c r="T422" s="284" t="s">
        <v>1664</v>
      </c>
      <c r="U422" s="280">
        <v>60</v>
      </c>
      <c r="V422" s="280">
        <v>62</v>
      </c>
      <c r="W422" s="280">
        <v>0</v>
      </c>
      <c r="X422" s="276">
        <v>44327</v>
      </c>
      <c r="Y422" s="277">
        <v>44388</v>
      </c>
      <c r="Z422" s="26">
        <v>44545</v>
      </c>
      <c r="AA422" s="273">
        <f t="shared" si="62"/>
        <v>2021</v>
      </c>
      <c r="AB422" s="273">
        <f t="shared" si="63"/>
        <v>12</v>
      </c>
      <c r="AC422" s="278" t="s">
        <v>310</v>
      </c>
      <c r="AD422" s="387" t="s">
        <v>422</v>
      </c>
      <c r="AE422" s="278" t="s">
        <v>422</v>
      </c>
      <c r="AF422" s="278" t="s">
        <v>422</v>
      </c>
      <c r="AG422" s="278" t="s">
        <v>422</v>
      </c>
      <c r="AH422" s="278" t="s">
        <v>422</v>
      </c>
      <c r="AI422" s="278" t="s">
        <v>423</v>
      </c>
      <c r="AJ422" s="278" t="s">
        <v>423</v>
      </c>
      <c r="AK422" s="278" t="s">
        <v>423</v>
      </c>
      <c r="AL422" s="279" t="s">
        <v>1938</v>
      </c>
      <c r="AM422" s="241"/>
      <c r="AN422" s="242" t="s">
        <v>1749</v>
      </c>
    </row>
    <row r="423" spans="1:40" ht="15" customHeight="1" x14ac:dyDescent="0.3">
      <c r="A423" s="185">
        <v>359</v>
      </c>
      <c r="B423" s="235" t="s">
        <v>1655</v>
      </c>
      <c r="C423" s="247" t="s">
        <v>1618</v>
      </c>
      <c r="D423" s="200" t="s">
        <v>1881</v>
      </c>
      <c r="E423" s="383"/>
      <c r="F423" s="282" t="s">
        <v>1597</v>
      </c>
      <c r="G423" s="273" t="s">
        <v>1604</v>
      </c>
      <c r="H423" s="248" t="s">
        <v>138</v>
      </c>
      <c r="I423" s="317">
        <v>1.5</v>
      </c>
      <c r="J423" s="317">
        <v>14</v>
      </c>
      <c r="K423" s="317">
        <v>0</v>
      </c>
      <c r="L423" s="212">
        <v>1</v>
      </c>
      <c r="M423" s="212">
        <f t="shared" si="56"/>
        <v>16.5</v>
      </c>
      <c r="N423" s="212">
        <f t="shared" si="57"/>
        <v>12</v>
      </c>
      <c r="O423" s="212">
        <f t="shared" si="58"/>
        <v>56</v>
      </c>
      <c r="P423" s="212">
        <f t="shared" si="59"/>
        <v>0</v>
      </c>
      <c r="Q423" s="212">
        <f t="shared" si="60"/>
        <v>8</v>
      </c>
      <c r="R423" s="212">
        <f t="shared" si="61"/>
        <v>76</v>
      </c>
      <c r="S423" s="283" t="s">
        <v>1667</v>
      </c>
      <c r="T423" s="284" t="s">
        <v>1665</v>
      </c>
      <c r="U423" s="280">
        <v>10</v>
      </c>
      <c r="V423" s="280">
        <v>10</v>
      </c>
      <c r="W423" s="280">
        <v>0</v>
      </c>
      <c r="X423" s="276">
        <v>44327</v>
      </c>
      <c r="Y423" s="277">
        <v>44388</v>
      </c>
      <c r="Z423" s="26">
        <v>44545</v>
      </c>
      <c r="AA423" s="273">
        <f t="shared" si="62"/>
        <v>2021</v>
      </c>
      <c r="AB423" s="273">
        <f t="shared" si="63"/>
        <v>12</v>
      </c>
      <c r="AC423" s="278" t="s">
        <v>310</v>
      </c>
      <c r="AD423" s="278" t="s">
        <v>422</v>
      </c>
      <c r="AE423" s="278" t="s">
        <v>422</v>
      </c>
      <c r="AF423" s="278" t="s">
        <v>422</v>
      </c>
      <c r="AG423" s="278" t="s">
        <v>422</v>
      </c>
      <c r="AH423" s="278" t="s">
        <v>422</v>
      </c>
      <c r="AI423" s="278" t="s">
        <v>423</v>
      </c>
      <c r="AJ423" s="278" t="s">
        <v>423</v>
      </c>
      <c r="AK423" s="278" t="s">
        <v>423</v>
      </c>
      <c r="AL423" s="279" t="s">
        <v>1938</v>
      </c>
      <c r="AM423" s="241"/>
      <c r="AN423" s="242" t="s">
        <v>1749</v>
      </c>
    </row>
    <row r="424" spans="1:40" ht="15" customHeight="1" x14ac:dyDescent="0.3">
      <c r="A424" s="185">
        <v>386</v>
      </c>
      <c r="B424" s="235" t="s">
        <v>1730</v>
      </c>
      <c r="C424" s="247" t="s">
        <v>1618</v>
      </c>
      <c r="D424" s="200" t="s">
        <v>1881</v>
      </c>
      <c r="E424" s="383"/>
      <c r="F424" s="383" t="s">
        <v>1597</v>
      </c>
      <c r="G424" s="370" t="s">
        <v>1596</v>
      </c>
      <c r="H424" s="248" t="s">
        <v>1424</v>
      </c>
      <c r="I424" s="317">
        <v>2</v>
      </c>
      <c r="J424" s="361">
        <v>10</v>
      </c>
      <c r="K424" s="317">
        <v>29</v>
      </c>
      <c r="L424" s="212">
        <v>1</v>
      </c>
      <c r="M424" s="212">
        <f t="shared" si="56"/>
        <v>42</v>
      </c>
      <c r="N424" s="212">
        <f t="shared" si="57"/>
        <v>16</v>
      </c>
      <c r="O424" s="212">
        <f t="shared" si="58"/>
        <v>40</v>
      </c>
      <c r="P424" s="212">
        <f t="shared" si="59"/>
        <v>193.33333333333334</v>
      </c>
      <c r="Q424" s="212">
        <f t="shared" si="60"/>
        <v>8</v>
      </c>
      <c r="R424" s="212">
        <f t="shared" si="61"/>
        <v>257.33333333333337</v>
      </c>
      <c r="S424" s="283" t="s">
        <v>1742</v>
      </c>
      <c r="T424" s="313" t="s">
        <v>1736</v>
      </c>
      <c r="U424" s="280">
        <v>80</v>
      </c>
      <c r="V424" s="280">
        <v>84</v>
      </c>
      <c r="W424" s="280">
        <v>0</v>
      </c>
      <c r="X424" s="276">
        <v>44397</v>
      </c>
      <c r="Y424" s="277">
        <v>44469</v>
      </c>
      <c r="Z424" s="276">
        <v>44545</v>
      </c>
      <c r="AA424" s="273">
        <f t="shared" si="62"/>
        <v>2021</v>
      </c>
      <c r="AB424" s="273">
        <f t="shared" si="63"/>
        <v>12</v>
      </c>
      <c r="AC424" s="278" t="s">
        <v>310</v>
      </c>
      <c r="AD424" s="278" t="s">
        <v>422</v>
      </c>
      <c r="AE424" s="278" t="s">
        <v>422</v>
      </c>
      <c r="AF424" s="278" t="s">
        <v>422</v>
      </c>
      <c r="AG424" s="278" t="s">
        <v>422</v>
      </c>
      <c r="AH424" s="278" t="s">
        <v>422</v>
      </c>
      <c r="AI424" s="278" t="s">
        <v>422</v>
      </c>
      <c r="AJ424" s="278" t="s">
        <v>422</v>
      </c>
      <c r="AK424" s="278" t="s">
        <v>422</v>
      </c>
      <c r="AL424" s="279" t="s">
        <v>1424</v>
      </c>
      <c r="AM424" s="241"/>
      <c r="AN424" s="314" t="s">
        <v>1433</v>
      </c>
    </row>
    <row r="425" spans="1:40" ht="15" customHeight="1" x14ac:dyDescent="0.3">
      <c r="A425" s="185">
        <v>392</v>
      </c>
      <c r="B425" s="235" t="s">
        <v>1757</v>
      </c>
      <c r="C425" s="247" t="s">
        <v>1615</v>
      </c>
      <c r="D425" s="200" t="s">
        <v>1881</v>
      </c>
      <c r="E425" s="383"/>
      <c r="F425" s="383"/>
      <c r="G425" s="370" t="s">
        <v>1596</v>
      </c>
      <c r="H425" s="248"/>
      <c r="I425" s="317"/>
      <c r="J425" s="361">
        <v>10</v>
      </c>
      <c r="K425" s="317">
        <v>25</v>
      </c>
      <c r="L425" s="212">
        <v>1</v>
      </c>
      <c r="M425" s="212">
        <f t="shared" si="56"/>
        <v>36</v>
      </c>
      <c r="N425" s="212">
        <f t="shared" si="57"/>
        <v>0</v>
      </c>
      <c r="O425" s="212">
        <f t="shared" si="58"/>
        <v>40</v>
      </c>
      <c r="P425" s="212">
        <f t="shared" si="59"/>
        <v>166.66666666666669</v>
      </c>
      <c r="Q425" s="212">
        <f t="shared" si="60"/>
        <v>8</v>
      </c>
      <c r="R425" s="212">
        <f t="shared" si="61"/>
        <v>214.66666666666669</v>
      </c>
      <c r="S425" s="283" t="s">
        <v>1765</v>
      </c>
      <c r="T425" s="313" t="s">
        <v>1758</v>
      </c>
      <c r="U425" s="280">
        <v>72</v>
      </c>
      <c r="V425" s="280">
        <v>74</v>
      </c>
      <c r="W425" s="280">
        <v>0</v>
      </c>
      <c r="X425" s="276">
        <v>44418</v>
      </c>
      <c r="Y425" s="277">
        <v>44501</v>
      </c>
      <c r="Z425" s="276">
        <v>44560</v>
      </c>
      <c r="AA425" s="273">
        <f t="shared" si="62"/>
        <v>2021</v>
      </c>
      <c r="AB425" s="273">
        <f t="shared" si="63"/>
        <v>12</v>
      </c>
      <c r="AC425" s="278" t="s">
        <v>85</v>
      </c>
      <c r="AD425" s="278" t="s">
        <v>422</v>
      </c>
      <c r="AE425" s="278" t="s">
        <v>422</v>
      </c>
      <c r="AF425" s="278" t="s">
        <v>422</v>
      </c>
      <c r="AG425" s="278" t="s">
        <v>422</v>
      </c>
      <c r="AH425" s="278" t="s">
        <v>422</v>
      </c>
      <c r="AI425" s="278" t="s">
        <v>449</v>
      </c>
      <c r="AJ425" s="278" t="s">
        <v>422</v>
      </c>
      <c r="AK425" s="278" t="s">
        <v>422</v>
      </c>
      <c r="AL425" s="279" t="s">
        <v>355</v>
      </c>
      <c r="AM425" s="241"/>
      <c r="AN425" s="242"/>
    </row>
    <row r="426" spans="1:40" ht="15" customHeight="1" x14ac:dyDescent="0.3">
      <c r="A426" s="185">
        <v>399</v>
      </c>
      <c r="B426" s="235" t="s">
        <v>1787</v>
      </c>
      <c r="C426" s="247" t="s">
        <v>1615</v>
      </c>
      <c r="D426" s="200" t="s">
        <v>1881</v>
      </c>
      <c r="E426" s="383"/>
      <c r="F426" s="383"/>
      <c r="G426" s="273" t="s">
        <v>1604</v>
      </c>
      <c r="H426" s="248"/>
      <c r="I426" s="317"/>
      <c r="J426" s="356">
        <v>10.5</v>
      </c>
      <c r="K426" s="317">
        <v>0</v>
      </c>
      <c r="L426" s="212">
        <v>1</v>
      </c>
      <c r="M426" s="212">
        <f t="shared" si="56"/>
        <v>11.5</v>
      </c>
      <c r="N426" s="212">
        <f t="shared" si="57"/>
        <v>0</v>
      </c>
      <c r="O426" s="212">
        <f t="shared" si="58"/>
        <v>42</v>
      </c>
      <c r="P426" s="212">
        <f t="shared" si="59"/>
        <v>0</v>
      </c>
      <c r="Q426" s="212">
        <f t="shared" si="60"/>
        <v>8</v>
      </c>
      <c r="R426" s="212">
        <f t="shared" si="61"/>
        <v>50</v>
      </c>
      <c r="S426" s="283" t="s">
        <v>1788</v>
      </c>
      <c r="T426" s="313" t="s">
        <v>939</v>
      </c>
      <c r="U426" s="280">
        <v>117</v>
      </c>
      <c r="V426" s="280">
        <v>0</v>
      </c>
      <c r="W426" s="280">
        <v>0</v>
      </c>
      <c r="X426" s="276">
        <v>44418</v>
      </c>
      <c r="Y426" s="277">
        <v>44423</v>
      </c>
      <c r="Z426" s="276">
        <v>44560</v>
      </c>
      <c r="AA426" s="273">
        <f t="shared" si="62"/>
        <v>2021</v>
      </c>
      <c r="AB426" s="273">
        <f t="shared" si="63"/>
        <v>12</v>
      </c>
      <c r="AC426" s="278" t="s">
        <v>1927</v>
      </c>
      <c r="AD426" s="278" t="s">
        <v>422</v>
      </c>
      <c r="AE426" s="278" t="s">
        <v>422</v>
      </c>
      <c r="AF426" s="278" t="s">
        <v>449</v>
      </c>
      <c r="AG426" s="278" t="s">
        <v>449</v>
      </c>
      <c r="AH426" s="278" t="s">
        <v>449</v>
      </c>
      <c r="AI426" s="278" t="s">
        <v>423</v>
      </c>
      <c r="AJ426" s="278" t="s">
        <v>422</v>
      </c>
      <c r="AK426" s="278" t="s">
        <v>423</v>
      </c>
      <c r="AL426" s="279"/>
      <c r="AM426" s="241"/>
      <c r="AN426" s="242"/>
    </row>
    <row r="427" spans="1:40" ht="15" customHeight="1" x14ac:dyDescent="0.3">
      <c r="A427" s="185">
        <v>404</v>
      </c>
      <c r="B427" s="235" t="s">
        <v>1796</v>
      </c>
      <c r="C427" s="281" t="s">
        <v>1618</v>
      </c>
      <c r="D427" s="200" t="s">
        <v>1881</v>
      </c>
      <c r="E427" s="383"/>
      <c r="F427" s="383"/>
      <c r="G427" s="273" t="s">
        <v>1604</v>
      </c>
      <c r="H427" s="248"/>
      <c r="I427" s="248"/>
      <c r="J427" s="359">
        <v>6.5</v>
      </c>
      <c r="K427" s="248">
        <v>0</v>
      </c>
      <c r="L427" s="212">
        <v>1</v>
      </c>
      <c r="M427" s="212">
        <f t="shared" si="56"/>
        <v>7.5</v>
      </c>
      <c r="N427" s="212">
        <f t="shared" si="57"/>
        <v>0</v>
      </c>
      <c r="O427" s="212">
        <f t="shared" si="58"/>
        <v>26</v>
      </c>
      <c r="P427" s="212">
        <f t="shared" si="59"/>
        <v>0</v>
      </c>
      <c r="Q427" s="212">
        <f t="shared" si="60"/>
        <v>8</v>
      </c>
      <c r="R427" s="212">
        <f t="shared" si="61"/>
        <v>34</v>
      </c>
      <c r="S427" s="286" t="s">
        <v>1712</v>
      </c>
      <c r="T427" s="313" t="s">
        <v>1713</v>
      </c>
      <c r="U427" s="280">
        <v>85</v>
      </c>
      <c r="V427" s="280">
        <v>0</v>
      </c>
      <c r="W427" s="280">
        <v>0</v>
      </c>
      <c r="X427" s="276">
        <v>44414</v>
      </c>
      <c r="Y427" s="277">
        <v>44506</v>
      </c>
      <c r="Z427" s="276">
        <v>44560</v>
      </c>
      <c r="AA427" s="273">
        <f t="shared" si="62"/>
        <v>2021</v>
      </c>
      <c r="AB427" s="273">
        <f t="shared" si="63"/>
        <v>12</v>
      </c>
      <c r="AC427" s="278" t="s">
        <v>1927</v>
      </c>
      <c r="AD427" s="278" t="s">
        <v>1832</v>
      </c>
      <c r="AE427" s="278"/>
      <c r="AF427" s="278"/>
      <c r="AG427" s="278"/>
      <c r="AH427" s="278"/>
      <c r="AI427" s="278"/>
      <c r="AJ427" s="278"/>
      <c r="AK427" s="278"/>
      <c r="AL427" s="279"/>
      <c r="AM427" s="241"/>
      <c r="AN427" s="242"/>
    </row>
    <row r="428" spans="1:40" ht="15" customHeight="1" x14ac:dyDescent="0.3">
      <c r="A428" s="185">
        <v>405</v>
      </c>
      <c r="B428" s="235" t="s">
        <v>1797</v>
      </c>
      <c r="C428" s="281" t="s">
        <v>1618</v>
      </c>
      <c r="D428" s="200" t="s">
        <v>1881</v>
      </c>
      <c r="E428" s="383"/>
      <c r="F428" s="383"/>
      <c r="G428" s="273" t="s">
        <v>1604</v>
      </c>
      <c r="H428" s="248"/>
      <c r="I428" s="248"/>
      <c r="J428" s="359">
        <v>6.5</v>
      </c>
      <c r="K428" s="248">
        <v>0</v>
      </c>
      <c r="L428" s="212">
        <v>1</v>
      </c>
      <c r="M428" s="212">
        <f t="shared" si="56"/>
        <v>7.5</v>
      </c>
      <c r="N428" s="212">
        <f t="shared" si="57"/>
        <v>0</v>
      </c>
      <c r="O428" s="212">
        <f t="shared" si="58"/>
        <v>26</v>
      </c>
      <c r="P428" s="212">
        <f t="shared" si="59"/>
        <v>0</v>
      </c>
      <c r="Q428" s="212">
        <f t="shared" si="60"/>
        <v>8</v>
      </c>
      <c r="R428" s="212">
        <f t="shared" si="61"/>
        <v>34</v>
      </c>
      <c r="S428" s="286" t="s">
        <v>1883</v>
      </c>
      <c r="T428" s="313" t="s">
        <v>1882</v>
      </c>
      <c r="U428" s="280">
        <v>70</v>
      </c>
      <c r="V428" s="280">
        <v>0</v>
      </c>
      <c r="W428" s="280">
        <v>0</v>
      </c>
      <c r="X428" s="276">
        <v>44414</v>
      </c>
      <c r="Y428" s="277">
        <v>44506</v>
      </c>
      <c r="Z428" s="276">
        <v>44560</v>
      </c>
      <c r="AA428" s="273">
        <f t="shared" si="62"/>
        <v>2021</v>
      </c>
      <c r="AB428" s="273">
        <f t="shared" si="63"/>
        <v>12</v>
      </c>
      <c r="AC428" s="278" t="s">
        <v>1927</v>
      </c>
      <c r="AD428" s="278" t="s">
        <v>1832</v>
      </c>
      <c r="AE428" s="278"/>
      <c r="AF428" s="278"/>
      <c r="AG428" s="278"/>
      <c r="AH428" s="278"/>
      <c r="AI428" s="278"/>
      <c r="AJ428" s="278"/>
      <c r="AK428" s="278"/>
      <c r="AL428" s="279"/>
      <c r="AM428" s="241"/>
      <c r="AN428" s="242"/>
    </row>
    <row r="429" spans="1:40" ht="15" customHeight="1" x14ac:dyDescent="0.3">
      <c r="A429" s="185">
        <v>406</v>
      </c>
      <c r="B429" s="235" t="s">
        <v>1798</v>
      </c>
      <c r="C429" s="281" t="s">
        <v>1618</v>
      </c>
      <c r="D429" s="200" t="s">
        <v>1881</v>
      </c>
      <c r="E429" s="383"/>
      <c r="F429" s="383"/>
      <c r="G429" s="273" t="s">
        <v>1604</v>
      </c>
      <c r="H429" s="248"/>
      <c r="I429" s="317"/>
      <c r="J429" s="356">
        <v>6.5</v>
      </c>
      <c r="K429" s="317">
        <v>0</v>
      </c>
      <c r="L429" s="212">
        <v>1</v>
      </c>
      <c r="M429" s="212">
        <f t="shared" si="56"/>
        <v>7.5</v>
      </c>
      <c r="N429" s="212">
        <f t="shared" si="57"/>
        <v>0</v>
      </c>
      <c r="O429" s="212">
        <f t="shared" si="58"/>
        <v>26</v>
      </c>
      <c r="P429" s="212">
        <f t="shared" si="59"/>
        <v>0</v>
      </c>
      <c r="Q429" s="212">
        <f t="shared" si="60"/>
        <v>8</v>
      </c>
      <c r="R429" s="212">
        <f t="shared" si="61"/>
        <v>34</v>
      </c>
      <c r="S429" s="283" t="s">
        <v>1886</v>
      </c>
      <c r="T429" s="313" t="s">
        <v>1884</v>
      </c>
      <c r="U429" s="280">
        <v>85</v>
      </c>
      <c r="V429" s="280">
        <v>0</v>
      </c>
      <c r="W429" s="280">
        <v>0</v>
      </c>
      <c r="X429" s="276">
        <v>44414</v>
      </c>
      <c r="Y429" s="277">
        <v>44506</v>
      </c>
      <c r="Z429" s="276">
        <v>44560</v>
      </c>
      <c r="AA429" s="273">
        <f t="shared" si="62"/>
        <v>2021</v>
      </c>
      <c r="AB429" s="273">
        <f t="shared" si="63"/>
        <v>12</v>
      </c>
      <c r="AC429" s="278" t="s">
        <v>1927</v>
      </c>
      <c r="AD429" s="278" t="s">
        <v>1832</v>
      </c>
      <c r="AE429" s="278"/>
      <c r="AF429" s="278"/>
      <c r="AG429" s="278"/>
      <c r="AH429" s="278"/>
      <c r="AI429" s="278"/>
      <c r="AJ429" s="278"/>
      <c r="AK429" s="278"/>
      <c r="AL429" s="279"/>
      <c r="AM429" s="241"/>
      <c r="AN429" s="242"/>
    </row>
    <row r="430" spans="1:40" ht="15" customHeight="1" x14ac:dyDescent="0.3">
      <c r="A430" s="185">
        <v>407</v>
      </c>
      <c r="B430" s="235" t="s">
        <v>1799</v>
      </c>
      <c r="C430" s="281" t="s">
        <v>1618</v>
      </c>
      <c r="D430" s="200" t="s">
        <v>1881</v>
      </c>
      <c r="E430" s="383"/>
      <c r="F430" s="383"/>
      <c r="G430" s="273" t="s">
        <v>1604</v>
      </c>
      <c r="H430" s="248"/>
      <c r="I430" s="317"/>
      <c r="J430" s="356">
        <v>10</v>
      </c>
      <c r="K430" s="317">
        <v>0</v>
      </c>
      <c r="L430" s="212">
        <v>1</v>
      </c>
      <c r="M430" s="212">
        <f t="shared" si="56"/>
        <v>11</v>
      </c>
      <c r="N430" s="212">
        <f t="shared" si="57"/>
        <v>0</v>
      </c>
      <c r="O430" s="212">
        <f t="shared" si="58"/>
        <v>40</v>
      </c>
      <c r="P430" s="212">
        <f t="shared" si="59"/>
        <v>0</v>
      </c>
      <c r="Q430" s="212">
        <f t="shared" si="60"/>
        <v>8</v>
      </c>
      <c r="R430" s="212">
        <f t="shared" si="61"/>
        <v>48</v>
      </c>
      <c r="S430" s="283" t="s">
        <v>1440</v>
      </c>
      <c r="T430" s="313" t="s">
        <v>1885</v>
      </c>
      <c r="U430" s="280">
        <v>70</v>
      </c>
      <c r="V430" s="280">
        <v>0</v>
      </c>
      <c r="W430" s="280">
        <v>0</v>
      </c>
      <c r="X430" s="276">
        <v>44414</v>
      </c>
      <c r="Y430" s="277">
        <v>44506</v>
      </c>
      <c r="Z430" s="276">
        <v>44560</v>
      </c>
      <c r="AA430" s="273">
        <f t="shared" si="62"/>
        <v>2021</v>
      </c>
      <c r="AB430" s="273">
        <f t="shared" si="63"/>
        <v>12</v>
      </c>
      <c r="AC430" s="278" t="s">
        <v>1927</v>
      </c>
      <c r="AD430" s="278" t="s">
        <v>1832</v>
      </c>
      <c r="AE430" s="278"/>
      <c r="AF430" s="278"/>
      <c r="AG430" s="278"/>
      <c r="AH430" s="278"/>
      <c r="AI430" s="278"/>
      <c r="AJ430" s="278"/>
      <c r="AK430" s="278"/>
      <c r="AL430" s="279"/>
      <c r="AM430" s="241"/>
      <c r="AN430" s="242"/>
    </row>
    <row r="431" spans="1:40" ht="15" customHeight="1" x14ac:dyDescent="0.3">
      <c r="A431" s="185">
        <v>409</v>
      </c>
      <c r="B431" s="235" t="s">
        <v>1801</v>
      </c>
      <c r="C431" s="281" t="s">
        <v>1618</v>
      </c>
      <c r="D431" s="200" t="s">
        <v>1881</v>
      </c>
      <c r="E431" s="383"/>
      <c r="F431" s="383"/>
      <c r="G431" s="273" t="s">
        <v>1604</v>
      </c>
      <c r="H431" s="248" t="s">
        <v>138</v>
      </c>
      <c r="I431" s="319"/>
      <c r="J431" s="317">
        <v>14</v>
      </c>
      <c r="K431" s="317">
        <v>0</v>
      </c>
      <c r="L431" s="212">
        <v>1</v>
      </c>
      <c r="M431" s="212">
        <f t="shared" si="56"/>
        <v>15</v>
      </c>
      <c r="N431" s="212">
        <f t="shared" si="57"/>
        <v>0</v>
      </c>
      <c r="O431" s="212">
        <f t="shared" si="58"/>
        <v>56</v>
      </c>
      <c r="P431" s="212">
        <f t="shared" si="59"/>
        <v>0</v>
      </c>
      <c r="Q431" s="212">
        <f t="shared" si="60"/>
        <v>8</v>
      </c>
      <c r="R431" s="212">
        <f t="shared" si="61"/>
        <v>64</v>
      </c>
      <c r="S431" s="283" t="s">
        <v>1670</v>
      </c>
      <c r="T431" s="313" t="s">
        <v>1668</v>
      </c>
      <c r="U431" s="280">
        <v>110</v>
      </c>
      <c r="V431" s="280">
        <v>42</v>
      </c>
      <c r="W431" s="280">
        <v>0</v>
      </c>
      <c r="X431" s="276">
        <v>44414</v>
      </c>
      <c r="Y431" s="277">
        <v>44506</v>
      </c>
      <c r="Z431" s="276">
        <v>44560</v>
      </c>
      <c r="AA431" s="273">
        <f t="shared" si="62"/>
        <v>2021</v>
      </c>
      <c r="AB431" s="273">
        <f t="shared" si="63"/>
        <v>12</v>
      </c>
      <c r="AC431" s="278" t="s">
        <v>1927</v>
      </c>
      <c r="AD431" s="278" t="s">
        <v>1832</v>
      </c>
      <c r="AE431" s="278" t="s">
        <v>449</v>
      </c>
      <c r="AF431" s="278" t="s">
        <v>422</v>
      </c>
      <c r="AG431" s="278" t="s">
        <v>422</v>
      </c>
      <c r="AH431" s="278" t="s">
        <v>423</v>
      </c>
      <c r="AI431" s="278" t="s">
        <v>423</v>
      </c>
      <c r="AJ431" s="278" t="s">
        <v>423</v>
      </c>
      <c r="AK431" s="278" t="s">
        <v>423</v>
      </c>
      <c r="AL431" s="279" t="s">
        <v>138</v>
      </c>
      <c r="AM431" s="241"/>
      <c r="AN431" s="242"/>
    </row>
    <row r="432" spans="1:40" ht="15" customHeight="1" x14ac:dyDescent="0.3">
      <c r="A432" s="185">
        <v>442</v>
      </c>
      <c r="B432" s="235" t="s">
        <v>1901</v>
      </c>
      <c r="C432" s="281" t="s">
        <v>1615</v>
      </c>
      <c r="D432" s="200" t="s">
        <v>1881</v>
      </c>
      <c r="E432" s="383"/>
      <c r="F432" s="383"/>
      <c r="G432" s="273" t="s">
        <v>1604</v>
      </c>
      <c r="H432" s="248"/>
      <c r="I432" s="319"/>
      <c r="J432" s="361">
        <v>13</v>
      </c>
      <c r="K432" s="317">
        <v>0</v>
      </c>
      <c r="L432" s="212">
        <v>1</v>
      </c>
      <c r="M432" s="212">
        <f t="shared" si="56"/>
        <v>14</v>
      </c>
      <c r="N432" s="212">
        <f t="shared" si="57"/>
        <v>0</v>
      </c>
      <c r="O432" s="212">
        <f t="shared" si="58"/>
        <v>52</v>
      </c>
      <c r="P432" s="212">
        <f t="shared" si="59"/>
        <v>0</v>
      </c>
      <c r="Q432" s="212">
        <f t="shared" si="60"/>
        <v>8</v>
      </c>
      <c r="R432" s="212">
        <f t="shared" si="61"/>
        <v>60</v>
      </c>
      <c r="S432" s="384" t="s">
        <v>1904</v>
      </c>
      <c r="T432" s="284" t="s">
        <v>1081</v>
      </c>
      <c r="U432" s="280">
        <v>160</v>
      </c>
      <c r="V432" s="280">
        <v>0</v>
      </c>
      <c r="W432" s="280">
        <v>0</v>
      </c>
      <c r="X432" s="276">
        <v>44488</v>
      </c>
      <c r="Y432" s="277">
        <v>44531</v>
      </c>
      <c r="Z432" s="276">
        <v>44560</v>
      </c>
      <c r="AA432" s="273">
        <f t="shared" si="62"/>
        <v>2021</v>
      </c>
      <c r="AB432" s="273">
        <f t="shared" si="63"/>
        <v>12</v>
      </c>
      <c r="AC432" s="278" t="s">
        <v>1950</v>
      </c>
      <c r="AD432" s="278" t="s">
        <v>422</v>
      </c>
      <c r="AE432" s="278" t="s">
        <v>422</v>
      </c>
      <c r="AF432" s="278" t="s">
        <v>449</v>
      </c>
      <c r="AG432" s="278" t="s">
        <v>449</v>
      </c>
      <c r="AH432" s="278" t="s">
        <v>449</v>
      </c>
      <c r="AI432" s="278" t="s">
        <v>423</v>
      </c>
      <c r="AJ432" s="278" t="s">
        <v>423</v>
      </c>
      <c r="AK432" s="278" t="s">
        <v>423</v>
      </c>
      <c r="AL432" s="279"/>
      <c r="AM432" s="33"/>
      <c r="AN432" s="33"/>
    </row>
    <row r="433" spans="1:40" ht="15" customHeight="1" x14ac:dyDescent="0.3">
      <c r="A433" s="185">
        <v>443</v>
      </c>
      <c r="B433" s="235" t="s">
        <v>1903</v>
      </c>
      <c r="C433" s="281" t="s">
        <v>1615</v>
      </c>
      <c r="D433" s="200" t="s">
        <v>1881</v>
      </c>
      <c r="E433" s="383"/>
      <c r="F433" s="383"/>
      <c r="G433" s="273" t="s">
        <v>1604</v>
      </c>
      <c r="H433" s="248"/>
      <c r="I433" s="317"/>
      <c r="J433" s="361">
        <v>14</v>
      </c>
      <c r="K433" s="317">
        <v>0</v>
      </c>
      <c r="L433" s="212">
        <v>1</v>
      </c>
      <c r="M433" s="212">
        <f t="shared" si="56"/>
        <v>15</v>
      </c>
      <c r="N433" s="212">
        <f t="shared" si="57"/>
        <v>0</v>
      </c>
      <c r="O433" s="212">
        <f t="shared" si="58"/>
        <v>56</v>
      </c>
      <c r="P433" s="212">
        <f t="shared" si="59"/>
        <v>0</v>
      </c>
      <c r="Q433" s="212">
        <f t="shared" si="60"/>
        <v>8</v>
      </c>
      <c r="R433" s="212">
        <f t="shared" si="61"/>
        <v>64</v>
      </c>
      <c r="S433" s="384" t="s">
        <v>1905</v>
      </c>
      <c r="T433" s="284" t="s">
        <v>1082</v>
      </c>
      <c r="U433" s="280">
        <v>79</v>
      </c>
      <c r="V433" s="280">
        <v>0</v>
      </c>
      <c r="W433" s="280">
        <v>0</v>
      </c>
      <c r="X433" s="276">
        <v>44488</v>
      </c>
      <c r="Y433" s="277">
        <v>44531</v>
      </c>
      <c r="Z433" s="276">
        <v>44560</v>
      </c>
      <c r="AA433" s="273">
        <f t="shared" si="62"/>
        <v>2021</v>
      </c>
      <c r="AB433" s="273">
        <f t="shared" si="63"/>
        <v>12</v>
      </c>
      <c r="AC433" s="278" t="s">
        <v>1950</v>
      </c>
      <c r="AD433" s="278" t="s">
        <v>422</v>
      </c>
      <c r="AE433" s="278" t="s">
        <v>422</v>
      </c>
      <c r="AF433" s="278" t="s">
        <v>449</v>
      </c>
      <c r="AG433" s="278" t="s">
        <v>449</v>
      </c>
      <c r="AH433" s="278" t="s">
        <v>449</v>
      </c>
      <c r="AI433" s="278" t="s">
        <v>423</v>
      </c>
      <c r="AJ433" s="278" t="s">
        <v>423</v>
      </c>
      <c r="AK433" s="278" t="s">
        <v>423</v>
      </c>
      <c r="AL433" s="279"/>
      <c r="AM433" s="241"/>
      <c r="AN433" s="242"/>
    </row>
    <row r="434" spans="1:40" ht="15" customHeight="1" x14ac:dyDescent="0.3">
      <c r="A434" s="185">
        <v>444</v>
      </c>
      <c r="B434" s="235" t="s">
        <v>1902</v>
      </c>
      <c r="C434" s="281" t="s">
        <v>1615</v>
      </c>
      <c r="D434" s="200" t="s">
        <v>1881</v>
      </c>
      <c r="E434" s="383"/>
      <c r="F434" s="383" t="s">
        <v>422</v>
      </c>
      <c r="G434" s="273" t="s">
        <v>1604</v>
      </c>
      <c r="H434" s="248"/>
      <c r="I434" s="317">
        <v>2</v>
      </c>
      <c r="J434" s="361">
        <v>15</v>
      </c>
      <c r="K434" s="317">
        <v>0</v>
      </c>
      <c r="L434" s="212">
        <v>1</v>
      </c>
      <c r="M434" s="212">
        <f t="shared" si="56"/>
        <v>18</v>
      </c>
      <c r="N434" s="212">
        <f t="shared" si="57"/>
        <v>16</v>
      </c>
      <c r="O434" s="212">
        <f t="shared" si="58"/>
        <v>60</v>
      </c>
      <c r="P434" s="212">
        <f t="shared" si="59"/>
        <v>0</v>
      </c>
      <c r="Q434" s="212">
        <f t="shared" si="60"/>
        <v>8</v>
      </c>
      <c r="R434" s="212">
        <f t="shared" si="61"/>
        <v>84</v>
      </c>
      <c r="S434" s="384" t="s">
        <v>1907</v>
      </c>
      <c r="T434" s="284" t="s">
        <v>1299</v>
      </c>
      <c r="U434" s="280">
        <v>162</v>
      </c>
      <c r="V434" s="280">
        <v>0</v>
      </c>
      <c r="W434" s="280">
        <v>0</v>
      </c>
      <c r="X434" s="276">
        <v>44488</v>
      </c>
      <c r="Y434" s="277">
        <v>44531</v>
      </c>
      <c r="Z434" s="276">
        <v>44560</v>
      </c>
      <c r="AA434" s="273">
        <f t="shared" si="62"/>
        <v>2021</v>
      </c>
      <c r="AB434" s="273">
        <f t="shared" si="63"/>
        <v>12</v>
      </c>
      <c r="AC434" s="278" t="s">
        <v>1951</v>
      </c>
      <c r="AD434" s="278" t="s">
        <v>422</v>
      </c>
      <c r="AE434" s="278" t="s">
        <v>422</v>
      </c>
      <c r="AF434" s="278" t="s">
        <v>422</v>
      </c>
      <c r="AG434" s="278" t="s">
        <v>449</v>
      </c>
      <c r="AH434" s="278" t="s">
        <v>449</v>
      </c>
      <c r="AI434" s="278" t="s">
        <v>423</v>
      </c>
      <c r="AJ434" s="278" t="s">
        <v>423</v>
      </c>
      <c r="AK434" s="278" t="s">
        <v>423</v>
      </c>
      <c r="AL434" s="279" t="s">
        <v>140</v>
      </c>
      <c r="AM434" s="241"/>
      <c r="AN434" s="242"/>
    </row>
    <row r="435" spans="1:40" ht="15" customHeight="1" x14ac:dyDescent="0.3">
      <c r="A435" s="185">
        <v>445</v>
      </c>
      <c r="B435" s="235" t="s">
        <v>1906</v>
      </c>
      <c r="C435" s="281" t="s">
        <v>1615</v>
      </c>
      <c r="D435" s="200" t="s">
        <v>1881</v>
      </c>
      <c r="E435" s="383"/>
      <c r="F435" s="383"/>
      <c r="G435" s="273" t="s">
        <v>1604</v>
      </c>
      <c r="H435" s="248"/>
      <c r="I435" s="317"/>
      <c r="J435" s="361">
        <v>7</v>
      </c>
      <c r="K435" s="317">
        <v>0</v>
      </c>
      <c r="L435" s="212">
        <v>1</v>
      </c>
      <c r="M435" s="212">
        <f t="shared" si="56"/>
        <v>8</v>
      </c>
      <c r="N435" s="212">
        <f t="shared" si="57"/>
        <v>0</v>
      </c>
      <c r="O435" s="212">
        <f t="shared" si="58"/>
        <v>28</v>
      </c>
      <c r="P435" s="212">
        <f t="shared" si="59"/>
        <v>0</v>
      </c>
      <c r="Q435" s="212">
        <f t="shared" si="60"/>
        <v>8</v>
      </c>
      <c r="R435" s="212">
        <f t="shared" si="61"/>
        <v>36</v>
      </c>
      <c r="S435" s="384" t="s">
        <v>1908</v>
      </c>
      <c r="T435" s="284" t="s">
        <v>1909</v>
      </c>
      <c r="U435" s="280">
        <v>60</v>
      </c>
      <c r="V435" s="280">
        <v>0</v>
      </c>
      <c r="W435" s="280">
        <v>0</v>
      </c>
      <c r="X435" s="276">
        <v>44488</v>
      </c>
      <c r="Y435" s="277">
        <v>44531</v>
      </c>
      <c r="Z435" s="276">
        <v>44560</v>
      </c>
      <c r="AA435" s="273">
        <f t="shared" si="62"/>
        <v>2021</v>
      </c>
      <c r="AB435" s="273">
        <f t="shared" si="63"/>
        <v>12</v>
      </c>
      <c r="AC435" s="278" t="s">
        <v>1927</v>
      </c>
      <c r="AD435" s="278" t="s">
        <v>449</v>
      </c>
      <c r="AE435" s="278" t="s">
        <v>422</v>
      </c>
      <c r="AF435" s="278" t="s">
        <v>422</v>
      </c>
      <c r="AG435" s="278" t="s">
        <v>449</v>
      </c>
      <c r="AH435" s="278" t="s">
        <v>449</v>
      </c>
      <c r="AI435" s="278" t="s">
        <v>423</v>
      </c>
      <c r="AJ435" s="278" t="s">
        <v>423</v>
      </c>
      <c r="AK435" s="278" t="s">
        <v>423</v>
      </c>
      <c r="AL435" s="279"/>
      <c r="AM435" s="241"/>
      <c r="AN435" s="242"/>
    </row>
    <row r="436" spans="1:40" ht="15" customHeight="1" x14ac:dyDescent="0.3">
      <c r="A436" s="185">
        <v>446</v>
      </c>
      <c r="B436" s="235" t="s">
        <v>1913</v>
      </c>
      <c r="C436" s="281" t="s">
        <v>1615</v>
      </c>
      <c r="D436" s="200" t="s">
        <v>1881</v>
      </c>
      <c r="E436" s="383"/>
      <c r="F436" s="383" t="s">
        <v>422</v>
      </c>
      <c r="G436" s="273" t="s">
        <v>1604</v>
      </c>
      <c r="H436" s="248" t="s">
        <v>1596</v>
      </c>
      <c r="I436" s="317">
        <v>2.5</v>
      </c>
      <c r="J436" s="317">
        <v>14</v>
      </c>
      <c r="K436" s="317">
        <v>0</v>
      </c>
      <c r="L436" s="212">
        <v>1</v>
      </c>
      <c r="M436" s="212">
        <f t="shared" si="56"/>
        <v>17.5</v>
      </c>
      <c r="N436" s="212">
        <f t="shared" si="57"/>
        <v>20</v>
      </c>
      <c r="O436" s="212">
        <f t="shared" si="58"/>
        <v>56</v>
      </c>
      <c r="P436" s="212">
        <f t="shared" si="59"/>
        <v>0</v>
      </c>
      <c r="Q436" s="212">
        <f t="shared" si="60"/>
        <v>8</v>
      </c>
      <c r="R436" s="212">
        <f t="shared" si="61"/>
        <v>84</v>
      </c>
      <c r="S436" s="384" t="s">
        <v>1914</v>
      </c>
      <c r="T436" s="284" t="s">
        <v>1637</v>
      </c>
      <c r="U436" s="280">
        <v>92</v>
      </c>
      <c r="V436" s="280">
        <v>0</v>
      </c>
      <c r="W436" s="280">
        <v>0</v>
      </c>
      <c r="X436" s="276">
        <v>44488</v>
      </c>
      <c r="Y436" s="277">
        <v>44531</v>
      </c>
      <c r="Z436" s="276">
        <v>44560</v>
      </c>
      <c r="AA436" s="273">
        <f t="shared" si="62"/>
        <v>2021</v>
      </c>
      <c r="AB436" s="273">
        <f t="shared" si="63"/>
        <v>12</v>
      </c>
      <c r="AC436" s="278" t="s">
        <v>310</v>
      </c>
      <c r="AD436" s="278" t="s">
        <v>422</v>
      </c>
      <c r="AE436" s="278" t="s">
        <v>422</v>
      </c>
      <c r="AF436" s="278" t="s">
        <v>422</v>
      </c>
      <c r="AG436" s="278" t="s">
        <v>449</v>
      </c>
      <c r="AH436" s="278" t="s">
        <v>449</v>
      </c>
      <c r="AI436" s="278" t="s">
        <v>423</v>
      </c>
      <c r="AJ436" s="278" t="s">
        <v>449</v>
      </c>
      <c r="AK436" s="278" t="s">
        <v>423</v>
      </c>
      <c r="AL436" s="279" t="s">
        <v>1911</v>
      </c>
      <c r="AM436" s="33"/>
      <c r="AN436" s="33"/>
    </row>
    <row r="437" spans="1:40" ht="15" customHeight="1" x14ac:dyDescent="0.3">
      <c r="B437" s="235"/>
      <c r="C437" s="281"/>
      <c r="D437" s="200"/>
      <c r="E437" s="383"/>
      <c r="F437" s="383"/>
      <c r="G437" s="273"/>
      <c r="H437" s="248"/>
      <c r="I437" s="317"/>
      <c r="J437" s="317"/>
      <c r="K437" s="317"/>
      <c r="L437" s="212"/>
      <c r="M437" s="212">
        <f t="shared" si="56"/>
        <v>0</v>
      </c>
      <c r="N437" s="212"/>
      <c r="O437" s="212"/>
      <c r="P437" s="212"/>
      <c r="Q437" s="212"/>
      <c r="R437" s="212"/>
      <c r="S437" s="384"/>
      <c r="T437" s="284"/>
      <c r="U437" s="280"/>
      <c r="V437" s="280"/>
      <c r="W437" s="280"/>
      <c r="X437" s="276"/>
      <c r="Y437" s="277"/>
      <c r="Z437" s="276"/>
      <c r="AA437" s="273"/>
      <c r="AB437" s="273"/>
      <c r="AC437" s="278"/>
      <c r="AD437" s="278"/>
      <c r="AE437" s="278"/>
      <c r="AF437" s="278"/>
      <c r="AG437" s="278"/>
      <c r="AH437" s="278"/>
      <c r="AI437" s="278"/>
      <c r="AJ437" s="278"/>
      <c r="AK437" s="278"/>
      <c r="AL437" s="279"/>
      <c r="AM437" s="33"/>
      <c r="AN437" s="33"/>
    </row>
    <row r="438" spans="1:40" ht="15" customHeight="1" x14ac:dyDescent="0.3">
      <c r="B438" s="235"/>
      <c r="C438" s="281"/>
      <c r="D438" s="200"/>
      <c r="E438" s="383"/>
      <c r="F438" s="383"/>
      <c r="G438" s="273"/>
      <c r="H438" s="248"/>
      <c r="I438" s="317"/>
      <c r="J438" s="317"/>
      <c r="K438" s="317"/>
      <c r="L438" s="212"/>
      <c r="M438" s="212">
        <f t="shared" si="56"/>
        <v>0</v>
      </c>
      <c r="N438" s="212"/>
      <c r="O438" s="212"/>
      <c r="P438" s="212"/>
      <c r="Q438" s="212"/>
      <c r="R438" s="212"/>
      <c r="S438" s="384"/>
      <c r="T438" s="284"/>
      <c r="U438" s="280"/>
      <c r="V438" s="280"/>
      <c r="W438" s="280"/>
      <c r="X438" s="276"/>
      <c r="Y438" s="277"/>
      <c r="Z438" s="276"/>
      <c r="AA438" s="273"/>
      <c r="AB438" s="273"/>
      <c r="AC438" s="278"/>
      <c r="AD438" s="278"/>
      <c r="AE438" s="278"/>
      <c r="AF438" s="278"/>
      <c r="AG438" s="278"/>
      <c r="AH438" s="278"/>
      <c r="AI438" s="278"/>
      <c r="AJ438" s="278"/>
      <c r="AK438" s="278"/>
      <c r="AL438" s="279"/>
      <c r="AM438" s="33"/>
      <c r="AN438" s="33"/>
    </row>
    <row r="439" spans="1:40" ht="15" customHeight="1" x14ac:dyDescent="0.3">
      <c r="B439" s="235"/>
      <c r="C439" s="281"/>
      <c r="D439" s="200"/>
      <c r="E439" s="383"/>
      <c r="F439" s="383"/>
      <c r="G439" s="273"/>
      <c r="H439" s="248"/>
      <c r="I439" s="317"/>
      <c r="J439" s="317"/>
      <c r="K439" s="317"/>
      <c r="L439" s="212"/>
      <c r="M439" s="212">
        <f t="shared" si="56"/>
        <v>0</v>
      </c>
      <c r="N439" s="212"/>
      <c r="O439" s="212"/>
      <c r="P439" s="212"/>
      <c r="Q439" s="212"/>
      <c r="R439" s="212"/>
      <c r="S439" s="384"/>
      <c r="T439" s="284"/>
      <c r="U439" s="280"/>
      <c r="V439" s="280"/>
      <c r="W439" s="280"/>
      <c r="X439" s="276"/>
      <c r="Y439" s="277"/>
      <c r="Z439" s="276"/>
      <c r="AA439" s="273"/>
      <c r="AB439" s="273"/>
      <c r="AC439" s="278"/>
      <c r="AD439" s="278"/>
      <c r="AE439" s="278"/>
      <c r="AF439" s="278"/>
      <c r="AG439" s="278"/>
      <c r="AH439" s="278"/>
      <c r="AI439" s="278"/>
      <c r="AJ439" s="278"/>
      <c r="AK439" s="278"/>
      <c r="AL439" s="279"/>
      <c r="AM439" s="33"/>
      <c r="AN439" s="33"/>
    </row>
    <row r="440" spans="1:40" ht="15" customHeight="1" x14ac:dyDescent="0.3">
      <c r="B440" s="235"/>
      <c r="C440" s="281"/>
      <c r="D440" s="200"/>
      <c r="E440" s="383"/>
      <c r="F440" s="383"/>
      <c r="G440" s="273"/>
      <c r="H440" s="248"/>
      <c r="I440" s="317"/>
      <c r="J440" s="317"/>
      <c r="K440" s="317"/>
      <c r="L440" s="212"/>
      <c r="M440" s="212">
        <f t="shared" si="56"/>
        <v>0</v>
      </c>
      <c r="N440" s="212"/>
      <c r="O440" s="212"/>
      <c r="P440" s="212"/>
      <c r="Q440" s="212"/>
      <c r="R440" s="212"/>
      <c r="S440" s="384"/>
      <c r="T440" s="284"/>
      <c r="U440" s="280"/>
      <c r="V440" s="280"/>
      <c r="W440" s="280"/>
      <c r="X440" s="276"/>
      <c r="Y440" s="277"/>
      <c r="Z440" s="276"/>
      <c r="AA440" s="273"/>
      <c r="AB440" s="273"/>
      <c r="AC440" s="278"/>
      <c r="AD440" s="278"/>
      <c r="AE440" s="278"/>
      <c r="AF440" s="278"/>
      <c r="AG440" s="278"/>
      <c r="AH440" s="278"/>
      <c r="AI440" s="278"/>
      <c r="AJ440" s="278"/>
      <c r="AK440" s="278"/>
      <c r="AL440" s="279"/>
      <c r="AM440" s="33"/>
      <c r="AN440" s="33"/>
    </row>
    <row r="441" spans="1:40" ht="15" customHeight="1" x14ac:dyDescent="0.3">
      <c r="B441" s="235"/>
      <c r="C441" s="281"/>
      <c r="D441" s="200"/>
      <c r="E441" s="383"/>
      <c r="F441" s="383"/>
      <c r="G441" s="273"/>
      <c r="H441" s="248"/>
      <c r="I441" s="317"/>
      <c r="J441" s="317"/>
      <c r="K441" s="317"/>
      <c r="L441" s="212"/>
      <c r="M441" s="212">
        <f t="shared" si="56"/>
        <v>0</v>
      </c>
      <c r="N441" s="212"/>
      <c r="O441" s="212"/>
      <c r="P441" s="212"/>
      <c r="Q441" s="212"/>
      <c r="R441" s="212"/>
      <c r="S441" s="384"/>
      <c r="T441" s="284"/>
      <c r="U441" s="280"/>
      <c r="V441" s="280"/>
      <c r="W441" s="280"/>
      <c r="X441" s="276"/>
      <c r="Y441" s="277"/>
      <c r="Z441" s="276"/>
      <c r="AA441" s="273"/>
      <c r="AB441" s="273"/>
      <c r="AC441" s="278"/>
      <c r="AD441" s="278"/>
      <c r="AE441" s="278"/>
      <c r="AF441" s="278"/>
      <c r="AG441" s="278"/>
      <c r="AH441" s="278"/>
      <c r="AI441" s="278"/>
      <c r="AJ441" s="278"/>
      <c r="AK441" s="278"/>
      <c r="AL441" s="279"/>
      <c r="AM441" s="33"/>
      <c r="AN441" s="33"/>
    </row>
    <row r="442" spans="1:40" ht="15" customHeight="1" x14ac:dyDescent="0.3">
      <c r="B442" s="235"/>
      <c r="C442" s="281"/>
      <c r="D442" s="200"/>
      <c r="E442" s="383"/>
      <c r="F442" s="383"/>
      <c r="G442" s="273"/>
      <c r="H442" s="248"/>
      <c r="I442" s="317"/>
      <c r="J442" s="317"/>
      <c r="K442" s="317"/>
      <c r="L442" s="212"/>
      <c r="M442" s="212">
        <f t="shared" si="56"/>
        <v>0</v>
      </c>
      <c r="N442" s="212"/>
      <c r="O442" s="212"/>
      <c r="P442" s="212"/>
      <c r="Q442" s="212"/>
      <c r="R442" s="212"/>
      <c r="S442" s="384"/>
      <c r="T442" s="284"/>
      <c r="U442" s="280"/>
      <c r="V442" s="280"/>
      <c r="W442" s="280"/>
      <c r="X442" s="276"/>
      <c r="Y442" s="277"/>
      <c r="Z442" s="276"/>
      <c r="AA442" s="273"/>
      <c r="AB442" s="273"/>
      <c r="AC442" s="278"/>
      <c r="AD442" s="278"/>
      <c r="AE442" s="278"/>
      <c r="AF442" s="278"/>
      <c r="AG442" s="278"/>
      <c r="AH442" s="278"/>
      <c r="AI442" s="278"/>
      <c r="AJ442" s="278"/>
      <c r="AK442" s="278"/>
      <c r="AL442" s="279"/>
      <c r="AM442" s="33"/>
      <c r="AN442" s="33"/>
    </row>
    <row r="443" spans="1:40" ht="15" customHeight="1" x14ac:dyDescent="0.3">
      <c r="B443" s="235"/>
      <c r="C443" s="281"/>
      <c r="D443" s="200"/>
      <c r="E443" s="383"/>
      <c r="F443" s="383"/>
      <c r="G443" s="273"/>
      <c r="H443" s="248"/>
      <c r="I443" s="317"/>
      <c r="J443" s="317"/>
      <c r="K443" s="317"/>
      <c r="L443" s="212"/>
      <c r="M443" s="212">
        <f t="shared" si="56"/>
        <v>0</v>
      </c>
      <c r="N443" s="212"/>
      <c r="O443" s="212"/>
      <c r="P443" s="212"/>
      <c r="Q443" s="212"/>
      <c r="R443" s="212"/>
      <c r="S443" s="384"/>
      <c r="T443" s="284"/>
      <c r="U443" s="280"/>
      <c r="V443" s="280"/>
      <c r="W443" s="280"/>
      <c r="X443" s="276"/>
      <c r="Y443" s="277"/>
      <c r="Z443" s="276"/>
      <c r="AA443" s="273"/>
      <c r="AB443" s="273"/>
      <c r="AC443" s="278"/>
      <c r="AD443" s="278"/>
      <c r="AE443" s="278"/>
      <c r="AF443" s="278"/>
      <c r="AG443" s="278"/>
      <c r="AH443" s="278"/>
      <c r="AI443" s="278"/>
      <c r="AJ443" s="278"/>
      <c r="AK443" s="278"/>
      <c r="AL443" s="279"/>
      <c r="AM443" s="33"/>
      <c r="AN443" s="33"/>
    </row>
    <row r="444" spans="1:40" ht="15" customHeight="1" x14ac:dyDescent="0.3">
      <c r="B444" s="235"/>
      <c r="C444" s="281"/>
      <c r="D444" s="200"/>
      <c r="E444" s="383"/>
      <c r="F444" s="383"/>
      <c r="G444" s="273"/>
      <c r="H444" s="248"/>
      <c r="I444" s="317"/>
      <c r="J444" s="317"/>
      <c r="K444" s="317"/>
      <c r="L444" s="212"/>
      <c r="M444" s="212">
        <f t="shared" si="56"/>
        <v>0</v>
      </c>
      <c r="N444" s="212"/>
      <c r="O444" s="212"/>
      <c r="P444" s="212"/>
      <c r="Q444" s="212"/>
      <c r="R444" s="212"/>
      <c r="S444" s="384"/>
      <c r="T444" s="284"/>
      <c r="U444" s="280"/>
      <c r="V444" s="280"/>
      <c r="W444" s="280"/>
      <c r="X444" s="276"/>
      <c r="Y444" s="277"/>
      <c r="Z444" s="276"/>
      <c r="AA444" s="273"/>
      <c r="AB444" s="273"/>
      <c r="AC444" s="278"/>
      <c r="AD444" s="278"/>
      <c r="AE444" s="278"/>
      <c r="AF444" s="278"/>
      <c r="AG444" s="278"/>
      <c r="AH444" s="278"/>
      <c r="AI444" s="278"/>
      <c r="AJ444" s="278"/>
      <c r="AK444" s="278"/>
      <c r="AL444" s="279"/>
      <c r="AM444" s="33"/>
      <c r="AN444" s="33"/>
    </row>
    <row r="445" spans="1:40" ht="15" customHeight="1" x14ac:dyDescent="0.3">
      <c r="B445" s="235"/>
      <c r="C445" s="281"/>
      <c r="D445" s="200"/>
      <c r="E445" s="383"/>
      <c r="F445" s="383"/>
      <c r="G445" s="273"/>
      <c r="H445" s="248"/>
      <c r="I445" s="317"/>
      <c r="J445" s="317"/>
      <c r="K445" s="317"/>
      <c r="L445" s="212"/>
      <c r="M445" s="212">
        <f t="shared" si="56"/>
        <v>0</v>
      </c>
      <c r="N445" s="212"/>
      <c r="O445" s="212"/>
      <c r="P445" s="212"/>
      <c r="Q445" s="212"/>
      <c r="R445" s="212"/>
      <c r="S445" s="384"/>
      <c r="T445" s="284"/>
      <c r="U445" s="280"/>
      <c r="V445" s="280"/>
      <c r="W445" s="280"/>
      <c r="X445" s="276"/>
      <c r="Y445" s="277"/>
      <c r="Z445" s="276"/>
      <c r="AA445" s="273"/>
      <c r="AB445" s="273"/>
      <c r="AC445" s="278"/>
      <c r="AD445" s="278"/>
      <c r="AE445" s="278"/>
      <c r="AF445" s="278"/>
      <c r="AG445" s="278"/>
      <c r="AH445" s="278"/>
      <c r="AI445" s="278"/>
      <c r="AJ445" s="278"/>
      <c r="AK445" s="278"/>
      <c r="AL445" s="279"/>
      <c r="AM445" s="33"/>
      <c r="AN445" s="33"/>
    </row>
    <row r="446" spans="1:40" ht="15" customHeight="1" x14ac:dyDescent="0.3">
      <c r="B446" s="235"/>
      <c r="C446" s="281"/>
      <c r="D446" s="200"/>
      <c r="E446" s="383"/>
      <c r="F446" s="383"/>
      <c r="G446" s="273"/>
      <c r="H446" s="248"/>
      <c r="I446" s="317"/>
      <c r="J446" s="317"/>
      <c r="K446" s="317"/>
      <c r="L446" s="212"/>
      <c r="M446" s="212">
        <f t="shared" si="56"/>
        <v>0</v>
      </c>
      <c r="N446" s="212"/>
      <c r="O446" s="212"/>
      <c r="P446" s="212"/>
      <c r="Q446" s="212"/>
      <c r="R446" s="212"/>
      <c r="S446" s="384"/>
      <c r="T446" s="284"/>
      <c r="U446" s="280"/>
      <c r="V446" s="280"/>
      <c r="W446" s="280"/>
      <c r="X446" s="276"/>
      <c r="Y446" s="277"/>
      <c r="Z446" s="276"/>
      <c r="AA446" s="273"/>
      <c r="AB446" s="273"/>
      <c r="AC446" s="278"/>
      <c r="AD446" s="278"/>
      <c r="AE446" s="278"/>
      <c r="AF446" s="278"/>
      <c r="AG446" s="278"/>
      <c r="AH446" s="278"/>
      <c r="AI446" s="278"/>
      <c r="AJ446" s="278"/>
      <c r="AK446" s="278"/>
      <c r="AL446" s="279"/>
      <c r="AM446" s="33"/>
      <c r="AN446" s="33"/>
    </row>
    <row r="447" spans="1:40" ht="15" customHeight="1" x14ac:dyDescent="0.3">
      <c r="A447" s="185">
        <v>415</v>
      </c>
      <c r="B447" s="235" t="s">
        <v>1807</v>
      </c>
      <c r="C447" s="281" t="s">
        <v>1616</v>
      </c>
      <c r="D447" s="281" t="s">
        <v>1848</v>
      </c>
      <c r="E447" s="383"/>
      <c r="F447" s="383" t="s">
        <v>1601</v>
      </c>
      <c r="G447" s="370" t="s">
        <v>1596</v>
      </c>
      <c r="H447" s="248" t="s">
        <v>1533</v>
      </c>
      <c r="I447" s="317">
        <v>2</v>
      </c>
      <c r="J447" s="317">
        <v>9.5</v>
      </c>
      <c r="K447" s="317">
        <v>12</v>
      </c>
      <c r="L447" s="212">
        <v>1</v>
      </c>
      <c r="M447" s="212">
        <f t="shared" si="56"/>
        <v>24.5</v>
      </c>
      <c r="N447" s="212">
        <f t="shared" si="57"/>
        <v>16</v>
      </c>
      <c r="O447" s="212">
        <f t="shared" si="58"/>
        <v>38</v>
      </c>
      <c r="P447" s="212">
        <f t="shared" si="59"/>
        <v>80</v>
      </c>
      <c r="Q447" s="212">
        <f t="shared" si="60"/>
        <v>8</v>
      </c>
      <c r="R447" s="212">
        <f t="shared" si="61"/>
        <v>142</v>
      </c>
      <c r="S447" s="384" t="s">
        <v>1560</v>
      </c>
      <c r="T447" s="384" t="s">
        <v>1559</v>
      </c>
      <c r="U447" s="280">
        <v>240</v>
      </c>
      <c r="V447" s="280">
        <v>244</v>
      </c>
      <c r="W447" s="280">
        <v>244</v>
      </c>
      <c r="X447" s="276">
        <v>44434</v>
      </c>
      <c r="Y447" s="277">
        <v>44568</v>
      </c>
      <c r="Z447" s="276">
        <v>44568</v>
      </c>
      <c r="AA447" s="273">
        <f t="shared" si="62"/>
        <v>2022</v>
      </c>
      <c r="AB447" s="273">
        <f t="shared" si="63"/>
        <v>1</v>
      </c>
      <c r="AC447" s="278" t="s">
        <v>310</v>
      </c>
      <c r="AD447" s="278" t="s">
        <v>422</v>
      </c>
      <c r="AE447" s="278" t="s">
        <v>422</v>
      </c>
      <c r="AF447" s="278" t="s">
        <v>422</v>
      </c>
      <c r="AG447" s="278" t="s">
        <v>422</v>
      </c>
      <c r="AH447" s="278" t="s">
        <v>422</v>
      </c>
      <c r="AI447" s="278" t="s">
        <v>449</v>
      </c>
      <c r="AJ447" s="278" t="s">
        <v>449</v>
      </c>
      <c r="AK447" s="278" t="s">
        <v>449</v>
      </c>
      <c r="AL447" s="279" t="s">
        <v>1424</v>
      </c>
      <c r="AM447" s="241"/>
      <c r="AN447" s="242"/>
    </row>
    <row r="448" spans="1:40" ht="15" customHeight="1" x14ac:dyDescent="0.3">
      <c r="A448" s="185">
        <v>416</v>
      </c>
      <c r="B448" s="235" t="s">
        <v>1808</v>
      </c>
      <c r="C448" s="281" t="s">
        <v>1616</v>
      </c>
      <c r="D448" s="281" t="s">
        <v>1848</v>
      </c>
      <c r="E448" s="383"/>
      <c r="F448" s="383" t="s">
        <v>1597</v>
      </c>
      <c r="G448" s="370" t="s">
        <v>1596</v>
      </c>
      <c r="H448" s="248" t="s">
        <v>1533</v>
      </c>
      <c r="I448" s="317"/>
      <c r="J448" s="317">
        <v>9.5</v>
      </c>
      <c r="K448" s="317">
        <v>10</v>
      </c>
      <c r="L448" s="212">
        <v>1</v>
      </c>
      <c r="M448" s="212">
        <f t="shared" si="56"/>
        <v>20.5</v>
      </c>
      <c r="N448" s="212">
        <f t="shared" si="57"/>
        <v>0</v>
      </c>
      <c r="O448" s="212">
        <f t="shared" si="58"/>
        <v>38</v>
      </c>
      <c r="P448" s="212">
        <f t="shared" si="59"/>
        <v>66.666666666666671</v>
      </c>
      <c r="Q448" s="212">
        <f t="shared" si="60"/>
        <v>8</v>
      </c>
      <c r="R448" s="212">
        <f t="shared" si="61"/>
        <v>112.66666666666667</v>
      </c>
      <c r="S448" s="384" t="s">
        <v>1567</v>
      </c>
      <c r="T448" s="384" t="s">
        <v>1571</v>
      </c>
      <c r="U448" s="280">
        <v>226</v>
      </c>
      <c r="V448" s="280">
        <v>230</v>
      </c>
      <c r="W448" s="280">
        <v>230</v>
      </c>
      <c r="X448" s="276">
        <v>44434</v>
      </c>
      <c r="Y448" s="277">
        <v>44568</v>
      </c>
      <c r="Z448" s="276">
        <v>44568</v>
      </c>
      <c r="AA448" s="273">
        <f t="shared" si="62"/>
        <v>2022</v>
      </c>
      <c r="AB448" s="273">
        <f t="shared" si="63"/>
        <v>1</v>
      </c>
      <c r="AC448" s="278" t="s">
        <v>310</v>
      </c>
      <c r="AD448" s="278" t="s">
        <v>422</v>
      </c>
      <c r="AE448" s="278" t="s">
        <v>422</v>
      </c>
      <c r="AF448" s="278" t="s">
        <v>422</v>
      </c>
      <c r="AG448" s="278" t="s">
        <v>422</v>
      </c>
      <c r="AH448" s="278" t="s">
        <v>422</v>
      </c>
      <c r="AI448" s="278" t="s">
        <v>449</v>
      </c>
      <c r="AJ448" s="278" t="s">
        <v>449</v>
      </c>
      <c r="AK448" s="278" t="s">
        <v>449</v>
      </c>
      <c r="AL448" s="279" t="s">
        <v>1424</v>
      </c>
      <c r="AM448" s="241"/>
      <c r="AN448" s="242"/>
    </row>
    <row r="449" spans="1:40" ht="15" customHeight="1" x14ac:dyDescent="0.3">
      <c r="A449" s="185">
        <v>417</v>
      </c>
      <c r="B449" s="235" t="s">
        <v>1809</v>
      </c>
      <c r="C449" s="281" t="s">
        <v>1616</v>
      </c>
      <c r="D449" s="281" t="s">
        <v>1848</v>
      </c>
      <c r="E449" s="383"/>
      <c r="F449" s="383" t="s">
        <v>1601</v>
      </c>
      <c r="G449" s="370" t="s">
        <v>1596</v>
      </c>
      <c r="H449" s="248" t="s">
        <v>1948</v>
      </c>
      <c r="I449" s="317">
        <v>1.5</v>
      </c>
      <c r="J449" s="317">
        <v>9</v>
      </c>
      <c r="K449" s="317">
        <v>12</v>
      </c>
      <c r="L449" s="212">
        <v>1</v>
      </c>
      <c r="M449" s="212">
        <f t="shared" si="56"/>
        <v>23.5</v>
      </c>
      <c r="N449" s="212">
        <f t="shared" si="57"/>
        <v>12</v>
      </c>
      <c r="O449" s="212">
        <f t="shared" si="58"/>
        <v>36</v>
      </c>
      <c r="P449" s="212">
        <f t="shared" si="59"/>
        <v>80</v>
      </c>
      <c r="Q449" s="212">
        <f t="shared" si="60"/>
        <v>8</v>
      </c>
      <c r="R449" s="212">
        <f t="shared" si="61"/>
        <v>136</v>
      </c>
      <c r="S449" s="384" t="s">
        <v>1562</v>
      </c>
      <c r="T449" s="384" t="s">
        <v>1572</v>
      </c>
      <c r="U449" s="280">
        <v>114</v>
      </c>
      <c r="V449" s="280">
        <v>116</v>
      </c>
      <c r="W449" s="280">
        <v>116</v>
      </c>
      <c r="X449" s="276">
        <v>44434</v>
      </c>
      <c r="Y449" s="277">
        <v>44568</v>
      </c>
      <c r="Z449" s="276">
        <v>44568</v>
      </c>
      <c r="AA449" s="273">
        <f t="shared" si="62"/>
        <v>2022</v>
      </c>
      <c r="AB449" s="273">
        <f t="shared" si="63"/>
        <v>1</v>
      </c>
      <c r="AC449" s="278" t="s">
        <v>310</v>
      </c>
      <c r="AD449" s="278" t="s">
        <v>422</v>
      </c>
      <c r="AE449" s="278" t="s">
        <v>422</v>
      </c>
      <c r="AF449" s="278" t="s">
        <v>422</v>
      </c>
      <c r="AG449" s="278" t="s">
        <v>422</v>
      </c>
      <c r="AH449" s="278" t="s">
        <v>422</v>
      </c>
      <c r="AI449" s="278" t="s">
        <v>449</v>
      </c>
      <c r="AJ449" s="278" t="s">
        <v>449</v>
      </c>
      <c r="AK449" s="278" t="s">
        <v>449</v>
      </c>
      <c r="AL449" s="279" t="s">
        <v>772</v>
      </c>
      <c r="AM449" s="241"/>
      <c r="AN449" s="242"/>
    </row>
    <row r="450" spans="1:40" ht="15" customHeight="1" x14ac:dyDescent="0.3">
      <c r="A450" s="185">
        <v>418</v>
      </c>
      <c r="B450" s="235" t="s">
        <v>1810</v>
      </c>
      <c r="C450" s="281" t="s">
        <v>1616</v>
      </c>
      <c r="D450" s="281" t="s">
        <v>1848</v>
      </c>
      <c r="E450" s="383"/>
      <c r="F450" s="383" t="s">
        <v>1601</v>
      </c>
      <c r="G450" s="370" t="s">
        <v>1596</v>
      </c>
      <c r="H450" s="248" t="s">
        <v>1533</v>
      </c>
      <c r="I450" s="317">
        <v>2</v>
      </c>
      <c r="J450" s="317"/>
      <c r="K450" s="317">
        <v>12</v>
      </c>
      <c r="L450" s="212">
        <v>1</v>
      </c>
      <c r="M450" s="212">
        <f t="shared" si="56"/>
        <v>15</v>
      </c>
      <c r="N450" s="212">
        <f t="shared" si="57"/>
        <v>16</v>
      </c>
      <c r="O450" s="212">
        <f t="shared" si="58"/>
        <v>0</v>
      </c>
      <c r="P450" s="212">
        <f t="shared" si="59"/>
        <v>80</v>
      </c>
      <c r="Q450" s="212">
        <f t="shared" si="60"/>
        <v>8</v>
      </c>
      <c r="R450" s="212">
        <f t="shared" si="61"/>
        <v>104</v>
      </c>
      <c r="S450" s="384" t="s">
        <v>1569</v>
      </c>
      <c r="T450" s="384" t="s">
        <v>1575</v>
      </c>
      <c r="U450" s="280">
        <v>244</v>
      </c>
      <c r="V450" s="280">
        <v>248</v>
      </c>
      <c r="W450" s="280">
        <v>248</v>
      </c>
      <c r="X450" s="276">
        <v>44434</v>
      </c>
      <c r="Y450" s="277">
        <v>44568</v>
      </c>
      <c r="Z450" s="276">
        <v>44568</v>
      </c>
      <c r="AA450" s="273">
        <f t="shared" si="62"/>
        <v>2022</v>
      </c>
      <c r="AB450" s="273">
        <f t="shared" si="63"/>
        <v>1</v>
      </c>
      <c r="AC450" s="278" t="s">
        <v>310</v>
      </c>
      <c r="AD450" s="278" t="s">
        <v>422</v>
      </c>
      <c r="AE450" s="278" t="s">
        <v>422</v>
      </c>
      <c r="AF450" s="278" t="s">
        <v>422</v>
      </c>
      <c r="AG450" s="278" t="s">
        <v>422</v>
      </c>
      <c r="AH450" s="278" t="s">
        <v>422</v>
      </c>
      <c r="AI450" s="278" t="s">
        <v>449</v>
      </c>
      <c r="AJ450" s="278" t="s">
        <v>449</v>
      </c>
      <c r="AK450" s="278" t="s">
        <v>449</v>
      </c>
      <c r="AL450" s="279" t="s">
        <v>1424</v>
      </c>
      <c r="AM450" s="241"/>
      <c r="AN450" s="242"/>
    </row>
    <row r="451" spans="1:40" ht="15" customHeight="1" x14ac:dyDescent="0.3">
      <c r="A451" s="185">
        <v>419</v>
      </c>
      <c r="B451" s="235" t="s">
        <v>1811</v>
      </c>
      <c r="C451" s="281" t="s">
        <v>1616</v>
      </c>
      <c r="D451" s="281" t="s">
        <v>1848</v>
      </c>
      <c r="E451" s="383"/>
      <c r="F451" s="383" t="s">
        <v>1597</v>
      </c>
      <c r="G451" s="370" t="s">
        <v>1953</v>
      </c>
      <c r="H451" s="248" t="s">
        <v>1533</v>
      </c>
      <c r="I451" s="383"/>
      <c r="J451" s="383">
        <v>8.8000000000000007</v>
      </c>
      <c r="K451" s="383"/>
      <c r="L451" s="212">
        <v>1</v>
      </c>
      <c r="M451" s="212">
        <f t="shared" si="56"/>
        <v>9.8000000000000007</v>
      </c>
      <c r="N451" s="212">
        <f t="shared" si="57"/>
        <v>0</v>
      </c>
      <c r="O451" s="212">
        <f t="shared" si="58"/>
        <v>35.200000000000003</v>
      </c>
      <c r="P451" s="212">
        <f t="shared" si="59"/>
        <v>0</v>
      </c>
      <c r="Q451" s="212">
        <f t="shared" si="60"/>
        <v>8</v>
      </c>
      <c r="R451" s="212">
        <f t="shared" si="61"/>
        <v>43.2</v>
      </c>
      <c r="S451" s="384" t="s">
        <v>1568</v>
      </c>
      <c r="T451" s="384" t="s">
        <v>1574</v>
      </c>
      <c r="U451" s="280">
        <v>94</v>
      </c>
      <c r="V451" s="280">
        <v>96</v>
      </c>
      <c r="W451" s="280">
        <v>96</v>
      </c>
      <c r="X451" s="276">
        <v>44434</v>
      </c>
      <c r="Y451" s="277">
        <v>44568</v>
      </c>
      <c r="Z451" s="276">
        <v>44568</v>
      </c>
      <c r="AA451" s="273">
        <f t="shared" si="62"/>
        <v>2022</v>
      </c>
      <c r="AB451" s="273">
        <f t="shared" si="63"/>
        <v>1</v>
      </c>
      <c r="AC451" s="278" t="s">
        <v>310</v>
      </c>
      <c r="AD451" s="278" t="s">
        <v>422</v>
      </c>
      <c r="AE451" s="278" t="s">
        <v>422</v>
      </c>
      <c r="AF451" s="278" t="s">
        <v>422</v>
      </c>
      <c r="AG451" s="278" t="s">
        <v>422</v>
      </c>
      <c r="AH451" s="278" t="s">
        <v>422</v>
      </c>
      <c r="AI451" s="278" t="s">
        <v>422</v>
      </c>
      <c r="AJ451" s="278" t="s">
        <v>422</v>
      </c>
      <c r="AK451" s="278" t="s">
        <v>423</v>
      </c>
      <c r="AL451" s="279" t="s">
        <v>1424</v>
      </c>
      <c r="AM451" s="241"/>
      <c r="AN451" s="242"/>
    </row>
    <row r="452" spans="1:40" ht="15" customHeight="1" x14ac:dyDescent="0.3">
      <c r="A452" s="185">
        <v>420</v>
      </c>
      <c r="B452" s="235" t="s">
        <v>1812</v>
      </c>
      <c r="C452" s="281" t="s">
        <v>1616</v>
      </c>
      <c r="D452" s="281" t="s">
        <v>1848</v>
      </c>
      <c r="E452" s="383"/>
      <c r="F452" s="383" t="s">
        <v>1601</v>
      </c>
      <c r="G452" s="370" t="s">
        <v>1596</v>
      </c>
      <c r="H452" s="248" t="s">
        <v>1948</v>
      </c>
      <c r="I452" s="317">
        <v>1</v>
      </c>
      <c r="J452" s="317">
        <v>6</v>
      </c>
      <c r="K452" s="317">
        <v>13</v>
      </c>
      <c r="L452" s="212">
        <v>1</v>
      </c>
      <c r="M452" s="212">
        <f t="shared" si="56"/>
        <v>21</v>
      </c>
      <c r="N452" s="212">
        <f t="shared" si="57"/>
        <v>8</v>
      </c>
      <c r="O452" s="212">
        <f t="shared" si="58"/>
        <v>24</v>
      </c>
      <c r="P452" s="212">
        <f t="shared" si="59"/>
        <v>86.666666666666671</v>
      </c>
      <c r="Q452" s="212">
        <f t="shared" si="60"/>
        <v>8</v>
      </c>
      <c r="R452" s="212">
        <f t="shared" si="61"/>
        <v>126.66666666666667</v>
      </c>
      <c r="S452" s="384" t="s">
        <v>1563</v>
      </c>
      <c r="T452" s="384" t="s">
        <v>1573</v>
      </c>
      <c r="U452" s="280">
        <v>62</v>
      </c>
      <c r="V452" s="280">
        <v>63</v>
      </c>
      <c r="W452" s="280">
        <v>63</v>
      </c>
      <c r="X452" s="276">
        <v>44434</v>
      </c>
      <c r="Y452" s="277">
        <v>44568</v>
      </c>
      <c r="Z452" s="276">
        <v>44568</v>
      </c>
      <c r="AA452" s="273">
        <f t="shared" si="62"/>
        <v>2022</v>
      </c>
      <c r="AB452" s="273">
        <f t="shared" si="63"/>
        <v>1</v>
      </c>
      <c r="AC452" s="278" t="s">
        <v>310</v>
      </c>
      <c r="AD452" s="278" t="s">
        <v>422</v>
      </c>
      <c r="AE452" s="278" t="s">
        <v>423</v>
      </c>
      <c r="AF452" s="278" t="s">
        <v>422</v>
      </c>
      <c r="AG452" s="278" t="s">
        <v>422</v>
      </c>
      <c r="AH452" s="278" t="s">
        <v>423</v>
      </c>
      <c r="AI452" s="278" t="s">
        <v>422</v>
      </c>
      <c r="AJ452" s="278" t="s">
        <v>449</v>
      </c>
      <c r="AK452" s="278" t="s">
        <v>449</v>
      </c>
      <c r="AL452" s="279" t="s">
        <v>772</v>
      </c>
      <c r="AM452" s="241"/>
      <c r="AN452" s="242"/>
    </row>
    <row r="453" spans="1:40" ht="15" customHeight="1" x14ac:dyDescent="0.3">
      <c r="A453" s="185">
        <v>421</v>
      </c>
      <c r="B453" s="235" t="s">
        <v>1813</v>
      </c>
      <c r="C453" s="281" t="s">
        <v>1616</v>
      </c>
      <c r="D453" s="281" t="s">
        <v>1848</v>
      </c>
      <c r="E453" s="383"/>
      <c r="F453" s="383" t="s">
        <v>1601</v>
      </c>
      <c r="G453" s="370" t="s">
        <v>1596</v>
      </c>
      <c r="H453" s="248" t="s">
        <v>1949</v>
      </c>
      <c r="I453" s="317">
        <v>1</v>
      </c>
      <c r="J453" s="317"/>
      <c r="K453" s="317">
        <v>7</v>
      </c>
      <c r="L453" s="212">
        <v>1</v>
      </c>
      <c r="M453" s="212">
        <f t="shared" ref="M453:M462" si="64">SUM((I453:L453))</f>
        <v>9</v>
      </c>
      <c r="N453" s="212">
        <f t="shared" si="57"/>
        <v>8</v>
      </c>
      <c r="O453" s="212">
        <f t="shared" si="58"/>
        <v>0</v>
      </c>
      <c r="P453" s="212">
        <f t="shared" si="59"/>
        <v>46.666666666666671</v>
      </c>
      <c r="Q453" s="212">
        <f t="shared" si="60"/>
        <v>8</v>
      </c>
      <c r="R453" s="212">
        <f t="shared" ref="R453:R462" si="65">SUM(N453:Q453)</f>
        <v>62.666666666666671</v>
      </c>
      <c r="S453" s="384" t="s">
        <v>1564</v>
      </c>
      <c r="T453" s="384" t="s">
        <v>1576</v>
      </c>
      <c r="U453" s="280">
        <v>58</v>
      </c>
      <c r="V453" s="280">
        <v>59</v>
      </c>
      <c r="W453" s="280">
        <v>59</v>
      </c>
      <c r="X453" s="276">
        <v>44434</v>
      </c>
      <c r="Y453" s="277">
        <v>44568</v>
      </c>
      <c r="Z453" s="276">
        <v>44568</v>
      </c>
      <c r="AA453" s="273">
        <f t="shared" ref="AA453:AA462" si="66">IF(YEAR(Z453)&gt;2000,YEAR(Z453),YEAR(Y453))</f>
        <v>2022</v>
      </c>
      <c r="AB453" s="273">
        <f t="shared" si="63"/>
        <v>1</v>
      </c>
      <c r="AC453" s="278" t="s">
        <v>310</v>
      </c>
      <c r="AD453" s="278" t="s">
        <v>422</v>
      </c>
      <c r="AE453" s="278" t="s">
        <v>423</v>
      </c>
      <c r="AF453" s="278" t="s">
        <v>422</v>
      </c>
      <c r="AG453" s="278" t="s">
        <v>422</v>
      </c>
      <c r="AH453" s="278" t="s">
        <v>423</v>
      </c>
      <c r="AI453" s="278" t="s">
        <v>422</v>
      </c>
      <c r="AJ453" s="278" t="s">
        <v>449</v>
      </c>
      <c r="AK453" s="278" t="s">
        <v>449</v>
      </c>
      <c r="AL453" s="279" t="s">
        <v>1921</v>
      </c>
      <c r="AM453" s="188"/>
      <c r="AN453" s="348"/>
    </row>
    <row r="454" spans="1:40" ht="15" customHeight="1" x14ac:dyDescent="0.3">
      <c r="A454" s="185">
        <v>422</v>
      </c>
      <c r="B454" s="235" t="s">
        <v>1814</v>
      </c>
      <c r="C454" s="281" t="s">
        <v>1616</v>
      </c>
      <c r="D454" s="281" t="s">
        <v>1848</v>
      </c>
      <c r="E454" s="383"/>
      <c r="F454" s="383" t="s">
        <v>1601</v>
      </c>
      <c r="G454" s="370" t="s">
        <v>1596</v>
      </c>
      <c r="H454" s="248" t="s">
        <v>1949</v>
      </c>
      <c r="I454" s="248">
        <v>1</v>
      </c>
      <c r="J454" s="248"/>
      <c r="K454" s="248">
        <v>6</v>
      </c>
      <c r="L454" s="212">
        <v>1</v>
      </c>
      <c r="M454" s="212">
        <f t="shared" si="64"/>
        <v>8</v>
      </c>
      <c r="N454" s="212">
        <f t="shared" si="57"/>
        <v>8</v>
      </c>
      <c r="O454" s="212">
        <f t="shared" si="58"/>
        <v>0</v>
      </c>
      <c r="P454" s="212">
        <f t="shared" si="59"/>
        <v>40</v>
      </c>
      <c r="Q454" s="212">
        <f t="shared" si="60"/>
        <v>8</v>
      </c>
      <c r="R454" s="212">
        <f t="shared" si="65"/>
        <v>56</v>
      </c>
      <c r="S454" s="373" t="s">
        <v>1565</v>
      </c>
      <c r="T454" s="373" t="s">
        <v>1816</v>
      </c>
      <c r="U454" s="280">
        <v>74</v>
      </c>
      <c r="V454" s="280">
        <v>76</v>
      </c>
      <c r="W454" s="280">
        <v>76</v>
      </c>
      <c r="X454" s="276">
        <v>44434</v>
      </c>
      <c r="Y454" s="277">
        <v>44568</v>
      </c>
      <c r="Z454" s="276">
        <v>44568</v>
      </c>
      <c r="AA454" s="273">
        <f t="shared" si="66"/>
        <v>2022</v>
      </c>
      <c r="AB454" s="273">
        <f t="shared" si="63"/>
        <v>1</v>
      </c>
      <c r="AC454" s="278" t="s">
        <v>310</v>
      </c>
      <c r="AD454" s="278" t="s">
        <v>422</v>
      </c>
      <c r="AE454" s="278" t="s">
        <v>423</v>
      </c>
      <c r="AF454" s="278" t="s">
        <v>422</v>
      </c>
      <c r="AG454" s="278" t="s">
        <v>422</v>
      </c>
      <c r="AH454" s="278" t="s">
        <v>423</v>
      </c>
      <c r="AI454" s="278" t="s">
        <v>422</v>
      </c>
      <c r="AJ454" s="278" t="s">
        <v>449</v>
      </c>
      <c r="AK454" s="278" t="s">
        <v>449</v>
      </c>
      <c r="AL454" s="279" t="s">
        <v>1921</v>
      </c>
      <c r="AM454" s="188"/>
      <c r="AN454" s="348"/>
    </row>
    <row r="455" spans="1:40" ht="15" customHeight="1" x14ac:dyDescent="0.3">
      <c r="A455" s="185">
        <v>423</v>
      </c>
      <c r="B455" s="235" t="s">
        <v>1815</v>
      </c>
      <c r="C455" s="281" t="s">
        <v>1616</v>
      </c>
      <c r="D455" s="281" t="s">
        <v>1848</v>
      </c>
      <c r="E455" s="383"/>
      <c r="F455" s="383" t="s">
        <v>1892</v>
      </c>
      <c r="G455" s="370" t="s">
        <v>1596</v>
      </c>
      <c r="H455" s="248" t="s">
        <v>1533</v>
      </c>
      <c r="I455" s="317"/>
      <c r="J455" s="317">
        <v>2.5</v>
      </c>
      <c r="K455" s="317">
        <v>3</v>
      </c>
      <c r="L455" s="212">
        <v>1</v>
      </c>
      <c r="M455" s="212">
        <f t="shared" si="64"/>
        <v>6.5</v>
      </c>
      <c r="N455" s="212">
        <f t="shared" si="57"/>
        <v>0</v>
      </c>
      <c r="O455" s="212">
        <f t="shared" si="58"/>
        <v>10</v>
      </c>
      <c r="P455" s="212">
        <f t="shared" si="59"/>
        <v>20</v>
      </c>
      <c r="Q455" s="212">
        <f t="shared" si="60"/>
        <v>8</v>
      </c>
      <c r="R455" s="212">
        <f t="shared" si="65"/>
        <v>38</v>
      </c>
      <c r="S455" s="384" t="s">
        <v>1566</v>
      </c>
      <c r="T455" s="384" t="s">
        <v>1577</v>
      </c>
      <c r="U455" s="280">
        <v>38</v>
      </c>
      <c r="V455" s="280">
        <v>39</v>
      </c>
      <c r="W455" s="280">
        <v>39</v>
      </c>
      <c r="X455" s="276">
        <v>44434</v>
      </c>
      <c r="Y455" s="277">
        <v>44568</v>
      </c>
      <c r="Z455" s="276">
        <v>44568</v>
      </c>
      <c r="AA455" s="273">
        <f t="shared" si="66"/>
        <v>2022</v>
      </c>
      <c r="AB455" s="273">
        <f t="shared" si="63"/>
        <v>1</v>
      </c>
      <c r="AC455" s="278" t="s">
        <v>310</v>
      </c>
      <c r="AD455" s="278" t="s">
        <v>422</v>
      </c>
      <c r="AE455" s="278" t="s">
        <v>423</v>
      </c>
      <c r="AF455" s="278" t="s">
        <v>422</v>
      </c>
      <c r="AG455" s="278" t="s">
        <v>422</v>
      </c>
      <c r="AH455" s="278" t="s">
        <v>423</v>
      </c>
      <c r="AI455" s="278" t="s">
        <v>422</v>
      </c>
      <c r="AJ455" s="278" t="s">
        <v>423</v>
      </c>
      <c r="AK455" s="278" t="s">
        <v>423</v>
      </c>
      <c r="AL455" s="279" t="s">
        <v>1912</v>
      </c>
      <c r="AM455" s="188"/>
      <c r="AN455" s="348"/>
    </row>
    <row r="456" spans="1:40" ht="15" customHeight="1" x14ac:dyDescent="0.3">
      <c r="A456" s="185">
        <v>431</v>
      </c>
      <c r="B456" s="235" t="s">
        <v>1853</v>
      </c>
      <c r="C456" s="281" t="s">
        <v>1830</v>
      </c>
      <c r="D456" s="200" t="s">
        <v>1881</v>
      </c>
      <c r="E456" s="383"/>
      <c r="F456" s="383"/>
      <c r="G456" s="370" t="s">
        <v>1953</v>
      </c>
      <c r="H456" s="248"/>
      <c r="I456" s="317"/>
      <c r="J456" s="317"/>
      <c r="K456" s="317">
        <v>1.5</v>
      </c>
      <c r="L456" s="212">
        <v>1</v>
      </c>
      <c r="M456" s="212">
        <f t="shared" si="64"/>
        <v>2.5</v>
      </c>
      <c r="N456" s="212">
        <f t="shared" si="57"/>
        <v>0</v>
      </c>
      <c r="O456" s="212">
        <f t="shared" si="58"/>
        <v>0</v>
      </c>
      <c r="P456" s="212">
        <f t="shared" si="59"/>
        <v>10</v>
      </c>
      <c r="Q456" s="212">
        <f t="shared" si="60"/>
        <v>8</v>
      </c>
      <c r="R456" s="212">
        <f t="shared" si="65"/>
        <v>18</v>
      </c>
      <c r="S456" s="384" t="s">
        <v>1864</v>
      </c>
      <c r="T456" s="284" t="s">
        <v>1874</v>
      </c>
      <c r="U456" s="280">
        <v>88</v>
      </c>
      <c r="V456" s="280">
        <v>0</v>
      </c>
      <c r="W456" s="280">
        <v>0</v>
      </c>
      <c r="X456" s="276">
        <v>44477</v>
      </c>
      <c r="Y456" s="277">
        <v>44576</v>
      </c>
      <c r="Z456" s="277">
        <v>44576</v>
      </c>
      <c r="AA456" s="273">
        <f t="shared" si="66"/>
        <v>2022</v>
      </c>
      <c r="AB456" s="273">
        <f t="shared" si="63"/>
        <v>1</v>
      </c>
      <c r="AC456" s="278" t="s">
        <v>1927</v>
      </c>
      <c r="AD456" s="278" t="s">
        <v>449</v>
      </c>
      <c r="AE456" s="278" t="s">
        <v>422</v>
      </c>
      <c r="AF456" s="278" t="s">
        <v>449</v>
      </c>
      <c r="AG456" s="278" t="s">
        <v>449</v>
      </c>
      <c r="AH456" s="278" t="s">
        <v>449</v>
      </c>
      <c r="AI456" s="278" t="s">
        <v>449</v>
      </c>
      <c r="AJ456" s="278" t="s">
        <v>449</v>
      </c>
      <c r="AK456" s="278" t="s">
        <v>423</v>
      </c>
      <c r="AL456" s="279"/>
      <c r="AM456" s="241"/>
      <c r="AN456" s="242"/>
    </row>
    <row r="457" spans="1:40" ht="15" customHeight="1" x14ac:dyDescent="0.3">
      <c r="A457" s="185">
        <v>433</v>
      </c>
      <c r="B457" s="235" t="s">
        <v>1855</v>
      </c>
      <c r="C457" s="281" t="s">
        <v>1830</v>
      </c>
      <c r="D457" s="200" t="s">
        <v>1881</v>
      </c>
      <c r="E457" s="383"/>
      <c r="F457" s="383"/>
      <c r="G457" s="370" t="s">
        <v>1953</v>
      </c>
      <c r="H457" s="248"/>
      <c r="I457" s="317"/>
      <c r="J457" s="317"/>
      <c r="K457" s="317">
        <v>1.5</v>
      </c>
      <c r="L457" s="212">
        <v>1</v>
      </c>
      <c r="M457" s="212">
        <f t="shared" si="64"/>
        <v>2.5</v>
      </c>
      <c r="N457" s="212">
        <f t="shared" si="57"/>
        <v>0</v>
      </c>
      <c r="O457" s="212">
        <f t="shared" si="58"/>
        <v>0</v>
      </c>
      <c r="P457" s="212">
        <f t="shared" si="59"/>
        <v>10</v>
      </c>
      <c r="Q457" s="212">
        <f t="shared" si="60"/>
        <v>8</v>
      </c>
      <c r="R457" s="212">
        <f t="shared" si="65"/>
        <v>18</v>
      </c>
      <c r="S457" s="384" t="s">
        <v>1866</v>
      </c>
      <c r="T457" s="284" t="s">
        <v>1875</v>
      </c>
      <c r="U457" s="280">
        <v>84</v>
      </c>
      <c r="V457" s="280">
        <v>0</v>
      </c>
      <c r="W457" s="280">
        <v>0</v>
      </c>
      <c r="X457" s="276">
        <v>44477</v>
      </c>
      <c r="Y457" s="277">
        <v>44576</v>
      </c>
      <c r="Z457" s="277">
        <v>44576</v>
      </c>
      <c r="AA457" s="273">
        <f t="shared" si="66"/>
        <v>2022</v>
      </c>
      <c r="AB457" s="273">
        <f t="shared" si="63"/>
        <v>1</v>
      </c>
      <c r="AC457" s="278" t="s">
        <v>1927</v>
      </c>
      <c r="AD457" s="278" t="s">
        <v>449</v>
      </c>
      <c r="AE457" s="278" t="s">
        <v>422</v>
      </c>
      <c r="AF457" s="278" t="s">
        <v>449</v>
      </c>
      <c r="AG457" s="278" t="s">
        <v>449</v>
      </c>
      <c r="AH457" s="278" t="s">
        <v>449</v>
      </c>
      <c r="AI457" s="278" t="s">
        <v>449</v>
      </c>
      <c r="AJ457" s="278" t="s">
        <v>449</v>
      </c>
      <c r="AK457" s="278" t="s">
        <v>423</v>
      </c>
      <c r="AL457" s="279"/>
      <c r="AM457" s="241"/>
      <c r="AN457" s="242"/>
    </row>
    <row r="458" spans="1:40" ht="15" customHeight="1" x14ac:dyDescent="0.3">
      <c r="A458" s="185">
        <v>434</v>
      </c>
      <c r="B458" s="235" t="s">
        <v>1856</v>
      </c>
      <c r="C458" s="281" t="s">
        <v>1830</v>
      </c>
      <c r="D458" s="200" t="s">
        <v>1881</v>
      </c>
      <c r="E458" s="383"/>
      <c r="F458" s="383"/>
      <c r="G458" s="370" t="s">
        <v>1953</v>
      </c>
      <c r="H458" s="248"/>
      <c r="I458" s="317"/>
      <c r="J458" s="317"/>
      <c r="K458" s="317">
        <v>1.5</v>
      </c>
      <c r="L458" s="212">
        <v>1</v>
      </c>
      <c r="M458" s="212">
        <f t="shared" si="64"/>
        <v>2.5</v>
      </c>
      <c r="N458" s="212">
        <f t="shared" si="57"/>
        <v>0</v>
      </c>
      <c r="O458" s="212">
        <f t="shared" si="58"/>
        <v>0</v>
      </c>
      <c r="P458" s="212">
        <f t="shared" si="59"/>
        <v>10</v>
      </c>
      <c r="Q458" s="212">
        <f t="shared" si="60"/>
        <v>8</v>
      </c>
      <c r="R458" s="212">
        <f t="shared" si="65"/>
        <v>18</v>
      </c>
      <c r="S458" s="384" t="s">
        <v>1867</v>
      </c>
      <c r="T458" s="284" t="s">
        <v>1876</v>
      </c>
      <c r="U458" s="280">
        <v>374</v>
      </c>
      <c r="V458" s="280">
        <v>0</v>
      </c>
      <c r="W458" s="280">
        <v>0</v>
      </c>
      <c r="X458" s="276">
        <v>44477</v>
      </c>
      <c r="Y458" s="277">
        <v>44576</v>
      </c>
      <c r="Z458" s="277">
        <v>44576</v>
      </c>
      <c r="AA458" s="273">
        <f t="shared" si="66"/>
        <v>2022</v>
      </c>
      <c r="AB458" s="273">
        <f t="shared" si="63"/>
        <v>1</v>
      </c>
      <c r="AC458" s="278" t="s">
        <v>1927</v>
      </c>
      <c r="AD458" s="278" t="s">
        <v>449</v>
      </c>
      <c r="AE458" s="278" t="s">
        <v>422</v>
      </c>
      <c r="AF458" s="278" t="s">
        <v>449</v>
      </c>
      <c r="AG458" s="278" t="s">
        <v>449</v>
      </c>
      <c r="AH458" s="278" t="s">
        <v>449</v>
      </c>
      <c r="AI458" s="278" t="s">
        <v>449</v>
      </c>
      <c r="AJ458" s="278" t="s">
        <v>449</v>
      </c>
      <c r="AK458" s="278" t="s">
        <v>423</v>
      </c>
      <c r="AL458" s="279"/>
      <c r="AM458" s="241"/>
      <c r="AN458" s="242"/>
    </row>
    <row r="459" spans="1:40" ht="15" customHeight="1" x14ac:dyDescent="0.3">
      <c r="A459" s="185">
        <v>438</v>
      </c>
      <c r="B459" s="235" t="s">
        <v>1860</v>
      </c>
      <c r="C459" s="281" t="s">
        <v>1830</v>
      </c>
      <c r="D459" s="200" t="s">
        <v>1881</v>
      </c>
      <c r="E459" s="383"/>
      <c r="F459" s="383"/>
      <c r="G459" s="370" t="s">
        <v>1953</v>
      </c>
      <c r="H459" s="248"/>
      <c r="I459" s="317"/>
      <c r="J459" s="317"/>
      <c r="K459" s="317">
        <v>1.5</v>
      </c>
      <c r="L459" s="212">
        <v>1</v>
      </c>
      <c r="M459" s="212">
        <f t="shared" si="64"/>
        <v>2.5</v>
      </c>
      <c r="N459" s="212">
        <f t="shared" si="57"/>
        <v>0</v>
      </c>
      <c r="O459" s="212">
        <f t="shared" ref="O459:O462" si="67">+J459/0.25</f>
        <v>0</v>
      </c>
      <c r="P459" s="212">
        <f t="shared" ref="P459:P462" si="68">+K459/0.15</f>
        <v>10</v>
      </c>
      <c r="Q459" s="212">
        <f t="shared" ref="Q459:Q462" si="69">+L459/0.125</f>
        <v>8</v>
      </c>
      <c r="R459" s="212">
        <f t="shared" si="65"/>
        <v>18</v>
      </c>
      <c r="S459" s="384" t="s">
        <v>1871</v>
      </c>
      <c r="T459" s="284" t="s">
        <v>1879</v>
      </c>
      <c r="U459" s="280">
        <v>174</v>
      </c>
      <c r="V459" s="280">
        <v>0</v>
      </c>
      <c r="W459" s="280">
        <v>0</v>
      </c>
      <c r="X459" s="276">
        <v>44477</v>
      </c>
      <c r="Y459" s="277">
        <v>44576</v>
      </c>
      <c r="Z459" s="277">
        <v>44576</v>
      </c>
      <c r="AA459" s="273">
        <f t="shared" si="66"/>
        <v>2022</v>
      </c>
      <c r="AB459" s="273">
        <f t="shared" si="63"/>
        <v>1</v>
      </c>
      <c r="AC459" s="278" t="s">
        <v>1927</v>
      </c>
      <c r="AD459" s="278" t="s">
        <v>449</v>
      </c>
      <c r="AE459" s="278" t="s">
        <v>422</v>
      </c>
      <c r="AF459" s="278" t="s">
        <v>449</v>
      </c>
      <c r="AG459" s="278" t="s">
        <v>449</v>
      </c>
      <c r="AH459" s="278" t="s">
        <v>449</v>
      </c>
      <c r="AI459" s="278" t="s">
        <v>449</v>
      </c>
      <c r="AJ459" s="278" t="s">
        <v>449</v>
      </c>
      <c r="AK459" s="278" t="s">
        <v>423</v>
      </c>
      <c r="AL459" s="279"/>
      <c r="AM459" s="188"/>
      <c r="AN459" s="348"/>
    </row>
    <row r="460" spans="1:40" ht="15" customHeight="1" x14ac:dyDescent="0.3">
      <c r="A460" s="185">
        <v>439</v>
      </c>
      <c r="B460" s="235" t="s">
        <v>1861</v>
      </c>
      <c r="C460" s="281" t="s">
        <v>1830</v>
      </c>
      <c r="D460" s="200" t="s">
        <v>1881</v>
      </c>
      <c r="E460" s="383"/>
      <c r="F460" s="383"/>
      <c r="G460" s="370" t="s">
        <v>1953</v>
      </c>
      <c r="H460" s="248"/>
      <c r="I460" s="317"/>
      <c r="J460" s="317"/>
      <c r="K460" s="317">
        <v>1.5</v>
      </c>
      <c r="L460" s="212">
        <v>1</v>
      </c>
      <c r="M460" s="212">
        <f t="shared" si="64"/>
        <v>2.5</v>
      </c>
      <c r="N460" s="212">
        <f t="shared" si="57"/>
        <v>0</v>
      </c>
      <c r="O460" s="212">
        <f t="shared" si="67"/>
        <v>0</v>
      </c>
      <c r="P460" s="212">
        <f t="shared" si="68"/>
        <v>10</v>
      </c>
      <c r="Q460" s="212">
        <f t="shared" si="69"/>
        <v>8</v>
      </c>
      <c r="R460" s="212">
        <f t="shared" si="65"/>
        <v>18</v>
      </c>
      <c r="S460" s="384" t="s">
        <v>1872</v>
      </c>
      <c r="T460" s="284" t="s">
        <v>1879</v>
      </c>
      <c r="U460" s="280">
        <v>174</v>
      </c>
      <c r="V460" s="280">
        <v>0</v>
      </c>
      <c r="W460" s="280">
        <v>0</v>
      </c>
      <c r="X460" s="276">
        <v>44477</v>
      </c>
      <c r="Y460" s="277">
        <v>44576</v>
      </c>
      <c r="Z460" s="277">
        <v>44576</v>
      </c>
      <c r="AA460" s="273">
        <f t="shared" si="66"/>
        <v>2022</v>
      </c>
      <c r="AB460" s="273">
        <f t="shared" si="63"/>
        <v>1</v>
      </c>
      <c r="AC460" s="278" t="s">
        <v>1927</v>
      </c>
      <c r="AD460" s="278" t="s">
        <v>449</v>
      </c>
      <c r="AE460" s="278" t="s">
        <v>422</v>
      </c>
      <c r="AF460" s="278" t="s">
        <v>449</v>
      </c>
      <c r="AG460" s="278" t="s">
        <v>449</v>
      </c>
      <c r="AH460" s="278" t="s">
        <v>449</v>
      </c>
      <c r="AI460" s="278" t="s">
        <v>449</v>
      </c>
      <c r="AJ460" s="278" t="s">
        <v>449</v>
      </c>
      <c r="AK460" s="278" t="s">
        <v>423</v>
      </c>
      <c r="AL460" s="395"/>
      <c r="AM460" s="188"/>
      <c r="AN460" s="348"/>
    </row>
    <row r="461" spans="1:40" ht="15" customHeight="1" x14ac:dyDescent="0.3">
      <c r="A461" s="185">
        <v>440</v>
      </c>
      <c r="B461" s="235" t="s">
        <v>1862</v>
      </c>
      <c r="C461" s="281" t="s">
        <v>1830</v>
      </c>
      <c r="D461" s="200" t="s">
        <v>1881</v>
      </c>
      <c r="E461" s="383"/>
      <c r="F461" s="383"/>
      <c r="G461" s="370" t="s">
        <v>1953</v>
      </c>
      <c r="H461" s="248"/>
      <c r="I461" s="317"/>
      <c r="J461" s="317"/>
      <c r="K461" s="317">
        <v>1.5</v>
      </c>
      <c r="L461" s="212">
        <v>1</v>
      </c>
      <c r="M461" s="212">
        <f t="shared" si="64"/>
        <v>2.5</v>
      </c>
      <c r="N461" s="212">
        <f t="shared" si="57"/>
        <v>0</v>
      </c>
      <c r="O461" s="212">
        <f t="shared" si="67"/>
        <v>0</v>
      </c>
      <c r="P461" s="212">
        <f t="shared" si="68"/>
        <v>10</v>
      </c>
      <c r="Q461" s="212">
        <f t="shared" si="69"/>
        <v>8</v>
      </c>
      <c r="R461" s="212">
        <f t="shared" si="65"/>
        <v>18</v>
      </c>
      <c r="S461" s="384" t="s">
        <v>1873</v>
      </c>
      <c r="T461" s="284" t="s">
        <v>1880</v>
      </c>
      <c r="U461" s="280">
        <v>119.99999999999997</v>
      </c>
      <c r="V461" s="280">
        <v>0</v>
      </c>
      <c r="W461" s="280">
        <v>0</v>
      </c>
      <c r="X461" s="276">
        <v>44477</v>
      </c>
      <c r="Y461" s="277">
        <v>44576</v>
      </c>
      <c r="Z461" s="277">
        <v>44576</v>
      </c>
      <c r="AA461" s="273">
        <f t="shared" si="66"/>
        <v>2022</v>
      </c>
      <c r="AB461" s="273">
        <f t="shared" si="63"/>
        <v>1</v>
      </c>
      <c r="AC461" s="278" t="s">
        <v>1927</v>
      </c>
      <c r="AD461" s="278" t="s">
        <v>449</v>
      </c>
      <c r="AE461" s="278" t="s">
        <v>422</v>
      </c>
      <c r="AF461" s="278" t="s">
        <v>449</v>
      </c>
      <c r="AG461" s="278" t="s">
        <v>449</v>
      </c>
      <c r="AH461" s="278" t="s">
        <v>449</v>
      </c>
      <c r="AI461" s="278" t="s">
        <v>449</v>
      </c>
      <c r="AJ461" s="278" t="s">
        <v>449</v>
      </c>
      <c r="AK461" s="278" t="s">
        <v>423</v>
      </c>
      <c r="AL461" s="279"/>
      <c r="AM461" s="33"/>
      <c r="AN461" s="33"/>
    </row>
    <row r="462" spans="1:40" ht="15" customHeight="1" x14ac:dyDescent="0.3">
      <c r="A462" s="185">
        <v>447</v>
      </c>
      <c r="B462" s="235" t="s">
        <v>1916</v>
      </c>
      <c r="C462" s="281" t="s">
        <v>1917</v>
      </c>
      <c r="D462" s="200" t="s">
        <v>1918</v>
      </c>
      <c r="E462" s="383"/>
      <c r="F462" s="383"/>
      <c r="G462" s="273" t="s">
        <v>1604</v>
      </c>
      <c r="H462" s="248"/>
      <c r="I462" s="317"/>
      <c r="J462" s="317"/>
      <c r="K462" s="317">
        <v>0</v>
      </c>
      <c r="L462" s="212">
        <v>1</v>
      </c>
      <c r="M462" s="212">
        <f t="shared" si="64"/>
        <v>1</v>
      </c>
      <c r="N462" s="212">
        <f t="shared" si="57"/>
        <v>0</v>
      </c>
      <c r="O462" s="212">
        <f t="shared" si="67"/>
        <v>0</v>
      </c>
      <c r="P462" s="212">
        <f t="shared" si="68"/>
        <v>0</v>
      </c>
      <c r="Q462" s="212">
        <f t="shared" si="69"/>
        <v>8</v>
      </c>
      <c r="R462" s="212">
        <f t="shared" si="65"/>
        <v>8</v>
      </c>
      <c r="S462" s="384" t="s">
        <v>1925</v>
      </c>
      <c r="T462" s="284" t="s">
        <v>1919</v>
      </c>
      <c r="U462" s="280">
        <v>900</v>
      </c>
      <c r="V462" s="280"/>
      <c r="W462" s="280"/>
      <c r="X462" s="276">
        <v>44502</v>
      </c>
      <c r="Y462" s="277">
        <v>44594</v>
      </c>
      <c r="Z462" s="277">
        <v>44594</v>
      </c>
      <c r="AA462" s="273">
        <f t="shared" si="66"/>
        <v>2022</v>
      </c>
      <c r="AB462" s="273">
        <f t="shared" si="63"/>
        <v>2</v>
      </c>
      <c r="AC462" s="278" t="s">
        <v>1927</v>
      </c>
      <c r="AD462" s="278" t="s">
        <v>449</v>
      </c>
      <c r="AE462" s="278" t="s">
        <v>423</v>
      </c>
      <c r="AF462" s="278" t="s">
        <v>449</v>
      </c>
      <c r="AG462" s="278" t="s">
        <v>449</v>
      </c>
      <c r="AH462" s="278" t="s">
        <v>423</v>
      </c>
      <c r="AI462" s="278" t="s">
        <v>423</v>
      </c>
      <c r="AJ462" s="278" t="s">
        <v>423</v>
      </c>
      <c r="AK462" s="278" t="s">
        <v>423</v>
      </c>
      <c r="AL462" s="33"/>
      <c r="AM462" s="33"/>
      <c r="AN462" s="33"/>
    </row>
    <row r="463" spans="1:40" ht="15" customHeight="1" x14ac:dyDescent="0.3">
      <c r="A463" s="185">
        <v>448</v>
      </c>
      <c r="B463" s="235" t="s">
        <v>1915</v>
      </c>
      <c r="C463" s="281" t="s">
        <v>1917</v>
      </c>
      <c r="D463" s="200" t="s">
        <v>1918</v>
      </c>
      <c r="E463" s="269"/>
      <c r="F463" s="269"/>
      <c r="G463" s="196" t="s">
        <v>1953</v>
      </c>
      <c r="H463" s="248"/>
      <c r="I463" s="317"/>
      <c r="J463" s="317"/>
      <c r="K463" s="317">
        <v>10</v>
      </c>
      <c r="L463" s="212">
        <v>1</v>
      </c>
      <c r="M463" s="212">
        <f t="shared" ref="M463" si="70">SUM((I463:L463))</f>
        <v>11</v>
      </c>
      <c r="N463" s="212">
        <f t="shared" ref="N463" si="71">+I463/0.125</f>
        <v>0</v>
      </c>
      <c r="O463" s="212">
        <f t="shared" ref="O463" si="72">+J463/0.25</f>
        <v>0</v>
      </c>
      <c r="P463" s="212">
        <f t="shared" ref="P463" si="73">+K463/0.15</f>
        <v>66.666666666666671</v>
      </c>
      <c r="Q463" s="212">
        <f t="shared" ref="Q463" si="74">+L463/0.125</f>
        <v>8</v>
      </c>
      <c r="R463" s="212">
        <f t="shared" ref="R463" si="75">SUM(N463:Q463)</f>
        <v>74.666666666666671</v>
      </c>
      <c r="S463" s="270" t="s">
        <v>1926</v>
      </c>
      <c r="T463" s="284" t="s">
        <v>1920</v>
      </c>
      <c r="U463" s="272">
        <v>600</v>
      </c>
      <c r="V463" s="272"/>
      <c r="W463" s="272"/>
      <c r="X463" s="276">
        <v>44502</v>
      </c>
      <c r="Y463" s="277">
        <v>44594</v>
      </c>
      <c r="Z463" s="277">
        <v>44594</v>
      </c>
      <c r="AA463" s="311">
        <f t="shared" ref="AA463" si="76">IF(YEAR(Z463)&gt;2000,YEAR(Z463),YEAR(Y463))</f>
        <v>2022</v>
      </c>
      <c r="AB463" s="311">
        <f t="shared" ref="AB463" si="77">MONTH(Z463)</f>
        <v>2</v>
      </c>
      <c r="AC463" s="243" t="s">
        <v>1927</v>
      </c>
      <c r="AD463" s="243" t="s">
        <v>449</v>
      </c>
      <c r="AE463" s="243" t="s">
        <v>423</v>
      </c>
      <c r="AF463" s="243" t="s">
        <v>449</v>
      </c>
      <c r="AG463" s="243" t="s">
        <v>449</v>
      </c>
      <c r="AH463" s="243" t="s">
        <v>423</v>
      </c>
      <c r="AI463" s="243" t="s">
        <v>449</v>
      </c>
      <c r="AJ463" s="243" t="s">
        <v>423</v>
      </c>
      <c r="AK463" s="243" t="s">
        <v>423</v>
      </c>
      <c r="AL463" s="244"/>
      <c r="AM463" s="241"/>
      <c r="AN463" s="242"/>
    </row>
    <row r="464" spans="1:40" ht="15" customHeight="1" x14ac:dyDescent="0.3">
      <c r="B464" s="235"/>
      <c r="C464" s="281"/>
      <c r="D464" s="281"/>
      <c r="E464" s="269"/>
      <c r="F464" s="269"/>
      <c r="G464" s="196"/>
      <c r="H464" s="248"/>
      <c r="I464" s="248"/>
      <c r="J464" s="248"/>
      <c r="K464" s="248"/>
      <c r="L464" s="248"/>
      <c r="M464" s="248"/>
      <c r="N464" s="248"/>
      <c r="O464" s="248"/>
      <c r="P464" s="248"/>
      <c r="Q464" s="248"/>
      <c r="R464" s="248"/>
      <c r="S464" s="286"/>
      <c r="T464" s="275"/>
      <c r="U464" s="272"/>
      <c r="V464" s="272"/>
      <c r="W464" s="272"/>
      <c r="X464" s="276"/>
      <c r="Y464" s="277"/>
      <c r="Z464" s="245"/>
      <c r="AA464" s="271"/>
      <c r="AB464" s="271"/>
      <c r="AC464" s="243"/>
      <c r="AD464" s="243"/>
      <c r="AE464" s="243"/>
      <c r="AF464" s="243"/>
      <c r="AG464" s="243"/>
      <c r="AH464" s="243"/>
      <c r="AI464" s="243"/>
      <c r="AJ464" s="243"/>
      <c r="AK464" s="243"/>
      <c r="AL464" s="244"/>
      <c r="AM464" s="241"/>
      <c r="AN464" s="242"/>
    </row>
    <row r="465" spans="2:40" ht="15" customHeight="1" x14ac:dyDescent="0.3">
      <c r="B465" s="235"/>
      <c r="C465" s="281"/>
      <c r="D465" s="281"/>
      <c r="E465" s="269"/>
      <c r="F465" s="269"/>
      <c r="G465" s="196"/>
      <c r="H465" s="248"/>
      <c r="I465" s="248"/>
      <c r="J465" s="248"/>
      <c r="K465" s="248"/>
      <c r="L465" s="248"/>
      <c r="M465" s="248"/>
      <c r="N465" s="248"/>
      <c r="O465" s="248"/>
      <c r="P465" s="248"/>
      <c r="Q465" s="248"/>
      <c r="R465" s="248"/>
      <c r="S465" s="286"/>
      <c r="T465" s="275"/>
      <c r="U465" s="272"/>
      <c r="V465" s="272"/>
      <c r="W465" s="272"/>
      <c r="X465" s="276"/>
      <c r="Y465" s="277"/>
      <c r="Z465" s="245"/>
      <c r="AA465" s="271"/>
      <c r="AB465" s="271"/>
      <c r="AC465" s="243"/>
      <c r="AD465" s="243"/>
      <c r="AE465" s="243"/>
      <c r="AF465" s="243"/>
      <c r="AG465" s="243"/>
      <c r="AH465" s="243"/>
      <c r="AI465" s="243"/>
      <c r="AJ465" s="243"/>
      <c r="AK465" s="243"/>
      <c r="AL465" s="244"/>
      <c r="AM465" s="241"/>
      <c r="AN465" s="242"/>
    </row>
    <row r="466" spans="2:40" ht="15" customHeight="1" x14ac:dyDescent="0.3">
      <c r="B466" s="235"/>
      <c r="C466" s="281"/>
      <c r="D466" s="281"/>
      <c r="E466" s="269"/>
      <c r="F466" s="269"/>
      <c r="G466" s="196"/>
      <c r="H466" s="248"/>
      <c r="I466" s="248"/>
      <c r="J466" s="248"/>
      <c r="K466" s="248"/>
      <c r="L466" s="248"/>
      <c r="M466" s="248"/>
      <c r="N466" s="248"/>
      <c r="O466" s="248"/>
      <c r="P466" s="248"/>
      <c r="Q466" s="248"/>
      <c r="R466" s="248"/>
      <c r="S466" s="286"/>
      <c r="T466" s="275"/>
      <c r="U466" s="272"/>
      <c r="V466" s="272"/>
      <c r="W466" s="272"/>
      <c r="X466" s="276"/>
      <c r="Y466" s="277"/>
      <c r="Z466" s="245"/>
      <c r="AA466" s="271"/>
      <c r="AB466" s="271"/>
      <c r="AC466" s="243"/>
      <c r="AD466" s="243"/>
      <c r="AE466" s="243"/>
      <c r="AF466" s="243"/>
      <c r="AG466" s="243"/>
      <c r="AH466" s="243"/>
      <c r="AI466" s="243"/>
      <c r="AJ466" s="243"/>
      <c r="AK466" s="243"/>
      <c r="AL466" s="244"/>
      <c r="AM466" s="241"/>
      <c r="AN466" s="242"/>
    </row>
    <row r="467" spans="2:40" ht="15" customHeight="1" x14ac:dyDescent="0.3">
      <c r="B467" s="235"/>
      <c r="C467" s="281"/>
      <c r="D467" s="281"/>
      <c r="E467" s="269"/>
      <c r="F467" s="269"/>
      <c r="G467" s="196"/>
      <c r="H467" s="248"/>
      <c r="I467" s="248"/>
      <c r="J467" s="248"/>
      <c r="K467" s="248"/>
      <c r="L467" s="248"/>
      <c r="M467" s="248"/>
      <c r="N467" s="248"/>
      <c r="O467" s="248"/>
      <c r="P467" s="248"/>
      <c r="Q467" s="248"/>
      <c r="R467" s="248"/>
      <c r="S467" s="286"/>
      <c r="T467" s="275"/>
      <c r="U467" s="272"/>
      <c r="V467" s="272"/>
      <c r="W467" s="272"/>
      <c r="X467" s="276"/>
      <c r="Y467" s="277"/>
      <c r="Z467" s="245"/>
      <c r="AA467" s="271"/>
      <c r="AB467" s="271"/>
      <c r="AC467" s="243"/>
      <c r="AD467" s="243"/>
      <c r="AE467" s="243"/>
      <c r="AF467" s="243"/>
      <c r="AG467" s="243"/>
      <c r="AH467" s="243"/>
      <c r="AI467" s="243"/>
      <c r="AJ467" s="243"/>
      <c r="AK467" s="243"/>
      <c r="AL467" s="244"/>
      <c r="AM467" s="241"/>
      <c r="AN467" s="242"/>
    </row>
    <row r="468" spans="2:40" ht="15" customHeight="1" x14ac:dyDescent="0.3">
      <c r="B468" s="235"/>
      <c r="C468" s="281"/>
      <c r="D468" s="281"/>
      <c r="E468" s="269"/>
      <c r="F468" s="269"/>
      <c r="G468" s="269"/>
      <c r="H468" s="269"/>
      <c r="I468" s="269"/>
      <c r="J468" s="269"/>
      <c r="K468" s="269"/>
      <c r="L468" s="269"/>
      <c r="M468" s="269"/>
      <c r="N468" s="269"/>
      <c r="O468" s="269"/>
      <c r="P468" s="269"/>
      <c r="Q468" s="269"/>
      <c r="R468" s="269"/>
      <c r="S468" s="286"/>
      <c r="T468" s="275"/>
      <c r="U468" s="272"/>
      <c r="V468" s="272"/>
      <c r="W468" s="272"/>
      <c r="X468" s="276"/>
      <c r="Y468" s="277"/>
      <c r="Z468" s="245"/>
      <c r="AA468" s="271"/>
      <c r="AB468" s="271"/>
      <c r="AC468" s="243"/>
      <c r="AD468" s="243"/>
      <c r="AE468" s="243"/>
      <c r="AF468" s="243"/>
      <c r="AG468" s="243"/>
      <c r="AH468" s="243"/>
      <c r="AI468" s="243"/>
      <c r="AJ468" s="243"/>
      <c r="AK468" s="243"/>
      <c r="AL468" s="244"/>
      <c r="AM468" s="241"/>
      <c r="AN468" s="242"/>
    </row>
    <row r="469" spans="2:40" ht="15" customHeight="1" x14ac:dyDescent="0.3">
      <c r="B469" s="235"/>
      <c r="C469" s="281"/>
      <c r="D469" s="281"/>
      <c r="E469" s="269"/>
      <c r="F469" s="269"/>
      <c r="G469" s="196"/>
      <c r="H469" s="248"/>
      <c r="I469" s="248"/>
      <c r="J469" s="248"/>
      <c r="K469" s="248"/>
      <c r="L469" s="248"/>
      <c r="M469" s="248"/>
      <c r="N469" s="248"/>
      <c r="O469" s="248"/>
      <c r="P469" s="248"/>
      <c r="Q469" s="248"/>
      <c r="R469" s="248"/>
      <c r="S469" s="286"/>
      <c r="T469" s="275"/>
      <c r="U469" s="272"/>
      <c r="V469" s="272"/>
      <c r="W469" s="272"/>
      <c r="X469" s="276"/>
      <c r="Y469" s="277"/>
      <c r="Z469" s="245"/>
      <c r="AA469" s="271"/>
      <c r="AB469" s="271"/>
      <c r="AC469" s="243"/>
      <c r="AD469" s="243"/>
      <c r="AE469" s="243"/>
      <c r="AF469" s="243"/>
      <c r="AG469" s="243"/>
      <c r="AH469" s="243"/>
      <c r="AI469" s="243"/>
      <c r="AJ469" s="243"/>
      <c r="AK469" s="243"/>
      <c r="AL469" s="244"/>
      <c r="AM469" s="241"/>
      <c r="AN469" s="242"/>
    </row>
    <row r="470" spans="2:40" ht="15" customHeight="1" x14ac:dyDescent="0.3">
      <c r="B470" s="235"/>
      <c r="C470" s="281"/>
      <c r="D470" s="281"/>
      <c r="E470" s="269"/>
      <c r="F470" s="269"/>
      <c r="G470" s="196"/>
      <c r="H470" s="248"/>
      <c r="I470" s="248"/>
      <c r="J470" s="248"/>
      <c r="K470" s="248"/>
      <c r="L470" s="248"/>
      <c r="M470" s="248"/>
      <c r="N470" s="248"/>
      <c r="O470" s="248"/>
      <c r="P470" s="248"/>
      <c r="Q470" s="248"/>
      <c r="R470" s="248"/>
      <c r="S470" s="286"/>
      <c r="T470" s="275"/>
      <c r="U470" s="272"/>
      <c r="V470" s="272"/>
      <c r="W470" s="272"/>
      <c r="X470" s="276"/>
      <c r="Y470" s="277"/>
      <c r="Z470" s="245"/>
      <c r="AA470" s="271"/>
      <c r="AB470" s="271"/>
      <c r="AC470" s="243"/>
      <c r="AD470" s="243"/>
      <c r="AE470" s="243"/>
      <c r="AF470" s="243"/>
      <c r="AG470" s="243"/>
      <c r="AH470" s="243"/>
      <c r="AI470" s="243"/>
      <c r="AJ470" s="243"/>
      <c r="AK470" s="243"/>
      <c r="AL470" s="244"/>
      <c r="AM470" s="241"/>
      <c r="AN470" s="242"/>
    </row>
    <row r="471" spans="2:40" ht="15" customHeight="1" x14ac:dyDescent="0.3">
      <c r="B471" s="235"/>
      <c r="C471" s="281"/>
      <c r="D471" s="281"/>
      <c r="E471" s="269"/>
      <c r="F471" s="269"/>
      <c r="G471" s="196"/>
      <c r="H471" s="248"/>
      <c r="I471" s="248"/>
      <c r="J471" s="248"/>
      <c r="K471" s="248"/>
      <c r="L471" s="248"/>
      <c r="M471" s="248"/>
      <c r="N471" s="248"/>
      <c r="O471" s="248"/>
      <c r="P471" s="248"/>
      <c r="Q471" s="248"/>
      <c r="R471" s="248"/>
      <c r="S471" s="286"/>
      <c r="T471" s="275"/>
      <c r="U471" s="272"/>
      <c r="V471" s="272"/>
      <c r="W471" s="272"/>
      <c r="X471" s="276"/>
      <c r="Y471" s="277"/>
      <c r="Z471" s="245"/>
      <c r="AA471" s="271"/>
      <c r="AB471" s="271"/>
      <c r="AC471" s="243"/>
      <c r="AD471" s="243"/>
      <c r="AE471" s="243"/>
      <c r="AF471" s="243"/>
      <c r="AG471" s="243"/>
      <c r="AH471" s="243"/>
      <c r="AI471" s="243"/>
      <c r="AJ471" s="243"/>
      <c r="AK471" s="243"/>
      <c r="AL471" s="244"/>
      <c r="AM471" s="241"/>
      <c r="AN471" s="242"/>
    </row>
    <row r="472" spans="2:40" ht="15" customHeight="1" x14ac:dyDescent="0.3">
      <c r="B472" s="235"/>
      <c r="C472" s="281"/>
      <c r="D472" s="281"/>
      <c r="E472" s="269"/>
      <c r="F472" s="269"/>
      <c r="G472" s="196"/>
      <c r="H472" s="248"/>
      <c r="I472" s="248"/>
      <c r="J472" s="248"/>
      <c r="K472" s="248"/>
      <c r="L472" s="248"/>
      <c r="M472" s="248"/>
      <c r="N472" s="248"/>
      <c r="O472" s="248"/>
      <c r="P472" s="248"/>
      <c r="Q472" s="248"/>
      <c r="R472" s="248"/>
      <c r="S472" s="286"/>
      <c r="T472" s="275"/>
      <c r="U472" s="272"/>
      <c r="V472" s="272"/>
      <c r="W472" s="272"/>
      <c r="X472" s="276"/>
      <c r="Y472" s="277"/>
      <c r="Z472" s="245"/>
      <c r="AA472" s="271"/>
      <c r="AB472" s="271"/>
      <c r="AC472" s="243"/>
      <c r="AD472" s="243"/>
      <c r="AE472" s="243"/>
      <c r="AF472" s="243"/>
      <c r="AG472" s="243"/>
      <c r="AH472" s="243"/>
      <c r="AI472" s="243"/>
      <c r="AJ472" s="243"/>
      <c r="AK472" s="243"/>
      <c r="AL472" s="244"/>
      <c r="AM472" s="241"/>
      <c r="AN472" s="242"/>
    </row>
    <row r="473" spans="2:40" ht="15" customHeight="1" x14ac:dyDescent="0.3">
      <c r="B473" s="235"/>
      <c r="C473" s="281"/>
      <c r="D473" s="281"/>
      <c r="E473" s="269"/>
      <c r="F473" s="269"/>
      <c r="G473" s="269"/>
      <c r="H473" s="269"/>
      <c r="I473" s="269"/>
      <c r="J473" s="269"/>
      <c r="K473" s="269"/>
      <c r="L473" s="269"/>
      <c r="M473" s="269"/>
      <c r="N473" s="269"/>
      <c r="O473" s="269"/>
      <c r="P473" s="269"/>
      <c r="Q473" s="269"/>
      <c r="R473" s="269"/>
      <c r="S473" s="286"/>
      <c r="T473" s="275"/>
      <c r="U473" s="272"/>
      <c r="V473" s="272"/>
      <c r="W473" s="272"/>
      <c r="X473" s="276"/>
      <c r="Y473" s="277"/>
      <c r="Z473" s="245"/>
      <c r="AA473" s="271"/>
      <c r="AB473" s="271"/>
      <c r="AC473" s="243"/>
      <c r="AD473" s="243"/>
      <c r="AE473" s="243"/>
      <c r="AF473" s="243"/>
      <c r="AG473" s="243"/>
      <c r="AH473" s="243"/>
      <c r="AI473" s="243"/>
      <c r="AJ473" s="243"/>
      <c r="AK473" s="243"/>
      <c r="AL473" s="244"/>
      <c r="AM473" s="241"/>
      <c r="AN473" s="242"/>
    </row>
    <row r="474" spans="2:40" ht="15" customHeight="1" x14ac:dyDescent="0.3">
      <c r="B474" s="235"/>
      <c r="C474" s="281"/>
      <c r="D474" s="281"/>
      <c r="E474" s="269"/>
      <c r="F474" s="269"/>
      <c r="G474" s="196"/>
      <c r="H474" s="248"/>
      <c r="I474" s="248"/>
      <c r="J474" s="248"/>
      <c r="K474" s="248"/>
      <c r="L474" s="248"/>
      <c r="M474" s="248"/>
      <c r="N474" s="248"/>
      <c r="O474" s="248"/>
      <c r="P474" s="248"/>
      <c r="Q474" s="248"/>
      <c r="R474" s="248"/>
      <c r="S474" s="286"/>
      <c r="T474" s="275"/>
      <c r="U474" s="272"/>
      <c r="V474" s="272"/>
      <c r="W474" s="272"/>
      <c r="X474" s="276"/>
      <c r="Y474" s="277"/>
      <c r="Z474" s="245"/>
      <c r="AA474" s="271"/>
      <c r="AB474" s="271"/>
      <c r="AC474" s="243"/>
      <c r="AD474" s="243"/>
      <c r="AE474" s="243"/>
      <c r="AF474" s="243"/>
      <c r="AG474" s="243"/>
      <c r="AH474" s="243"/>
      <c r="AI474" s="243"/>
      <c r="AJ474" s="243"/>
      <c r="AK474" s="243"/>
      <c r="AL474" s="244"/>
      <c r="AM474" s="241"/>
      <c r="AN474" s="242"/>
    </row>
    <row r="475" spans="2:40" ht="15" customHeight="1" x14ac:dyDescent="0.3">
      <c r="B475" s="235"/>
      <c r="C475" s="281"/>
      <c r="D475" s="281"/>
      <c r="E475" s="269"/>
      <c r="F475" s="269"/>
      <c r="G475" s="196"/>
      <c r="H475" s="248"/>
      <c r="I475" s="248"/>
      <c r="J475" s="248"/>
      <c r="K475" s="248"/>
      <c r="L475" s="248"/>
      <c r="M475" s="248"/>
      <c r="N475" s="248"/>
      <c r="O475" s="248"/>
      <c r="P475" s="248"/>
      <c r="Q475" s="248"/>
      <c r="R475" s="248"/>
      <c r="S475" s="286"/>
      <c r="T475" s="275"/>
      <c r="U475" s="272"/>
      <c r="V475" s="272"/>
      <c r="W475" s="272"/>
      <c r="X475" s="276"/>
      <c r="Y475" s="277"/>
      <c r="Z475" s="245"/>
      <c r="AA475" s="271"/>
      <c r="AB475" s="271"/>
      <c r="AC475" s="243"/>
      <c r="AD475" s="243"/>
      <c r="AE475" s="243"/>
      <c r="AF475" s="243"/>
      <c r="AG475" s="243"/>
      <c r="AH475" s="243"/>
      <c r="AI475" s="243"/>
      <c r="AJ475" s="243"/>
      <c r="AK475" s="243"/>
      <c r="AL475" s="244"/>
      <c r="AM475" s="241"/>
      <c r="AN475" s="242"/>
    </row>
    <row r="476" spans="2:40" ht="15" customHeight="1" x14ac:dyDescent="0.3">
      <c r="B476" s="235"/>
      <c r="C476" s="281"/>
      <c r="D476" s="281"/>
      <c r="E476" s="269"/>
      <c r="F476" s="269"/>
      <c r="G476" s="196"/>
      <c r="H476" s="248"/>
      <c r="I476" s="248"/>
      <c r="J476" s="248"/>
      <c r="K476" s="248"/>
      <c r="L476" s="248"/>
      <c r="M476" s="248"/>
      <c r="N476" s="248"/>
      <c r="O476" s="248"/>
      <c r="P476" s="248"/>
      <c r="Q476" s="248"/>
      <c r="R476" s="248"/>
      <c r="S476" s="286"/>
      <c r="T476" s="275"/>
      <c r="U476" s="272"/>
      <c r="V476" s="272"/>
      <c r="W476" s="272"/>
      <c r="X476" s="276"/>
      <c r="Y476" s="277"/>
      <c r="Z476" s="245"/>
      <c r="AA476" s="271"/>
      <c r="AB476" s="271"/>
      <c r="AC476" s="243"/>
      <c r="AD476" s="243"/>
      <c r="AE476" s="243"/>
      <c r="AF476" s="243"/>
      <c r="AG476" s="243"/>
      <c r="AH476" s="243"/>
      <c r="AI476" s="243"/>
      <c r="AJ476" s="243"/>
      <c r="AK476" s="243"/>
      <c r="AL476" s="244"/>
      <c r="AM476" s="241"/>
      <c r="AN476" s="242"/>
    </row>
    <row r="477" spans="2:40" ht="15" customHeight="1" x14ac:dyDescent="0.3">
      <c r="B477" s="235"/>
      <c r="C477" s="281"/>
      <c r="D477" s="281"/>
      <c r="E477" s="269"/>
      <c r="F477" s="269"/>
      <c r="G477" s="196"/>
      <c r="H477" s="248"/>
      <c r="I477" s="248"/>
      <c r="J477" s="248"/>
      <c r="K477" s="248"/>
      <c r="L477" s="248"/>
      <c r="M477" s="248"/>
      <c r="N477" s="248"/>
      <c r="O477" s="248"/>
      <c r="P477" s="248"/>
      <c r="Q477" s="248"/>
      <c r="R477" s="248"/>
      <c r="S477" s="286"/>
      <c r="T477" s="275"/>
      <c r="U477" s="272"/>
      <c r="V477" s="272"/>
      <c r="W477" s="272"/>
      <c r="X477" s="276"/>
      <c r="Y477" s="277"/>
      <c r="Z477" s="245"/>
      <c r="AA477" s="271"/>
      <c r="AB477" s="271"/>
      <c r="AC477" s="243"/>
      <c r="AD477" s="243"/>
      <c r="AE477" s="243"/>
      <c r="AF477" s="243"/>
      <c r="AG477" s="243"/>
      <c r="AH477" s="243"/>
      <c r="AI477" s="243"/>
      <c r="AJ477" s="243"/>
      <c r="AK477" s="243"/>
      <c r="AL477" s="244"/>
      <c r="AM477" s="241"/>
      <c r="AN477" s="242"/>
    </row>
    <row r="478" spans="2:40" ht="15" customHeight="1" x14ac:dyDescent="0.3">
      <c r="B478" s="235"/>
      <c r="C478" s="281"/>
      <c r="D478" s="281"/>
      <c r="E478" s="269"/>
      <c r="F478" s="269"/>
      <c r="G478" s="269"/>
      <c r="H478" s="269"/>
      <c r="I478" s="269"/>
      <c r="J478" s="269"/>
      <c r="K478" s="269"/>
      <c r="L478" s="269"/>
      <c r="M478" s="269"/>
      <c r="N478" s="269"/>
      <c r="O478" s="269"/>
      <c r="P478" s="269"/>
      <c r="Q478" s="269"/>
      <c r="R478" s="269"/>
      <c r="S478" s="286"/>
      <c r="T478" s="275"/>
      <c r="U478" s="272"/>
      <c r="V478" s="272"/>
      <c r="W478" s="272"/>
      <c r="X478" s="276"/>
      <c r="Y478" s="277"/>
      <c r="Z478" s="245"/>
      <c r="AA478" s="271"/>
      <c r="AB478" s="271"/>
      <c r="AC478" s="243"/>
      <c r="AD478" s="243"/>
      <c r="AE478" s="243"/>
      <c r="AF478" s="243"/>
      <c r="AG478" s="243"/>
      <c r="AH478" s="243"/>
      <c r="AI478" s="243"/>
      <c r="AJ478" s="243"/>
      <c r="AK478" s="243"/>
      <c r="AL478" s="244"/>
      <c r="AM478" s="241"/>
      <c r="AN478" s="242"/>
    </row>
    <row r="479" spans="2:40" ht="15" customHeight="1" x14ac:dyDescent="0.3">
      <c r="B479" s="235"/>
      <c r="C479" s="281"/>
      <c r="D479" s="281"/>
      <c r="E479" s="269"/>
      <c r="F479" s="269"/>
      <c r="G479" s="196"/>
      <c r="H479" s="248"/>
      <c r="I479" s="248"/>
      <c r="J479" s="248"/>
      <c r="K479" s="248"/>
      <c r="L479" s="248"/>
      <c r="M479" s="248"/>
      <c r="N479" s="248"/>
      <c r="O479" s="248"/>
      <c r="P479" s="248"/>
      <c r="Q479" s="248"/>
      <c r="R479" s="248"/>
      <c r="S479" s="286"/>
      <c r="T479" s="275"/>
      <c r="U479" s="272"/>
      <c r="V479" s="272"/>
      <c r="W479" s="272"/>
      <c r="X479" s="276"/>
      <c r="Y479" s="277"/>
      <c r="Z479" s="245"/>
      <c r="AA479" s="271"/>
      <c r="AB479" s="271"/>
      <c r="AC479" s="243"/>
      <c r="AD479" s="243"/>
      <c r="AE479" s="243"/>
      <c r="AF479" s="243"/>
      <c r="AG479" s="243"/>
      <c r="AH479" s="243"/>
      <c r="AI479" s="243"/>
      <c r="AJ479" s="243"/>
      <c r="AK479" s="243"/>
      <c r="AL479" s="244"/>
      <c r="AM479" s="241"/>
      <c r="AN479" s="242"/>
    </row>
    <row r="480" spans="2:40" ht="15" customHeight="1" x14ac:dyDescent="0.3">
      <c r="B480" s="235"/>
      <c r="C480" s="281"/>
      <c r="D480" s="281"/>
      <c r="E480" s="269"/>
      <c r="F480" s="269"/>
      <c r="G480" s="196"/>
      <c r="H480" s="248"/>
      <c r="I480" s="248"/>
      <c r="J480" s="248"/>
      <c r="K480" s="248"/>
      <c r="L480" s="248"/>
      <c r="M480" s="248"/>
      <c r="N480" s="248"/>
      <c r="O480" s="248"/>
      <c r="P480" s="248"/>
      <c r="Q480" s="248"/>
      <c r="R480" s="248"/>
      <c r="S480" s="286"/>
      <c r="T480" s="275"/>
      <c r="U480" s="272"/>
      <c r="V480" s="272"/>
      <c r="W480" s="272"/>
      <c r="X480" s="276"/>
      <c r="Y480" s="277"/>
      <c r="Z480" s="245"/>
      <c r="AA480" s="271"/>
      <c r="AB480" s="271"/>
      <c r="AC480" s="243"/>
      <c r="AD480" s="243"/>
      <c r="AE480" s="243"/>
      <c r="AF480" s="243"/>
      <c r="AG480" s="243"/>
      <c r="AH480" s="243"/>
      <c r="AI480" s="243"/>
      <c r="AJ480" s="243"/>
      <c r="AK480" s="243"/>
      <c r="AL480" s="244"/>
      <c r="AM480" s="241"/>
      <c r="AN480" s="242"/>
    </row>
    <row r="481" spans="2:40" ht="15" customHeight="1" x14ac:dyDescent="0.3">
      <c r="B481" s="235"/>
      <c r="C481" s="281"/>
      <c r="D481" s="281"/>
      <c r="E481" s="269"/>
      <c r="F481" s="269"/>
      <c r="G481" s="196"/>
      <c r="H481" s="248"/>
      <c r="I481" s="248"/>
      <c r="J481" s="248"/>
      <c r="K481" s="248"/>
      <c r="L481" s="248"/>
      <c r="M481" s="248"/>
      <c r="N481" s="248"/>
      <c r="O481" s="248"/>
      <c r="P481" s="248"/>
      <c r="Q481" s="248"/>
      <c r="R481" s="248"/>
      <c r="S481" s="286"/>
      <c r="T481" s="275"/>
      <c r="U481" s="272"/>
      <c r="V481" s="272"/>
      <c r="W481" s="272"/>
      <c r="X481" s="276"/>
      <c r="Y481" s="277"/>
      <c r="Z481" s="245"/>
      <c r="AA481" s="271"/>
      <c r="AB481" s="271"/>
      <c r="AC481" s="243"/>
      <c r="AD481" s="243"/>
      <c r="AE481" s="243"/>
      <c r="AF481" s="243"/>
      <c r="AG481" s="243"/>
      <c r="AH481" s="243"/>
      <c r="AI481" s="243"/>
      <c r="AJ481" s="243"/>
      <c r="AK481" s="243"/>
      <c r="AL481" s="244"/>
      <c r="AM481" s="241"/>
      <c r="AN481" s="242"/>
    </row>
    <row r="482" spans="2:40" ht="15" customHeight="1" x14ac:dyDescent="0.3">
      <c r="B482" s="235"/>
      <c r="C482" s="281"/>
      <c r="D482" s="281"/>
      <c r="E482" s="269"/>
      <c r="F482" s="269"/>
      <c r="G482" s="196"/>
      <c r="H482" s="248"/>
      <c r="I482" s="248"/>
      <c r="J482" s="248"/>
      <c r="K482" s="248"/>
      <c r="L482" s="248"/>
      <c r="M482" s="248"/>
      <c r="N482" s="248"/>
      <c r="O482" s="248"/>
      <c r="P482" s="248"/>
      <c r="Q482" s="248"/>
      <c r="R482" s="248"/>
      <c r="S482" s="286"/>
      <c r="T482" s="275"/>
      <c r="U482" s="272"/>
      <c r="V482" s="272"/>
      <c r="W482" s="272"/>
      <c r="X482" s="276"/>
      <c r="Y482" s="277"/>
      <c r="Z482" s="245"/>
      <c r="AA482" s="271"/>
      <c r="AB482" s="271"/>
      <c r="AC482" s="243"/>
      <c r="AD482" s="243"/>
      <c r="AE482" s="243"/>
      <c r="AF482" s="243"/>
      <c r="AG482" s="243"/>
      <c r="AH482" s="243"/>
      <c r="AI482" s="243"/>
      <c r="AJ482" s="243"/>
      <c r="AK482" s="243"/>
      <c r="AL482" s="244"/>
      <c r="AM482" s="241"/>
      <c r="AN482" s="242"/>
    </row>
    <row r="483" spans="2:40" ht="15" customHeight="1" x14ac:dyDescent="0.3">
      <c r="B483" s="235"/>
      <c r="C483" s="281"/>
      <c r="D483" s="281"/>
      <c r="E483" s="269"/>
      <c r="F483" s="269"/>
      <c r="G483" s="269"/>
      <c r="H483" s="269"/>
      <c r="I483" s="269"/>
      <c r="J483" s="269"/>
      <c r="K483" s="269"/>
      <c r="L483" s="269"/>
      <c r="M483" s="269"/>
      <c r="N483" s="269"/>
      <c r="O483" s="269"/>
      <c r="P483" s="269"/>
      <c r="Q483" s="269"/>
      <c r="R483" s="269"/>
      <c r="S483" s="286"/>
      <c r="T483" s="275"/>
      <c r="U483" s="272"/>
      <c r="V483" s="272"/>
      <c r="W483" s="272"/>
      <c r="X483" s="276"/>
      <c r="Y483" s="277"/>
      <c r="Z483" s="245"/>
      <c r="AA483" s="271"/>
      <c r="AB483" s="271"/>
      <c r="AC483" s="243"/>
      <c r="AD483" s="243"/>
      <c r="AE483" s="243"/>
      <c r="AF483" s="243"/>
      <c r="AG483" s="243"/>
      <c r="AH483" s="243"/>
      <c r="AI483" s="243"/>
      <c r="AJ483" s="243"/>
      <c r="AK483" s="243"/>
      <c r="AL483" s="244"/>
      <c r="AM483" s="241"/>
      <c r="AN483" s="242"/>
    </row>
    <row r="484" spans="2:40" ht="15" customHeight="1" x14ac:dyDescent="0.3">
      <c r="B484" s="235"/>
      <c r="C484" s="281"/>
      <c r="D484" s="281"/>
      <c r="E484" s="269"/>
      <c r="F484" s="269"/>
      <c r="G484" s="269"/>
      <c r="H484" s="269"/>
      <c r="I484" s="269"/>
      <c r="J484" s="269"/>
      <c r="K484" s="269"/>
      <c r="L484" s="269"/>
      <c r="M484" s="269"/>
      <c r="N484" s="269"/>
      <c r="O484" s="269"/>
      <c r="P484" s="269"/>
      <c r="Q484" s="269"/>
      <c r="R484" s="269"/>
      <c r="S484" s="286"/>
      <c r="T484" s="275"/>
      <c r="U484" s="272"/>
      <c r="V484" s="272"/>
      <c r="W484" s="272"/>
      <c r="X484" s="276"/>
      <c r="Y484" s="277"/>
      <c r="Z484" s="245"/>
      <c r="AA484" s="271"/>
      <c r="AB484" s="271"/>
      <c r="AC484" s="243"/>
      <c r="AD484" s="243"/>
      <c r="AE484" s="243"/>
      <c r="AF484" s="243"/>
      <c r="AG484" s="243"/>
      <c r="AH484" s="243"/>
      <c r="AI484" s="243"/>
      <c r="AJ484" s="243"/>
      <c r="AK484" s="243"/>
      <c r="AL484" s="244"/>
      <c r="AM484" s="241"/>
      <c r="AN484" s="242"/>
    </row>
    <row r="485" spans="2:40" ht="15" customHeight="1" x14ac:dyDescent="0.3">
      <c r="B485" s="281"/>
      <c r="C485" s="247"/>
      <c r="D485" s="247"/>
      <c r="E485" s="273"/>
      <c r="F485" s="273"/>
      <c r="G485" s="273"/>
      <c r="H485" s="273"/>
      <c r="I485" s="273"/>
      <c r="J485" s="273"/>
      <c r="K485" s="273"/>
      <c r="L485" s="273"/>
      <c r="M485" s="273"/>
      <c r="N485" s="273"/>
      <c r="O485" s="273"/>
      <c r="P485" s="273"/>
      <c r="Q485" s="273"/>
      <c r="R485" s="273"/>
      <c r="S485" s="274"/>
      <c r="T485" s="275"/>
      <c r="U485" s="273"/>
      <c r="V485" s="273"/>
      <c r="W485" s="273"/>
      <c r="X485" s="276"/>
      <c r="Y485" s="277"/>
      <c r="Z485" s="26"/>
      <c r="AA485" s="236"/>
      <c r="AB485" s="236"/>
      <c r="AC485" s="278"/>
      <c r="AD485" s="278"/>
      <c r="AE485" s="278"/>
      <c r="AF485" s="278"/>
      <c r="AG485" s="278"/>
      <c r="AH485" s="278"/>
      <c r="AI485" s="278"/>
      <c r="AJ485" s="278"/>
      <c r="AK485" s="278"/>
      <c r="AL485" s="279"/>
      <c r="AM485" s="33"/>
      <c r="AN485" s="1"/>
    </row>
    <row r="486" spans="2:40" ht="15" customHeight="1" x14ac:dyDescent="0.3">
      <c r="B486" s="240"/>
      <c r="C486" s="240"/>
      <c r="D486" s="240"/>
      <c r="E486" s="240"/>
      <c r="F486" s="240"/>
      <c r="G486" s="240"/>
      <c r="H486" s="240"/>
      <c r="I486" s="240"/>
      <c r="J486" s="240"/>
      <c r="K486" s="240"/>
      <c r="L486" s="240"/>
      <c r="M486" s="240"/>
      <c r="N486" s="240"/>
      <c r="O486" s="240"/>
      <c r="P486" s="240"/>
      <c r="Q486" s="240"/>
      <c r="R486" s="240"/>
      <c r="S486" s="239"/>
      <c r="T486" s="239"/>
      <c r="U486" s="237"/>
      <c r="V486" s="198"/>
      <c r="W486" s="198"/>
      <c r="X486" s="231"/>
      <c r="Y486" s="231"/>
      <c r="Z486" s="191"/>
      <c r="AA486" s="238"/>
      <c r="AB486" s="238"/>
      <c r="AC486" s="190"/>
      <c r="AD486" s="190"/>
      <c r="AE486" s="190"/>
      <c r="AF486" s="190"/>
      <c r="AG486" s="190"/>
      <c r="AH486" s="190"/>
      <c r="AI486" s="190"/>
      <c r="AJ486" s="190"/>
      <c r="AK486" s="190"/>
      <c r="AL486" s="192"/>
      <c r="AM486" s="241"/>
      <c r="AN486" s="242"/>
    </row>
    <row r="487" spans="2:40" ht="15" customHeight="1" x14ac:dyDescent="0.3">
      <c r="B487" s="240"/>
      <c r="C487" s="240"/>
      <c r="D487" s="240"/>
      <c r="E487" s="240"/>
      <c r="F487" s="240"/>
      <c r="G487" s="240"/>
      <c r="H487" s="240"/>
      <c r="I487" s="240"/>
      <c r="J487" s="240"/>
      <c r="K487" s="240"/>
      <c r="L487" s="240"/>
      <c r="M487" s="240"/>
      <c r="N487" s="240"/>
      <c r="O487" s="240"/>
      <c r="P487" s="240"/>
      <c r="Q487" s="240"/>
      <c r="R487" s="240"/>
      <c r="S487" s="239"/>
      <c r="T487" s="239"/>
      <c r="U487" s="237"/>
      <c r="V487" s="198"/>
      <c r="W487" s="198"/>
      <c r="X487" s="231"/>
      <c r="Y487" s="231"/>
      <c r="Z487" s="191"/>
      <c r="AA487" s="238"/>
      <c r="AB487" s="238"/>
      <c r="AC487" s="190"/>
      <c r="AD487" s="190"/>
      <c r="AE487" s="190"/>
      <c r="AF487" s="190"/>
      <c r="AG487" s="190"/>
      <c r="AH487" s="190"/>
      <c r="AI487" s="190"/>
      <c r="AJ487" s="190"/>
      <c r="AK487" s="190"/>
      <c r="AL487" s="192"/>
      <c r="AM487" s="241"/>
      <c r="AN487" s="242"/>
    </row>
    <row r="488" spans="2:40" ht="15" customHeight="1" x14ac:dyDescent="0.3">
      <c r="B488" s="235"/>
      <c r="C488" s="235"/>
      <c r="D488" s="235"/>
      <c r="E488" s="235"/>
      <c r="F488" s="235"/>
      <c r="G488" s="235"/>
      <c r="H488" s="235"/>
      <c r="I488" s="235"/>
      <c r="J488" s="235"/>
      <c r="K488" s="235"/>
      <c r="L488" s="235"/>
      <c r="M488" s="235"/>
      <c r="N488" s="235"/>
      <c r="O488" s="235"/>
      <c r="P488" s="235"/>
      <c r="Q488" s="235"/>
      <c r="R488" s="235"/>
      <c r="S488" s="234"/>
      <c r="T488" s="234"/>
      <c r="U488" s="233"/>
      <c r="V488" s="198"/>
      <c r="W488" s="198"/>
      <c r="X488" s="231"/>
      <c r="Y488" s="231"/>
      <c r="Z488" s="215"/>
      <c r="AA488" s="193"/>
      <c r="AB488" s="193"/>
      <c r="AC488" s="190"/>
      <c r="AD488" s="190"/>
      <c r="AE488" s="190"/>
      <c r="AF488" s="190"/>
      <c r="AG488" s="190"/>
      <c r="AH488" s="190"/>
      <c r="AI488" s="190"/>
      <c r="AJ488" s="190"/>
      <c r="AK488" s="190"/>
      <c r="AL488" s="192"/>
      <c r="AM488" s="241"/>
      <c r="AN488" s="241"/>
    </row>
    <row r="489" spans="2:40" ht="15" customHeight="1" x14ac:dyDescent="0.3">
      <c r="B489" s="235"/>
      <c r="C489" s="235"/>
      <c r="D489" s="235"/>
      <c r="E489" s="235"/>
      <c r="F489" s="235"/>
      <c r="G489" s="235"/>
      <c r="H489" s="235"/>
      <c r="I489" s="235"/>
      <c r="J489" s="235"/>
      <c r="K489" s="235"/>
      <c r="L489" s="235"/>
      <c r="M489" s="235"/>
      <c r="N489" s="235"/>
      <c r="O489" s="235"/>
      <c r="P489" s="235"/>
      <c r="Q489" s="235"/>
      <c r="R489" s="235"/>
      <c r="S489" s="234"/>
      <c r="T489" s="234"/>
      <c r="U489" s="233"/>
      <c r="V489" s="198"/>
      <c r="W489" s="198"/>
      <c r="X489" s="231"/>
      <c r="Y489" s="231"/>
      <c r="Z489" s="215"/>
      <c r="AA489" s="193"/>
      <c r="AB489" s="193"/>
      <c r="AC489" s="190"/>
      <c r="AD489" s="190"/>
      <c r="AE489" s="190"/>
      <c r="AF489" s="190"/>
      <c r="AG489" s="190"/>
      <c r="AH489" s="190"/>
      <c r="AI489" s="190"/>
      <c r="AJ489" s="190"/>
      <c r="AK489" s="190"/>
      <c r="AL489" s="192"/>
      <c r="AM489" s="241"/>
      <c r="AN489" s="241"/>
    </row>
    <row r="490" spans="2:40" ht="15" customHeight="1" x14ac:dyDescent="0.3">
      <c r="B490" s="230"/>
      <c r="C490" s="230"/>
      <c r="D490" s="230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30"/>
      <c r="S490" s="234"/>
      <c r="T490" s="234"/>
      <c r="U490" s="40"/>
      <c r="V490" s="40"/>
      <c r="W490" s="40"/>
      <c r="X490" s="231"/>
      <c r="Y490" s="231"/>
      <c r="Z490" s="193"/>
      <c r="AA490" s="193"/>
      <c r="AB490" s="193"/>
      <c r="AC490" s="190"/>
      <c r="AD490" s="190"/>
      <c r="AE490" s="190"/>
      <c r="AF490" s="190"/>
      <c r="AG490" s="190"/>
      <c r="AH490" s="190"/>
      <c r="AI490" s="190"/>
      <c r="AJ490" s="190"/>
      <c r="AK490" s="190"/>
      <c r="AL490" s="192"/>
      <c r="AM490" s="241"/>
      <c r="AN490" s="241"/>
    </row>
  </sheetData>
  <autoFilter ref="B2:AN464" xr:uid="{00000000-0009-0000-0000-000002000000}"/>
  <printOptions horizontalCentered="1"/>
  <pageMargins left="0.19685039370078741" right="0" top="0.39370078740157483" bottom="0.39370078740157483" header="0.19685039370078741" footer="0.19685039370078741"/>
  <pageSetup paperSize="9" scale="65" orientation="landscape" horizontalDpi="120" verticalDpi="72" r:id="rId1"/>
  <headerFooter>
    <oddHeader>&amp;R&amp;P</oddHeader>
  </headerFooter>
  <rowBreaks count="2" manualBreakCount="2">
    <brk id="480" min="1" max="26" man="1"/>
    <brk id="486" min="1" max="26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7"/>
  <dimension ref="A1:AT492"/>
  <sheetViews>
    <sheetView view="pageBreakPreview" zoomScale="50" zoomScaleNormal="98" zoomScaleSheetLayoutView="50" workbookViewId="0">
      <pane xSplit="38" ySplit="2" topLeftCell="AM30" activePane="bottomRight" state="frozen"/>
      <selection pane="topRight" activeCell="H1" sqref="H1"/>
      <selection pane="bottomLeft" activeCell="A3" sqref="A3"/>
      <selection pane="bottomRight" activeCell="D60" sqref="D60"/>
    </sheetView>
  </sheetViews>
  <sheetFormatPr baseColWidth="10" defaultColWidth="11.44140625" defaultRowHeight="14.4" x14ac:dyDescent="0.3"/>
  <cols>
    <col min="1" max="1" width="8.44140625" style="185" customWidth="1"/>
    <col min="2" max="2" width="14.6640625" style="30" customWidth="1"/>
    <col min="3" max="3" width="12" style="30" customWidth="1"/>
    <col min="4" max="4" width="18.33203125" style="30" customWidth="1"/>
    <col min="5" max="5" width="7.88671875" style="30" customWidth="1"/>
    <col min="6" max="6" width="7.6640625" style="30" customWidth="1"/>
    <col min="7" max="7" width="6.88671875" style="30" customWidth="1"/>
    <col min="8" max="9" width="7.6640625" style="30" customWidth="1"/>
    <col min="10" max="14" width="6.33203125" style="30" customWidth="1"/>
    <col min="15" max="15" width="9.88671875" style="30" bestFit="1" customWidth="1"/>
    <col min="16" max="16" width="8" style="30" customWidth="1"/>
    <col min="17" max="17" width="6.33203125" style="30" customWidth="1"/>
    <col min="18" max="18" width="8.44140625" style="30" customWidth="1"/>
    <col min="19" max="19" width="19.109375" style="249" customWidth="1"/>
    <col min="20" max="20" width="47.6640625" style="31" bestFit="1" customWidth="1"/>
    <col min="21" max="21" width="7.33203125" style="249" customWidth="1"/>
    <col min="22" max="23" width="7.88671875" style="249" customWidth="1"/>
    <col min="24" max="24" width="16.88671875" style="249" bestFit="1" customWidth="1"/>
    <col min="25" max="25" width="15.6640625" style="2" customWidth="1"/>
    <col min="26" max="26" width="12.44140625" style="2" bestFit="1" customWidth="1"/>
    <col min="27" max="27" width="7.88671875" style="2" bestFit="1" customWidth="1"/>
    <col min="28" max="28" width="5.6640625" style="2" customWidth="1"/>
    <col min="29" max="29" width="15.5546875" style="249" customWidth="1"/>
    <col min="30" max="30" width="10.88671875" style="249" customWidth="1"/>
    <col min="31" max="31" width="5.88671875" style="249" customWidth="1"/>
    <col min="32" max="34" width="6.109375" style="249" customWidth="1"/>
    <col min="35" max="35" width="6.33203125" style="249" customWidth="1"/>
    <col min="36" max="36" width="5.6640625" style="249" customWidth="1"/>
    <col min="37" max="37" width="6.33203125" style="249" customWidth="1"/>
    <col min="38" max="38" width="12.5546875" style="249" customWidth="1"/>
    <col min="39" max="39" width="17.5546875" style="249" hidden="1" customWidth="1"/>
    <col min="40" max="40" width="9.6640625" style="249" customWidth="1"/>
    <col min="41" max="16384" width="11.44140625" style="185"/>
  </cols>
  <sheetData>
    <row r="1" spans="1:41" x14ac:dyDescent="0.3">
      <c r="AD1" s="22" t="s">
        <v>353</v>
      </c>
      <c r="AI1" s="249">
        <v>0</v>
      </c>
      <c r="AM1" s="241"/>
      <c r="AN1" s="241"/>
      <c r="AO1" s="188"/>
    </row>
    <row r="2" spans="1:41" s="187" customFormat="1" ht="65.25" customHeight="1" x14ac:dyDescent="0.3">
      <c r="A2" s="187" t="s">
        <v>1935</v>
      </c>
      <c r="B2" s="250" t="s">
        <v>1099</v>
      </c>
      <c r="C2" s="250" t="s">
        <v>1614</v>
      </c>
      <c r="D2" s="250" t="s">
        <v>1840</v>
      </c>
      <c r="E2" s="251" t="s">
        <v>1608</v>
      </c>
      <c r="F2" s="251" t="s">
        <v>1605</v>
      </c>
      <c r="G2" s="251" t="s">
        <v>1606</v>
      </c>
      <c r="H2" s="251" t="s">
        <v>1607</v>
      </c>
      <c r="I2" s="251" t="s">
        <v>1934</v>
      </c>
      <c r="J2" s="251" t="s">
        <v>1931</v>
      </c>
      <c r="K2" s="251" t="s">
        <v>1932</v>
      </c>
      <c r="L2" s="251" t="s">
        <v>1933</v>
      </c>
      <c r="M2" s="251"/>
      <c r="N2" s="251" t="s">
        <v>1934</v>
      </c>
      <c r="O2" s="251" t="s">
        <v>1931</v>
      </c>
      <c r="P2" s="251" t="s">
        <v>1932</v>
      </c>
      <c r="Q2" s="251" t="s">
        <v>1933</v>
      </c>
      <c r="R2" s="251" t="s">
        <v>1959</v>
      </c>
      <c r="S2" s="251" t="s">
        <v>1609</v>
      </c>
      <c r="T2" s="252" t="s">
        <v>1610</v>
      </c>
      <c r="U2" s="253" t="s">
        <v>302</v>
      </c>
      <c r="V2" s="253" t="s">
        <v>515</v>
      </c>
      <c r="W2" s="253" t="s">
        <v>1962</v>
      </c>
      <c r="X2" s="254" t="s">
        <v>516</v>
      </c>
      <c r="Y2" s="254" t="s">
        <v>513</v>
      </c>
      <c r="Z2" s="254" t="s">
        <v>517</v>
      </c>
      <c r="AA2" s="254" t="s">
        <v>1580</v>
      </c>
      <c r="AB2" s="254" t="s">
        <v>1936</v>
      </c>
      <c r="AC2" s="255" t="s">
        <v>695</v>
      </c>
      <c r="AD2" s="256" t="s">
        <v>418</v>
      </c>
      <c r="AE2" s="256" t="s">
        <v>420</v>
      </c>
      <c r="AF2" s="256" t="s">
        <v>448</v>
      </c>
      <c r="AG2" s="256" t="s">
        <v>392</v>
      </c>
      <c r="AH2" s="256" t="s">
        <v>450</v>
      </c>
      <c r="AI2" s="256" t="s">
        <v>85</v>
      </c>
      <c r="AJ2" s="256" t="s">
        <v>419</v>
      </c>
      <c r="AK2" s="256" t="s">
        <v>492</v>
      </c>
      <c r="AL2" s="257" t="s">
        <v>137</v>
      </c>
      <c r="AM2" s="258" t="s">
        <v>514</v>
      </c>
      <c r="AN2" s="258" t="s">
        <v>1960</v>
      </c>
    </row>
    <row r="3" spans="1:41" s="188" customFormat="1" ht="16.5" customHeight="1" x14ac:dyDescent="0.3">
      <c r="A3" s="185"/>
      <c r="B3" s="326"/>
      <c r="C3" s="247"/>
      <c r="D3" s="200"/>
      <c r="E3" s="267"/>
      <c r="F3" s="267"/>
      <c r="G3" s="196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87"/>
      <c r="T3" s="287"/>
      <c r="U3" s="272"/>
      <c r="V3" s="272"/>
      <c r="W3" s="272"/>
      <c r="X3" s="276"/>
      <c r="Y3" s="277"/>
      <c r="Z3" s="245"/>
      <c r="AA3" s="311">
        <f t="shared" ref="AA3:AA4" si="0">IF(YEAR(Z3)&gt;2000,YEAR(Z3),YEAR(Y3))</f>
        <v>1900</v>
      </c>
      <c r="AB3" s="311">
        <f t="shared" ref="AB3:AB4" si="1">MONTH(Z3)</f>
        <v>1</v>
      </c>
      <c r="AC3" s="243" t="s">
        <v>1927</v>
      </c>
      <c r="AD3" s="344"/>
      <c r="AE3" s="345"/>
      <c r="AF3" s="345"/>
      <c r="AG3" s="345"/>
      <c r="AH3" s="345"/>
      <c r="AI3" s="345"/>
      <c r="AJ3" s="345"/>
      <c r="AK3" s="345"/>
      <c r="AL3" s="244"/>
      <c r="AM3" s="241"/>
      <c r="AN3" s="242"/>
    </row>
    <row r="4" spans="1:41" ht="16.5" customHeight="1" x14ac:dyDescent="0.3">
      <c r="B4" s="326"/>
      <c r="C4" s="247"/>
      <c r="D4" s="200"/>
      <c r="E4" s="267"/>
      <c r="F4" s="267"/>
      <c r="G4" s="196"/>
      <c r="H4" s="248"/>
      <c r="I4" s="248"/>
      <c r="J4" s="248"/>
      <c r="K4" s="248"/>
      <c r="L4" s="248"/>
      <c r="M4" s="248"/>
      <c r="N4" s="248">
        <v>0.125</v>
      </c>
      <c r="O4" s="248">
        <v>0.25</v>
      </c>
      <c r="P4" s="248">
        <v>0.15</v>
      </c>
      <c r="Q4" s="248">
        <v>0.125</v>
      </c>
      <c r="R4" s="248" t="s">
        <v>1958</v>
      </c>
      <c r="S4" s="287"/>
      <c r="T4" s="287"/>
      <c r="U4" s="272"/>
      <c r="V4" s="272"/>
      <c r="W4" s="272"/>
      <c r="X4" s="276"/>
      <c r="Y4" s="277"/>
      <c r="Z4" s="245"/>
      <c r="AA4" s="311">
        <f t="shared" si="0"/>
        <v>1900</v>
      </c>
      <c r="AB4" s="311">
        <f t="shared" si="1"/>
        <v>1</v>
      </c>
      <c r="AC4" s="243" t="s">
        <v>1927</v>
      </c>
      <c r="AD4" s="344"/>
      <c r="AE4" s="345"/>
      <c r="AF4" s="345"/>
      <c r="AG4" s="345"/>
      <c r="AH4" s="345"/>
      <c r="AI4" s="345"/>
      <c r="AJ4" s="345"/>
      <c r="AK4" s="345"/>
      <c r="AL4" s="244"/>
      <c r="AM4" s="241"/>
      <c r="AN4" s="242"/>
    </row>
    <row r="5" spans="1:41" ht="16.5" customHeight="1" x14ac:dyDescent="0.3">
      <c r="A5" s="185" t="str">
        <f>+A2</f>
        <v>It</v>
      </c>
      <c r="B5" s="185" t="str">
        <f t="shared" ref="B5:AN5" si="2">+B2</f>
        <v xml:space="preserve">     OP
Click para ver</v>
      </c>
      <c r="C5" s="185" t="str">
        <f t="shared" si="2"/>
        <v>CLIENTE</v>
      </c>
      <c r="D5" s="185" t="str">
        <f t="shared" si="2"/>
        <v>Tipo Producto</v>
      </c>
      <c r="E5" s="185" t="str">
        <f t="shared" si="2"/>
        <v>FICHA TECNICA</v>
      </c>
      <c r="F5" s="185" t="str">
        <f t="shared" si="2"/>
        <v>OS CORTE</v>
      </c>
      <c r="G5" s="185" t="str">
        <f t="shared" si="2"/>
        <v>OS BORDADO</v>
      </c>
      <c r="H5" s="185" t="str">
        <f t="shared" si="2"/>
        <v>OS CONFECCION</v>
      </c>
      <c r="I5" s="185" t="str">
        <f t="shared" si="2"/>
        <v>Cte</v>
      </c>
      <c r="J5" s="185" t="str">
        <f t="shared" si="2"/>
        <v>Conf</v>
      </c>
      <c r="K5" s="185" t="str">
        <f t="shared" si="2"/>
        <v>Bord/Est</v>
      </c>
      <c r="L5" s="185" t="str">
        <f t="shared" si="2"/>
        <v>Acab</v>
      </c>
      <c r="M5" s="362" t="s">
        <v>1961</v>
      </c>
      <c r="N5" s="185" t="str">
        <f t="shared" si="2"/>
        <v>Cte</v>
      </c>
      <c r="O5" s="185" t="str">
        <f t="shared" si="2"/>
        <v>Conf</v>
      </c>
      <c r="P5" s="185" t="str">
        <f t="shared" si="2"/>
        <v>Bord/Est</v>
      </c>
      <c r="Q5" s="185" t="str">
        <f t="shared" si="2"/>
        <v>Acab</v>
      </c>
      <c r="R5" s="185" t="str">
        <f t="shared" si="2"/>
        <v>Tot Min</v>
      </c>
      <c r="S5" s="185" t="str">
        <f t="shared" si="2"/>
        <v>MODELO (ORDEN)</v>
      </c>
      <c r="T5" s="185" t="str">
        <f t="shared" si="2"/>
        <v xml:space="preserve">    DESCRPPCION DEL MODELO</v>
      </c>
      <c r="U5" s="185" t="str">
        <f t="shared" si="2"/>
        <v>CANT. OP</v>
      </c>
      <c r="V5" s="185" t="str">
        <f t="shared" si="2"/>
        <v>CANT. CORTADA</v>
      </c>
      <c r="W5" s="362" t="s">
        <v>1962</v>
      </c>
      <c r="X5" s="185" t="str">
        <f t="shared" si="2"/>
        <v>FECHA DE PEDIDO</v>
      </c>
      <c r="Y5" s="185" t="str">
        <f t="shared" si="2"/>
        <v>FECHA DE DESPACHO</v>
      </c>
      <c r="Z5" s="185" t="str">
        <f t="shared" si="2"/>
        <v>FECHA DESPACHO MODIFICADA</v>
      </c>
      <c r="AA5" s="185" t="str">
        <f t="shared" si="2"/>
        <v>AÑO</v>
      </c>
      <c r="AB5" s="185" t="str">
        <f t="shared" si="2"/>
        <v>MES</v>
      </c>
      <c r="AC5" s="185" t="str">
        <f t="shared" si="2"/>
        <v xml:space="preserve">ESTADO   </v>
      </c>
      <c r="AD5" s="185" t="str">
        <f t="shared" si="2"/>
        <v>TELA</v>
      </c>
      <c r="AE5" s="185" t="str">
        <f t="shared" si="2"/>
        <v>TRICOT</v>
      </c>
      <c r="AF5" s="185" t="str">
        <f t="shared" si="2"/>
        <v>TIZADO</v>
      </c>
      <c r="AG5" s="185" t="str">
        <f t="shared" si="2"/>
        <v>CORTE</v>
      </c>
      <c r="AH5" s="185" t="str">
        <f t="shared" si="2"/>
        <v>FUSIONADO</v>
      </c>
      <c r="AI5" s="185" t="str">
        <f t="shared" si="2"/>
        <v>BORDADO</v>
      </c>
      <c r="AJ5" s="185" t="str">
        <f t="shared" si="2"/>
        <v>BOTONES</v>
      </c>
      <c r="AK5" s="185" t="str">
        <f t="shared" si="2"/>
        <v>PUNTILLAS/BLONDA</v>
      </c>
      <c r="AL5" s="185" t="str">
        <f t="shared" si="2"/>
        <v>TALLER</v>
      </c>
      <c r="AM5" s="185" t="str">
        <f t="shared" si="2"/>
        <v>FECHA DE DESPACHO REAL</v>
      </c>
      <c r="AN5" s="185" t="str">
        <f t="shared" si="2"/>
        <v>BORD</v>
      </c>
    </row>
    <row r="6" spans="1:41" x14ac:dyDescent="0.3">
      <c r="A6" s="185">
        <v>20</v>
      </c>
      <c r="B6" s="212" t="s">
        <v>784</v>
      </c>
      <c r="C6" s="212" t="s">
        <v>1616</v>
      </c>
      <c r="D6" s="335" t="s">
        <v>1848</v>
      </c>
      <c r="E6" s="212"/>
      <c r="F6" s="212" t="s">
        <v>1597</v>
      </c>
      <c r="G6" s="212" t="s">
        <v>1941</v>
      </c>
      <c r="H6" s="212"/>
      <c r="I6" s="212">
        <v>2</v>
      </c>
      <c r="J6" s="357">
        <v>9</v>
      </c>
      <c r="K6" s="212">
        <v>9</v>
      </c>
      <c r="L6" s="212">
        <v>1</v>
      </c>
      <c r="M6" s="212">
        <f>SUM((I6:L6))</f>
        <v>21</v>
      </c>
      <c r="N6" s="212">
        <f>+I6/0.125</f>
        <v>16</v>
      </c>
      <c r="O6" s="212">
        <f>+J6/0.25</f>
        <v>36</v>
      </c>
      <c r="P6" s="212">
        <f>+K6/0.15</f>
        <v>60</v>
      </c>
      <c r="Q6" s="212">
        <f>+L6/0.125</f>
        <v>8</v>
      </c>
      <c r="R6" s="212">
        <f>SUM(N6:Q6)</f>
        <v>120</v>
      </c>
      <c r="S6" s="202" t="s">
        <v>699</v>
      </c>
      <c r="T6" s="203" t="s">
        <v>701</v>
      </c>
      <c r="U6" s="202">
        <v>110</v>
      </c>
      <c r="V6" s="202">
        <v>115</v>
      </c>
      <c r="W6" s="202">
        <v>115</v>
      </c>
      <c r="X6" s="367">
        <v>43753</v>
      </c>
      <c r="Y6" s="205">
        <v>43836</v>
      </c>
      <c r="Z6" s="205">
        <v>43861</v>
      </c>
      <c r="AA6" s="273">
        <f t="shared" ref="AA6:AA70" si="3">IF(YEAR(Z6)&gt;2000,YEAR(Z6),YEAR(Y6))</f>
        <v>2020</v>
      </c>
      <c r="AB6" s="273">
        <f t="shared" ref="AB6:AB70" si="4">MONTH(Z6)</f>
        <v>1</v>
      </c>
      <c r="AC6" s="211" t="s">
        <v>920</v>
      </c>
      <c r="AD6" s="211" t="s">
        <v>422</v>
      </c>
      <c r="AE6" s="211" t="s">
        <v>422</v>
      </c>
      <c r="AF6" s="211" t="s">
        <v>422</v>
      </c>
      <c r="AG6" s="207" t="s">
        <v>422</v>
      </c>
      <c r="AH6" s="346" t="s">
        <v>422</v>
      </c>
      <c r="AI6" s="211" t="s">
        <v>422</v>
      </c>
      <c r="AJ6" s="211" t="s">
        <v>423</v>
      </c>
      <c r="AK6" s="211" t="s">
        <v>423</v>
      </c>
      <c r="AL6" s="222" t="s">
        <v>108</v>
      </c>
      <c r="AM6" s="209"/>
      <c r="AN6" s="220" t="s">
        <v>805</v>
      </c>
    </row>
    <row r="7" spans="1:41" x14ac:dyDescent="0.3">
      <c r="A7" s="185">
        <v>21</v>
      </c>
      <c r="B7" s="212" t="s">
        <v>785</v>
      </c>
      <c r="C7" s="212" t="s">
        <v>1616</v>
      </c>
      <c r="D7" s="335" t="s">
        <v>1848</v>
      </c>
      <c r="E7" s="212"/>
      <c r="F7" s="212" t="s">
        <v>1597</v>
      </c>
      <c r="G7" s="212" t="s">
        <v>1941</v>
      </c>
      <c r="H7" s="212"/>
      <c r="I7" s="212">
        <v>2</v>
      </c>
      <c r="J7" s="357">
        <v>9</v>
      </c>
      <c r="K7" s="212">
        <v>16</v>
      </c>
      <c r="L7" s="212">
        <v>1</v>
      </c>
      <c r="M7" s="212">
        <f t="shared" ref="M7:M70" si="5">SUM((I7:L7))</f>
        <v>28</v>
      </c>
      <c r="N7" s="212">
        <f t="shared" ref="N7:N70" si="6">+I7/0.125</f>
        <v>16</v>
      </c>
      <c r="O7" s="212">
        <f t="shared" ref="O7:O70" si="7">+J7/0.25</f>
        <v>36</v>
      </c>
      <c r="P7" s="212">
        <f t="shared" ref="P7:P70" si="8">+K7/0.15</f>
        <v>106.66666666666667</v>
      </c>
      <c r="Q7" s="212">
        <f t="shared" ref="Q7:Q70" si="9">+L7/0.125</f>
        <v>8</v>
      </c>
      <c r="R7" s="212">
        <f t="shared" ref="R7:R70" si="10">SUM(N7:Q7)</f>
        <v>166.66666666666669</v>
      </c>
      <c r="S7" s="202" t="s">
        <v>700</v>
      </c>
      <c r="T7" s="203" t="s">
        <v>783</v>
      </c>
      <c r="U7" s="202">
        <v>104</v>
      </c>
      <c r="V7" s="202">
        <v>109</v>
      </c>
      <c r="W7" s="202">
        <v>109</v>
      </c>
      <c r="X7" s="367">
        <v>43753</v>
      </c>
      <c r="Y7" s="205">
        <v>43836</v>
      </c>
      <c r="Z7" s="205">
        <v>43861</v>
      </c>
      <c r="AA7" s="273">
        <f t="shared" si="3"/>
        <v>2020</v>
      </c>
      <c r="AB7" s="273">
        <f t="shared" si="4"/>
        <v>1</v>
      </c>
      <c r="AC7" s="211" t="s">
        <v>920</v>
      </c>
      <c r="AD7" s="211" t="s">
        <v>422</v>
      </c>
      <c r="AE7" s="211" t="s">
        <v>422</v>
      </c>
      <c r="AF7" s="211" t="s">
        <v>422</v>
      </c>
      <c r="AG7" s="207" t="s">
        <v>422</v>
      </c>
      <c r="AH7" s="346" t="s">
        <v>422</v>
      </c>
      <c r="AI7" s="211" t="s">
        <v>422</v>
      </c>
      <c r="AJ7" s="211" t="s">
        <v>423</v>
      </c>
      <c r="AK7" s="211" t="s">
        <v>423</v>
      </c>
      <c r="AL7" s="222" t="s">
        <v>108</v>
      </c>
      <c r="AM7" s="209"/>
      <c r="AN7" s="220"/>
    </row>
    <row r="8" spans="1:41" x14ac:dyDescent="0.3">
      <c r="A8" s="185">
        <v>22</v>
      </c>
      <c r="B8" s="212" t="s">
        <v>786</v>
      </c>
      <c r="C8" s="212" t="s">
        <v>1616</v>
      </c>
      <c r="D8" s="335" t="s">
        <v>1848</v>
      </c>
      <c r="E8" s="212"/>
      <c r="F8" s="212"/>
      <c r="G8" s="212" t="s">
        <v>1941</v>
      </c>
      <c r="H8" s="212" t="s">
        <v>1040</v>
      </c>
      <c r="I8" s="212">
        <v>2</v>
      </c>
      <c r="J8" s="212">
        <v>8</v>
      </c>
      <c r="K8" s="212">
        <v>16</v>
      </c>
      <c r="L8" s="212">
        <v>1</v>
      </c>
      <c r="M8" s="212">
        <f t="shared" si="5"/>
        <v>27</v>
      </c>
      <c r="N8" s="212">
        <f t="shared" si="6"/>
        <v>16</v>
      </c>
      <c r="O8" s="212">
        <f t="shared" si="7"/>
        <v>32</v>
      </c>
      <c r="P8" s="212">
        <f t="shared" si="8"/>
        <v>106.66666666666667</v>
      </c>
      <c r="Q8" s="212">
        <f t="shared" si="9"/>
        <v>8</v>
      </c>
      <c r="R8" s="212">
        <f t="shared" si="10"/>
        <v>162.66666666666669</v>
      </c>
      <c r="S8" s="202" t="s">
        <v>702</v>
      </c>
      <c r="T8" s="203" t="s">
        <v>703</v>
      </c>
      <c r="U8" s="202">
        <v>66</v>
      </c>
      <c r="V8" s="202">
        <v>71</v>
      </c>
      <c r="W8" s="202">
        <v>71</v>
      </c>
      <c r="X8" s="367">
        <v>43753</v>
      </c>
      <c r="Y8" s="205">
        <v>43836</v>
      </c>
      <c r="Z8" s="205">
        <v>43861</v>
      </c>
      <c r="AA8" s="273">
        <f t="shared" si="3"/>
        <v>2020</v>
      </c>
      <c r="AB8" s="273">
        <f t="shared" si="4"/>
        <v>1</v>
      </c>
      <c r="AC8" s="211" t="s">
        <v>920</v>
      </c>
      <c r="AD8" s="211" t="s">
        <v>422</v>
      </c>
      <c r="AE8" s="211" t="s">
        <v>422</v>
      </c>
      <c r="AF8" s="211" t="s">
        <v>422</v>
      </c>
      <c r="AG8" s="207" t="s">
        <v>422</v>
      </c>
      <c r="AH8" s="346" t="s">
        <v>422</v>
      </c>
      <c r="AI8" s="211" t="s">
        <v>422</v>
      </c>
      <c r="AJ8" s="211" t="s">
        <v>423</v>
      </c>
      <c r="AK8" s="211" t="s">
        <v>423</v>
      </c>
      <c r="AL8" s="222" t="s">
        <v>254</v>
      </c>
      <c r="AM8" s="209"/>
      <c r="AN8" s="220"/>
    </row>
    <row r="9" spans="1:41" x14ac:dyDescent="0.3">
      <c r="A9" s="185">
        <v>23</v>
      </c>
      <c r="B9" s="212" t="s">
        <v>787</v>
      </c>
      <c r="C9" s="212" t="s">
        <v>1616</v>
      </c>
      <c r="D9" s="335" t="s">
        <v>1848</v>
      </c>
      <c r="E9" s="212"/>
      <c r="F9" s="212" t="s">
        <v>1597</v>
      </c>
      <c r="G9" s="212" t="s">
        <v>1941</v>
      </c>
      <c r="H9" s="212" t="s">
        <v>1040</v>
      </c>
      <c r="I9" s="212">
        <v>2</v>
      </c>
      <c r="J9" s="212">
        <v>8</v>
      </c>
      <c r="K9" s="212">
        <v>8.5</v>
      </c>
      <c r="L9" s="212">
        <v>1</v>
      </c>
      <c r="M9" s="212">
        <f t="shared" si="5"/>
        <v>19.5</v>
      </c>
      <c r="N9" s="212">
        <f t="shared" si="6"/>
        <v>16</v>
      </c>
      <c r="O9" s="212">
        <f t="shared" si="7"/>
        <v>32</v>
      </c>
      <c r="P9" s="212">
        <f t="shared" si="8"/>
        <v>56.666666666666671</v>
      </c>
      <c r="Q9" s="212">
        <f t="shared" si="9"/>
        <v>8</v>
      </c>
      <c r="R9" s="212">
        <f t="shared" si="10"/>
        <v>112.66666666666667</v>
      </c>
      <c r="S9" s="202" t="s">
        <v>704</v>
      </c>
      <c r="T9" s="203" t="s">
        <v>705</v>
      </c>
      <c r="U9" s="202">
        <v>80</v>
      </c>
      <c r="V9" s="202">
        <v>83</v>
      </c>
      <c r="W9" s="202">
        <v>83</v>
      </c>
      <c r="X9" s="367">
        <v>43753</v>
      </c>
      <c r="Y9" s="205">
        <v>43836</v>
      </c>
      <c r="Z9" s="205">
        <v>43861</v>
      </c>
      <c r="AA9" s="273">
        <f t="shared" si="3"/>
        <v>2020</v>
      </c>
      <c r="AB9" s="273">
        <f t="shared" si="4"/>
        <v>1</v>
      </c>
      <c r="AC9" s="211" t="s">
        <v>920</v>
      </c>
      <c r="AD9" s="211" t="s">
        <v>422</v>
      </c>
      <c r="AE9" s="211" t="s">
        <v>422</v>
      </c>
      <c r="AF9" s="211" t="s">
        <v>422</v>
      </c>
      <c r="AG9" s="207" t="s">
        <v>422</v>
      </c>
      <c r="AH9" s="346" t="s">
        <v>422</v>
      </c>
      <c r="AI9" s="211" t="s">
        <v>422</v>
      </c>
      <c r="AJ9" s="211" t="s">
        <v>423</v>
      </c>
      <c r="AK9" s="211" t="s">
        <v>423</v>
      </c>
      <c r="AL9" s="222" t="s">
        <v>1198</v>
      </c>
      <c r="AM9" s="209"/>
      <c r="AN9" s="220"/>
    </row>
    <row r="10" spans="1:41" x14ac:dyDescent="0.3">
      <c r="A10" s="185">
        <v>24</v>
      </c>
      <c r="B10" s="212" t="s">
        <v>788</v>
      </c>
      <c r="C10" s="212" t="s">
        <v>1616</v>
      </c>
      <c r="D10" s="335" t="s">
        <v>1848</v>
      </c>
      <c r="E10" s="212"/>
      <c r="F10" s="212"/>
      <c r="G10" s="212" t="s">
        <v>1940</v>
      </c>
      <c r="H10" s="212" t="s">
        <v>1948</v>
      </c>
      <c r="I10" s="212">
        <v>2</v>
      </c>
      <c r="J10" s="212">
        <v>9</v>
      </c>
      <c r="K10" s="212">
        <v>9</v>
      </c>
      <c r="L10" s="212">
        <v>1</v>
      </c>
      <c r="M10" s="212">
        <f t="shared" si="5"/>
        <v>21</v>
      </c>
      <c r="N10" s="212">
        <f t="shared" si="6"/>
        <v>16</v>
      </c>
      <c r="O10" s="212">
        <f t="shared" si="7"/>
        <v>36</v>
      </c>
      <c r="P10" s="212">
        <f t="shared" si="8"/>
        <v>60</v>
      </c>
      <c r="Q10" s="212">
        <f t="shared" si="9"/>
        <v>8</v>
      </c>
      <c r="R10" s="212">
        <f t="shared" si="10"/>
        <v>120</v>
      </c>
      <c r="S10" s="202" t="s">
        <v>706</v>
      </c>
      <c r="T10" s="203" t="s">
        <v>707</v>
      </c>
      <c r="U10" s="202">
        <v>106</v>
      </c>
      <c r="V10" s="202">
        <v>111</v>
      </c>
      <c r="W10" s="202">
        <v>111</v>
      </c>
      <c r="X10" s="367">
        <v>43753</v>
      </c>
      <c r="Y10" s="205">
        <v>43836</v>
      </c>
      <c r="Z10" s="205">
        <v>43861</v>
      </c>
      <c r="AA10" s="273">
        <f t="shared" si="3"/>
        <v>2020</v>
      </c>
      <c r="AB10" s="273">
        <f t="shared" si="4"/>
        <v>1</v>
      </c>
      <c r="AC10" s="211" t="s">
        <v>920</v>
      </c>
      <c r="AD10" s="211" t="s">
        <v>422</v>
      </c>
      <c r="AE10" s="211" t="s">
        <v>422</v>
      </c>
      <c r="AF10" s="211" t="s">
        <v>422</v>
      </c>
      <c r="AG10" s="207" t="s">
        <v>422</v>
      </c>
      <c r="AH10" s="346" t="s">
        <v>422</v>
      </c>
      <c r="AI10" s="211" t="s">
        <v>422</v>
      </c>
      <c r="AJ10" s="211" t="s">
        <v>423</v>
      </c>
      <c r="AK10" s="211" t="s">
        <v>423</v>
      </c>
      <c r="AL10" s="222" t="s">
        <v>772</v>
      </c>
      <c r="AM10" s="209"/>
      <c r="AN10" s="209"/>
    </row>
    <row r="11" spans="1:41" x14ac:dyDescent="0.3">
      <c r="A11" s="185">
        <v>25</v>
      </c>
      <c r="B11" s="212" t="s">
        <v>789</v>
      </c>
      <c r="C11" s="212" t="s">
        <v>1616</v>
      </c>
      <c r="D11" s="335" t="s">
        <v>1848</v>
      </c>
      <c r="E11" s="212"/>
      <c r="F11" s="212"/>
      <c r="G11" s="212" t="s">
        <v>1940</v>
      </c>
      <c r="H11" s="212" t="s">
        <v>1948</v>
      </c>
      <c r="I11" s="212">
        <v>2</v>
      </c>
      <c r="J11" s="212">
        <v>8.5</v>
      </c>
      <c r="K11" s="212">
        <v>9</v>
      </c>
      <c r="L11" s="212">
        <v>1</v>
      </c>
      <c r="M11" s="212">
        <f t="shared" si="5"/>
        <v>20.5</v>
      </c>
      <c r="N11" s="212">
        <f t="shared" si="6"/>
        <v>16</v>
      </c>
      <c r="O11" s="212">
        <f t="shared" si="7"/>
        <v>34</v>
      </c>
      <c r="P11" s="212">
        <f t="shared" si="8"/>
        <v>60</v>
      </c>
      <c r="Q11" s="212">
        <f t="shared" si="9"/>
        <v>8</v>
      </c>
      <c r="R11" s="212">
        <f t="shared" si="10"/>
        <v>118</v>
      </c>
      <c r="S11" s="202" t="s">
        <v>708</v>
      </c>
      <c r="T11" s="203" t="s">
        <v>709</v>
      </c>
      <c r="U11" s="202">
        <v>42</v>
      </c>
      <c r="V11" s="202">
        <v>47</v>
      </c>
      <c r="W11" s="202">
        <v>47</v>
      </c>
      <c r="X11" s="367">
        <v>43753</v>
      </c>
      <c r="Y11" s="205">
        <v>43836</v>
      </c>
      <c r="Z11" s="205">
        <v>43861</v>
      </c>
      <c r="AA11" s="273">
        <f t="shared" si="3"/>
        <v>2020</v>
      </c>
      <c r="AB11" s="273">
        <f t="shared" si="4"/>
        <v>1</v>
      </c>
      <c r="AC11" s="211" t="s">
        <v>920</v>
      </c>
      <c r="AD11" s="211" t="s">
        <v>422</v>
      </c>
      <c r="AE11" s="211" t="s">
        <v>422</v>
      </c>
      <c r="AF11" s="211" t="s">
        <v>422</v>
      </c>
      <c r="AG11" s="207" t="s">
        <v>422</v>
      </c>
      <c r="AH11" s="346" t="s">
        <v>422</v>
      </c>
      <c r="AI11" s="211" t="s">
        <v>422</v>
      </c>
      <c r="AJ11" s="211" t="s">
        <v>423</v>
      </c>
      <c r="AK11" s="211" t="s">
        <v>423</v>
      </c>
      <c r="AL11" s="222" t="s">
        <v>772</v>
      </c>
      <c r="AM11" s="209"/>
      <c r="AN11" s="209"/>
    </row>
    <row r="12" spans="1:41" x14ac:dyDescent="0.3">
      <c r="A12" s="185">
        <v>26</v>
      </c>
      <c r="B12" s="212" t="s">
        <v>790</v>
      </c>
      <c r="C12" s="212" t="s">
        <v>1616</v>
      </c>
      <c r="D12" s="335" t="s">
        <v>1848</v>
      </c>
      <c r="E12" s="212"/>
      <c r="F12" s="212" t="s">
        <v>1597</v>
      </c>
      <c r="G12" s="212" t="s">
        <v>1940</v>
      </c>
      <c r="H12" s="212"/>
      <c r="I12" s="212">
        <v>2</v>
      </c>
      <c r="J12" s="357">
        <v>10</v>
      </c>
      <c r="K12" s="212">
        <v>9</v>
      </c>
      <c r="L12" s="212">
        <v>1</v>
      </c>
      <c r="M12" s="212">
        <f t="shared" si="5"/>
        <v>22</v>
      </c>
      <c r="N12" s="212">
        <f t="shared" si="6"/>
        <v>16</v>
      </c>
      <c r="O12" s="212">
        <f t="shared" si="7"/>
        <v>40</v>
      </c>
      <c r="P12" s="212">
        <f t="shared" si="8"/>
        <v>60</v>
      </c>
      <c r="Q12" s="212">
        <f t="shared" si="9"/>
        <v>8</v>
      </c>
      <c r="R12" s="212">
        <f t="shared" si="10"/>
        <v>124</v>
      </c>
      <c r="S12" s="202" t="s">
        <v>710</v>
      </c>
      <c r="T12" s="203" t="s">
        <v>711</v>
      </c>
      <c r="U12" s="202">
        <v>90</v>
      </c>
      <c r="V12" s="202">
        <v>95</v>
      </c>
      <c r="W12" s="202">
        <v>95</v>
      </c>
      <c r="X12" s="367">
        <v>43753</v>
      </c>
      <c r="Y12" s="205">
        <v>43836</v>
      </c>
      <c r="Z12" s="205">
        <v>43861</v>
      </c>
      <c r="AA12" s="273">
        <f t="shared" si="3"/>
        <v>2020</v>
      </c>
      <c r="AB12" s="273">
        <f t="shared" si="4"/>
        <v>1</v>
      </c>
      <c r="AC12" s="211" t="s">
        <v>920</v>
      </c>
      <c r="AD12" s="211" t="s">
        <v>422</v>
      </c>
      <c r="AE12" s="211" t="s">
        <v>422</v>
      </c>
      <c r="AF12" s="211" t="s">
        <v>422</v>
      </c>
      <c r="AG12" s="207" t="s">
        <v>422</v>
      </c>
      <c r="AH12" s="346" t="s">
        <v>422</v>
      </c>
      <c r="AI12" s="211" t="s">
        <v>422</v>
      </c>
      <c r="AJ12" s="211" t="s">
        <v>423</v>
      </c>
      <c r="AK12" s="211" t="s">
        <v>423</v>
      </c>
      <c r="AL12" s="222" t="s">
        <v>108</v>
      </c>
      <c r="AM12" s="209"/>
      <c r="AN12" s="209"/>
    </row>
    <row r="13" spans="1:41" x14ac:dyDescent="0.3">
      <c r="A13" s="185">
        <v>27</v>
      </c>
      <c r="B13" s="212" t="s">
        <v>791</v>
      </c>
      <c r="C13" s="212" t="s">
        <v>1616</v>
      </c>
      <c r="D13" s="335" t="s">
        <v>1848</v>
      </c>
      <c r="E13" s="212"/>
      <c r="F13" s="212"/>
      <c r="G13" s="212" t="s">
        <v>1940</v>
      </c>
      <c r="H13" s="212" t="s">
        <v>1948</v>
      </c>
      <c r="I13" s="212">
        <v>2</v>
      </c>
      <c r="J13" s="212">
        <v>7.5</v>
      </c>
      <c r="K13" s="212">
        <v>9</v>
      </c>
      <c r="L13" s="212">
        <v>1</v>
      </c>
      <c r="M13" s="212">
        <f t="shared" si="5"/>
        <v>19.5</v>
      </c>
      <c r="N13" s="212">
        <f t="shared" si="6"/>
        <v>16</v>
      </c>
      <c r="O13" s="212">
        <f t="shared" si="7"/>
        <v>30</v>
      </c>
      <c r="P13" s="212">
        <f t="shared" si="8"/>
        <v>60</v>
      </c>
      <c r="Q13" s="212">
        <f t="shared" si="9"/>
        <v>8</v>
      </c>
      <c r="R13" s="212">
        <f t="shared" si="10"/>
        <v>114</v>
      </c>
      <c r="S13" s="202" t="s">
        <v>712</v>
      </c>
      <c r="T13" s="203" t="s">
        <v>713</v>
      </c>
      <c r="U13" s="202">
        <v>54</v>
      </c>
      <c r="V13" s="202">
        <v>57</v>
      </c>
      <c r="W13" s="202">
        <v>57</v>
      </c>
      <c r="X13" s="367">
        <v>43753</v>
      </c>
      <c r="Y13" s="205">
        <v>43836</v>
      </c>
      <c r="Z13" s="205">
        <v>43861</v>
      </c>
      <c r="AA13" s="273">
        <f t="shared" si="3"/>
        <v>2020</v>
      </c>
      <c r="AB13" s="273">
        <f t="shared" si="4"/>
        <v>1</v>
      </c>
      <c r="AC13" s="211" t="s">
        <v>920</v>
      </c>
      <c r="AD13" s="211" t="s">
        <v>422</v>
      </c>
      <c r="AE13" s="211" t="s">
        <v>422</v>
      </c>
      <c r="AF13" s="211" t="s">
        <v>422</v>
      </c>
      <c r="AG13" s="207" t="s">
        <v>422</v>
      </c>
      <c r="AH13" s="346" t="s">
        <v>422</v>
      </c>
      <c r="AI13" s="211" t="s">
        <v>422</v>
      </c>
      <c r="AJ13" s="211" t="s">
        <v>423</v>
      </c>
      <c r="AK13" s="211" t="s">
        <v>423</v>
      </c>
      <c r="AL13" s="222" t="s">
        <v>772</v>
      </c>
      <c r="AM13" s="209"/>
      <c r="AN13" s="209"/>
    </row>
    <row r="14" spans="1:41" x14ac:dyDescent="0.3">
      <c r="A14" s="185">
        <v>28</v>
      </c>
      <c r="B14" s="212" t="s">
        <v>792</v>
      </c>
      <c r="C14" s="212" t="s">
        <v>1616</v>
      </c>
      <c r="D14" s="335" t="s">
        <v>1848</v>
      </c>
      <c r="E14" s="212"/>
      <c r="F14" s="212"/>
      <c r="G14" s="212" t="s">
        <v>1940</v>
      </c>
      <c r="H14" s="212" t="s">
        <v>1040</v>
      </c>
      <c r="I14" s="212">
        <v>1</v>
      </c>
      <c r="J14" s="212">
        <v>2</v>
      </c>
      <c r="K14" s="212">
        <v>5.5</v>
      </c>
      <c r="L14" s="212">
        <v>0.5</v>
      </c>
      <c r="M14" s="212">
        <f t="shared" si="5"/>
        <v>9</v>
      </c>
      <c r="N14" s="212">
        <f t="shared" si="6"/>
        <v>8</v>
      </c>
      <c r="O14" s="212">
        <f t="shared" si="7"/>
        <v>8</v>
      </c>
      <c r="P14" s="212">
        <f t="shared" si="8"/>
        <v>36.666666666666671</v>
      </c>
      <c r="Q14" s="212">
        <f t="shared" si="9"/>
        <v>4</v>
      </c>
      <c r="R14" s="212">
        <f t="shared" si="10"/>
        <v>56.666666666666671</v>
      </c>
      <c r="S14" s="202" t="s">
        <v>714</v>
      </c>
      <c r="T14" s="203" t="s">
        <v>715</v>
      </c>
      <c r="U14" s="202">
        <v>80</v>
      </c>
      <c r="V14" s="202">
        <v>82</v>
      </c>
      <c r="W14" s="202">
        <v>82</v>
      </c>
      <c r="X14" s="367">
        <v>43753</v>
      </c>
      <c r="Y14" s="205">
        <v>43836</v>
      </c>
      <c r="Z14" s="205">
        <v>43861</v>
      </c>
      <c r="AA14" s="273">
        <f t="shared" si="3"/>
        <v>2020</v>
      </c>
      <c r="AB14" s="273">
        <f t="shared" si="4"/>
        <v>1</v>
      </c>
      <c r="AC14" s="211" t="s">
        <v>920</v>
      </c>
      <c r="AD14" s="211" t="s">
        <v>422</v>
      </c>
      <c r="AE14" s="211" t="s">
        <v>422</v>
      </c>
      <c r="AF14" s="211" t="s">
        <v>422</v>
      </c>
      <c r="AG14" s="211" t="s">
        <v>422</v>
      </c>
      <c r="AH14" s="211" t="s">
        <v>423</v>
      </c>
      <c r="AI14" s="211" t="s">
        <v>422</v>
      </c>
      <c r="AJ14" s="211" t="s">
        <v>423</v>
      </c>
      <c r="AK14" s="211" t="s">
        <v>423</v>
      </c>
      <c r="AL14" s="222" t="s">
        <v>254</v>
      </c>
      <c r="AM14" s="209"/>
      <c r="AN14" s="209"/>
    </row>
    <row r="15" spans="1:41" x14ac:dyDescent="0.3">
      <c r="A15" s="185">
        <v>29</v>
      </c>
      <c r="B15" s="212" t="s">
        <v>793</v>
      </c>
      <c r="C15" s="212" t="s">
        <v>1616</v>
      </c>
      <c r="D15" s="335" t="s">
        <v>1848</v>
      </c>
      <c r="E15" s="212"/>
      <c r="F15" s="212"/>
      <c r="G15" s="212" t="s">
        <v>1940</v>
      </c>
      <c r="H15" s="212" t="s">
        <v>1010</v>
      </c>
      <c r="I15" s="212">
        <v>1</v>
      </c>
      <c r="J15" s="212">
        <v>2.2000000000000002</v>
      </c>
      <c r="K15" s="212">
        <v>5.5</v>
      </c>
      <c r="L15" s="212">
        <v>0.5</v>
      </c>
      <c r="M15" s="212">
        <f t="shared" si="5"/>
        <v>9.1999999999999993</v>
      </c>
      <c r="N15" s="212">
        <f t="shared" si="6"/>
        <v>8</v>
      </c>
      <c r="O15" s="212">
        <f t="shared" si="7"/>
        <v>8.8000000000000007</v>
      </c>
      <c r="P15" s="212">
        <f t="shared" si="8"/>
        <v>36.666666666666671</v>
      </c>
      <c r="Q15" s="212">
        <f t="shared" si="9"/>
        <v>4</v>
      </c>
      <c r="R15" s="212">
        <f t="shared" si="10"/>
        <v>57.466666666666669</v>
      </c>
      <c r="S15" s="202" t="s">
        <v>716</v>
      </c>
      <c r="T15" s="203" t="s">
        <v>717</v>
      </c>
      <c r="U15" s="202">
        <v>76</v>
      </c>
      <c r="V15" s="202">
        <v>80</v>
      </c>
      <c r="W15" s="202">
        <v>80</v>
      </c>
      <c r="X15" s="367">
        <v>43753</v>
      </c>
      <c r="Y15" s="205">
        <v>43836</v>
      </c>
      <c r="Z15" s="205">
        <v>43861</v>
      </c>
      <c r="AA15" s="273">
        <f t="shared" si="3"/>
        <v>2020</v>
      </c>
      <c r="AB15" s="273">
        <f t="shared" si="4"/>
        <v>1</v>
      </c>
      <c r="AC15" s="211" t="s">
        <v>920</v>
      </c>
      <c r="AD15" s="211" t="s">
        <v>422</v>
      </c>
      <c r="AE15" s="211" t="s">
        <v>422</v>
      </c>
      <c r="AF15" s="211" t="s">
        <v>422</v>
      </c>
      <c r="AG15" s="211" t="s">
        <v>422</v>
      </c>
      <c r="AH15" s="211" t="s">
        <v>423</v>
      </c>
      <c r="AI15" s="211" t="s">
        <v>422</v>
      </c>
      <c r="AJ15" s="211" t="s">
        <v>423</v>
      </c>
      <c r="AK15" s="211" t="s">
        <v>423</v>
      </c>
      <c r="AL15" s="222" t="s">
        <v>140</v>
      </c>
      <c r="AM15" s="209"/>
      <c r="AN15" s="209"/>
    </row>
    <row r="16" spans="1:41" x14ac:dyDescent="0.3">
      <c r="A16" s="185">
        <v>30</v>
      </c>
      <c r="B16" s="212" t="s">
        <v>794</v>
      </c>
      <c r="C16" s="212" t="s">
        <v>1616</v>
      </c>
      <c r="D16" s="335" t="s">
        <v>1848</v>
      </c>
      <c r="E16" s="212"/>
      <c r="F16" s="212"/>
      <c r="G16" s="212" t="s">
        <v>1940</v>
      </c>
      <c r="H16" s="212" t="s">
        <v>1040</v>
      </c>
      <c r="I16" s="212">
        <v>2</v>
      </c>
      <c r="J16" s="212">
        <v>4.7</v>
      </c>
      <c r="K16" s="212">
        <v>6</v>
      </c>
      <c r="L16" s="212">
        <v>1</v>
      </c>
      <c r="M16" s="212">
        <f t="shared" si="5"/>
        <v>13.7</v>
      </c>
      <c r="N16" s="212">
        <f t="shared" si="6"/>
        <v>16</v>
      </c>
      <c r="O16" s="212">
        <f t="shared" si="7"/>
        <v>18.8</v>
      </c>
      <c r="P16" s="212">
        <f t="shared" si="8"/>
        <v>40</v>
      </c>
      <c r="Q16" s="212">
        <f t="shared" si="9"/>
        <v>8</v>
      </c>
      <c r="R16" s="212">
        <f t="shared" si="10"/>
        <v>82.8</v>
      </c>
      <c r="S16" s="202" t="s">
        <v>718</v>
      </c>
      <c r="T16" s="203" t="s">
        <v>719</v>
      </c>
      <c r="U16" s="202">
        <v>78</v>
      </c>
      <c r="V16" s="202">
        <v>80</v>
      </c>
      <c r="W16" s="202">
        <v>80</v>
      </c>
      <c r="X16" s="367">
        <v>43753</v>
      </c>
      <c r="Y16" s="205">
        <v>43836</v>
      </c>
      <c r="Z16" s="205">
        <v>43861</v>
      </c>
      <c r="AA16" s="273">
        <f t="shared" si="3"/>
        <v>2020</v>
      </c>
      <c r="AB16" s="273">
        <f t="shared" si="4"/>
        <v>1</v>
      </c>
      <c r="AC16" s="211" t="s">
        <v>920</v>
      </c>
      <c r="AD16" s="211" t="s">
        <v>422</v>
      </c>
      <c r="AE16" s="211" t="s">
        <v>422</v>
      </c>
      <c r="AF16" s="211" t="s">
        <v>422</v>
      </c>
      <c r="AG16" s="211" t="s">
        <v>422</v>
      </c>
      <c r="AH16" s="211" t="s">
        <v>423</v>
      </c>
      <c r="AI16" s="211" t="s">
        <v>422</v>
      </c>
      <c r="AJ16" s="211" t="s">
        <v>423</v>
      </c>
      <c r="AK16" s="211" t="s">
        <v>423</v>
      </c>
      <c r="AL16" s="222" t="s">
        <v>254</v>
      </c>
      <c r="AM16" s="209"/>
      <c r="AN16" s="209"/>
    </row>
    <row r="17" spans="1:40" x14ac:dyDescent="0.3">
      <c r="A17" s="185">
        <v>31</v>
      </c>
      <c r="B17" s="212" t="s">
        <v>795</v>
      </c>
      <c r="C17" s="212" t="s">
        <v>1616</v>
      </c>
      <c r="D17" s="335" t="s">
        <v>1848</v>
      </c>
      <c r="E17" s="212"/>
      <c r="F17" s="212" t="s">
        <v>1597</v>
      </c>
      <c r="G17" s="212" t="s">
        <v>1941</v>
      </c>
      <c r="H17" s="212"/>
      <c r="I17" s="212">
        <v>2</v>
      </c>
      <c r="J17" s="357">
        <v>9</v>
      </c>
      <c r="K17" s="212">
        <v>8.5</v>
      </c>
      <c r="L17" s="212">
        <v>1</v>
      </c>
      <c r="M17" s="212">
        <f t="shared" si="5"/>
        <v>20.5</v>
      </c>
      <c r="N17" s="212">
        <f t="shared" si="6"/>
        <v>16</v>
      </c>
      <c r="O17" s="212">
        <f t="shared" si="7"/>
        <v>36</v>
      </c>
      <c r="P17" s="212">
        <f t="shared" si="8"/>
        <v>56.666666666666671</v>
      </c>
      <c r="Q17" s="212">
        <f t="shared" si="9"/>
        <v>8</v>
      </c>
      <c r="R17" s="212">
        <f t="shared" si="10"/>
        <v>116.66666666666667</v>
      </c>
      <c r="S17" s="202" t="s">
        <v>720</v>
      </c>
      <c r="T17" s="203" t="s">
        <v>721</v>
      </c>
      <c r="U17" s="202">
        <v>102</v>
      </c>
      <c r="V17" s="202">
        <v>107</v>
      </c>
      <c r="W17" s="202">
        <v>107</v>
      </c>
      <c r="X17" s="367">
        <v>43753</v>
      </c>
      <c r="Y17" s="205">
        <v>43836</v>
      </c>
      <c r="Z17" s="205">
        <v>43861</v>
      </c>
      <c r="AA17" s="273">
        <f t="shared" si="3"/>
        <v>2020</v>
      </c>
      <c r="AB17" s="273">
        <f t="shared" si="4"/>
        <v>1</v>
      </c>
      <c r="AC17" s="211" t="s">
        <v>920</v>
      </c>
      <c r="AD17" s="211" t="s">
        <v>422</v>
      </c>
      <c r="AE17" s="211" t="s">
        <v>422</v>
      </c>
      <c r="AF17" s="207" t="s">
        <v>422</v>
      </c>
      <c r="AG17" s="207" t="s">
        <v>422</v>
      </c>
      <c r="AH17" s="346" t="s">
        <v>422</v>
      </c>
      <c r="AI17" s="211" t="s">
        <v>422</v>
      </c>
      <c r="AJ17" s="211" t="s">
        <v>423</v>
      </c>
      <c r="AK17" s="211" t="s">
        <v>423</v>
      </c>
      <c r="AL17" s="222" t="s">
        <v>140</v>
      </c>
      <c r="AM17" s="209"/>
      <c r="AN17" s="209"/>
    </row>
    <row r="18" spans="1:40" x14ac:dyDescent="0.3">
      <c r="A18" s="185">
        <v>32</v>
      </c>
      <c r="B18" s="212" t="s">
        <v>796</v>
      </c>
      <c r="C18" s="212" t="s">
        <v>1616</v>
      </c>
      <c r="D18" s="335" t="s">
        <v>1848</v>
      </c>
      <c r="E18" s="212"/>
      <c r="F18" s="212"/>
      <c r="G18" s="212" t="s">
        <v>1941</v>
      </c>
      <c r="H18" s="212" t="s">
        <v>1010</v>
      </c>
      <c r="I18" s="212">
        <v>2</v>
      </c>
      <c r="J18" s="212">
        <v>9</v>
      </c>
      <c r="K18" s="212">
        <v>8.5</v>
      </c>
      <c r="L18" s="212">
        <v>1</v>
      </c>
      <c r="M18" s="212">
        <f t="shared" si="5"/>
        <v>20.5</v>
      </c>
      <c r="N18" s="212">
        <f t="shared" si="6"/>
        <v>16</v>
      </c>
      <c r="O18" s="212">
        <f t="shared" si="7"/>
        <v>36</v>
      </c>
      <c r="P18" s="212">
        <f t="shared" si="8"/>
        <v>56.666666666666671</v>
      </c>
      <c r="Q18" s="212">
        <f t="shared" si="9"/>
        <v>8</v>
      </c>
      <c r="R18" s="212">
        <f t="shared" si="10"/>
        <v>116.66666666666667</v>
      </c>
      <c r="S18" s="202" t="s">
        <v>722</v>
      </c>
      <c r="T18" s="203" t="s">
        <v>741</v>
      </c>
      <c r="U18" s="202">
        <v>40</v>
      </c>
      <c r="V18" s="202">
        <v>45</v>
      </c>
      <c r="W18" s="202">
        <v>45</v>
      </c>
      <c r="X18" s="367">
        <v>43753</v>
      </c>
      <c r="Y18" s="205">
        <v>43836</v>
      </c>
      <c r="Z18" s="205">
        <v>43861</v>
      </c>
      <c r="AA18" s="273">
        <f t="shared" si="3"/>
        <v>2020</v>
      </c>
      <c r="AB18" s="273">
        <f t="shared" si="4"/>
        <v>1</v>
      </c>
      <c r="AC18" s="211" t="s">
        <v>920</v>
      </c>
      <c r="AD18" s="211" t="s">
        <v>422</v>
      </c>
      <c r="AE18" s="211" t="s">
        <v>422</v>
      </c>
      <c r="AF18" s="211" t="s">
        <v>422</v>
      </c>
      <c r="AG18" s="211" t="s">
        <v>422</v>
      </c>
      <c r="AH18" s="217" t="s">
        <v>422</v>
      </c>
      <c r="AI18" s="211" t="s">
        <v>422</v>
      </c>
      <c r="AJ18" s="211" t="s">
        <v>423</v>
      </c>
      <c r="AK18" s="211" t="s">
        <v>423</v>
      </c>
      <c r="AL18" s="222" t="s">
        <v>140</v>
      </c>
      <c r="AM18" s="209"/>
      <c r="AN18" s="209"/>
    </row>
    <row r="19" spans="1:40" x14ac:dyDescent="0.3">
      <c r="A19" s="185">
        <v>33</v>
      </c>
      <c r="B19" s="212" t="s">
        <v>797</v>
      </c>
      <c r="C19" s="212" t="s">
        <v>1616</v>
      </c>
      <c r="D19" s="335" t="s">
        <v>1848</v>
      </c>
      <c r="E19" s="212"/>
      <c r="F19" s="212"/>
      <c r="G19" s="212" t="s">
        <v>1941</v>
      </c>
      <c r="H19" s="212" t="s">
        <v>1010</v>
      </c>
      <c r="I19" s="212">
        <v>2</v>
      </c>
      <c r="J19" s="212">
        <v>9</v>
      </c>
      <c r="K19" s="212">
        <v>8.5</v>
      </c>
      <c r="L19" s="212">
        <v>1</v>
      </c>
      <c r="M19" s="212">
        <f t="shared" si="5"/>
        <v>20.5</v>
      </c>
      <c r="N19" s="212">
        <f t="shared" si="6"/>
        <v>16</v>
      </c>
      <c r="O19" s="212">
        <f t="shared" si="7"/>
        <v>36</v>
      </c>
      <c r="P19" s="212">
        <f t="shared" si="8"/>
        <v>56.666666666666671</v>
      </c>
      <c r="Q19" s="212">
        <f t="shared" si="9"/>
        <v>8</v>
      </c>
      <c r="R19" s="212">
        <f t="shared" si="10"/>
        <v>116.66666666666667</v>
      </c>
      <c r="S19" s="202" t="s">
        <v>723</v>
      </c>
      <c r="T19" s="203" t="s">
        <v>724</v>
      </c>
      <c r="U19" s="202">
        <v>46</v>
      </c>
      <c r="V19" s="202">
        <v>51</v>
      </c>
      <c r="W19" s="202">
        <v>51</v>
      </c>
      <c r="X19" s="367">
        <v>43753</v>
      </c>
      <c r="Y19" s="205">
        <v>43836</v>
      </c>
      <c r="Z19" s="205">
        <v>43861</v>
      </c>
      <c r="AA19" s="273">
        <f t="shared" si="3"/>
        <v>2020</v>
      </c>
      <c r="AB19" s="273">
        <f t="shared" si="4"/>
        <v>1</v>
      </c>
      <c r="AC19" s="211" t="s">
        <v>920</v>
      </c>
      <c r="AD19" s="211" t="s">
        <v>422</v>
      </c>
      <c r="AE19" s="211" t="s">
        <v>422</v>
      </c>
      <c r="AF19" s="211" t="s">
        <v>422</v>
      </c>
      <c r="AG19" s="211" t="s">
        <v>422</v>
      </c>
      <c r="AH19" s="217" t="s">
        <v>422</v>
      </c>
      <c r="AI19" s="211" t="s">
        <v>422</v>
      </c>
      <c r="AJ19" s="211" t="s">
        <v>423</v>
      </c>
      <c r="AK19" s="211" t="s">
        <v>423</v>
      </c>
      <c r="AL19" s="222" t="s">
        <v>140</v>
      </c>
      <c r="AM19" s="209"/>
      <c r="AN19" s="209"/>
    </row>
    <row r="20" spans="1:40" x14ac:dyDescent="0.3">
      <c r="A20" s="185">
        <v>34</v>
      </c>
      <c r="B20" s="212" t="s">
        <v>798</v>
      </c>
      <c r="C20" s="212" t="s">
        <v>1616</v>
      </c>
      <c r="D20" s="335" t="s">
        <v>1848</v>
      </c>
      <c r="E20" s="212"/>
      <c r="F20" s="212"/>
      <c r="G20" s="212" t="s">
        <v>1941</v>
      </c>
      <c r="H20" s="212"/>
      <c r="I20" s="212">
        <v>2</v>
      </c>
      <c r="J20" s="357">
        <v>9</v>
      </c>
      <c r="K20" s="212">
        <v>8.5</v>
      </c>
      <c r="L20" s="212">
        <v>1</v>
      </c>
      <c r="M20" s="212">
        <f t="shared" si="5"/>
        <v>20.5</v>
      </c>
      <c r="N20" s="212">
        <f t="shared" si="6"/>
        <v>16</v>
      </c>
      <c r="O20" s="212">
        <f t="shared" si="7"/>
        <v>36</v>
      </c>
      <c r="P20" s="212">
        <f t="shared" si="8"/>
        <v>56.666666666666671</v>
      </c>
      <c r="Q20" s="212">
        <f t="shared" si="9"/>
        <v>8</v>
      </c>
      <c r="R20" s="212">
        <f t="shared" si="10"/>
        <v>116.66666666666667</v>
      </c>
      <c r="S20" s="202" t="s">
        <v>725</v>
      </c>
      <c r="T20" s="203" t="s">
        <v>726</v>
      </c>
      <c r="U20" s="202">
        <v>68</v>
      </c>
      <c r="V20" s="202">
        <v>73</v>
      </c>
      <c r="W20" s="202">
        <v>73</v>
      </c>
      <c r="X20" s="367">
        <v>43753</v>
      </c>
      <c r="Y20" s="205">
        <v>43836</v>
      </c>
      <c r="Z20" s="205">
        <v>43861</v>
      </c>
      <c r="AA20" s="273">
        <f t="shared" si="3"/>
        <v>2020</v>
      </c>
      <c r="AB20" s="273">
        <f t="shared" si="4"/>
        <v>1</v>
      </c>
      <c r="AC20" s="211" t="s">
        <v>920</v>
      </c>
      <c r="AD20" s="211" t="s">
        <v>422</v>
      </c>
      <c r="AE20" s="211" t="s">
        <v>422</v>
      </c>
      <c r="AF20" s="211" t="s">
        <v>422</v>
      </c>
      <c r="AG20" s="211" t="s">
        <v>422</v>
      </c>
      <c r="AH20" s="217" t="s">
        <v>422</v>
      </c>
      <c r="AI20" s="211" t="s">
        <v>422</v>
      </c>
      <c r="AJ20" s="211" t="s">
        <v>423</v>
      </c>
      <c r="AK20" s="211" t="s">
        <v>423</v>
      </c>
      <c r="AL20" s="222" t="s">
        <v>140</v>
      </c>
      <c r="AM20" s="209"/>
      <c r="AN20" s="209"/>
    </row>
    <row r="21" spans="1:40" x14ac:dyDescent="0.3">
      <c r="A21" s="185">
        <v>35</v>
      </c>
      <c r="B21" s="212" t="s">
        <v>799</v>
      </c>
      <c r="C21" s="212" t="s">
        <v>1616</v>
      </c>
      <c r="D21" s="335" t="s">
        <v>1848</v>
      </c>
      <c r="E21" s="212"/>
      <c r="F21" s="212" t="s">
        <v>1597</v>
      </c>
      <c r="G21" s="212" t="s">
        <v>1941</v>
      </c>
      <c r="H21" s="212"/>
      <c r="I21" s="212">
        <v>2</v>
      </c>
      <c r="J21" s="357">
        <v>9</v>
      </c>
      <c r="K21" s="212">
        <v>8.5</v>
      </c>
      <c r="L21" s="212">
        <v>1</v>
      </c>
      <c r="M21" s="212">
        <f t="shared" si="5"/>
        <v>20.5</v>
      </c>
      <c r="N21" s="212">
        <f t="shared" si="6"/>
        <v>16</v>
      </c>
      <c r="O21" s="212">
        <f t="shared" si="7"/>
        <v>36</v>
      </c>
      <c r="P21" s="212">
        <f t="shared" si="8"/>
        <v>56.666666666666671</v>
      </c>
      <c r="Q21" s="212">
        <f t="shared" si="9"/>
        <v>8</v>
      </c>
      <c r="R21" s="212">
        <f t="shared" si="10"/>
        <v>116.66666666666667</v>
      </c>
      <c r="S21" s="202" t="s">
        <v>727</v>
      </c>
      <c r="T21" s="203" t="s">
        <v>728</v>
      </c>
      <c r="U21" s="202">
        <v>38</v>
      </c>
      <c r="V21" s="202">
        <v>43</v>
      </c>
      <c r="W21" s="202">
        <v>43</v>
      </c>
      <c r="X21" s="367">
        <v>43753</v>
      </c>
      <c r="Y21" s="205">
        <v>43836</v>
      </c>
      <c r="Z21" s="205">
        <v>43861</v>
      </c>
      <c r="AA21" s="273">
        <f t="shared" si="3"/>
        <v>2020</v>
      </c>
      <c r="AB21" s="273">
        <f t="shared" si="4"/>
        <v>1</v>
      </c>
      <c r="AC21" s="211" t="s">
        <v>920</v>
      </c>
      <c r="AD21" s="211" t="s">
        <v>422</v>
      </c>
      <c r="AE21" s="211" t="s">
        <v>422</v>
      </c>
      <c r="AF21" s="211" t="s">
        <v>422</v>
      </c>
      <c r="AG21" s="211" t="s">
        <v>422</v>
      </c>
      <c r="AH21" s="217" t="s">
        <v>422</v>
      </c>
      <c r="AI21" s="211" t="s">
        <v>422</v>
      </c>
      <c r="AJ21" s="211" t="s">
        <v>423</v>
      </c>
      <c r="AK21" s="211" t="s">
        <v>423</v>
      </c>
      <c r="AL21" s="222" t="s">
        <v>108</v>
      </c>
      <c r="AM21" s="209"/>
      <c r="AN21" s="209"/>
    </row>
    <row r="22" spans="1:40" x14ac:dyDescent="0.3">
      <c r="A22" s="185">
        <v>36</v>
      </c>
      <c r="B22" s="212" t="s">
        <v>800</v>
      </c>
      <c r="C22" s="212" t="s">
        <v>1616</v>
      </c>
      <c r="D22" s="335" t="s">
        <v>1848</v>
      </c>
      <c r="E22" s="212"/>
      <c r="F22" s="212"/>
      <c r="G22" s="212" t="s">
        <v>1941</v>
      </c>
      <c r="H22" s="212" t="s">
        <v>1010</v>
      </c>
      <c r="I22" s="212">
        <v>2</v>
      </c>
      <c r="J22" s="212">
        <v>7</v>
      </c>
      <c r="K22" s="212">
        <v>8.5</v>
      </c>
      <c r="L22" s="212">
        <v>1</v>
      </c>
      <c r="M22" s="212">
        <f t="shared" si="5"/>
        <v>18.5</v>
      </c>
      <c r="N22" s="212">
        <f t="shared" si="6"/>
        <v>16</v>
      </c>
      <c r="O22" s="212">
        <f t="shared" si="7"/>
        <v>28</v>
      </c>
      <c r="P22" s="212">
        <f t="shared" si="8"/>
        <v>56.666666666666671</v>
      </c>
      <c r="Q22" s="212">
        <f t="shared" si="9"/>
        <v>8</v>
      </c>
      <c r="R22" s="212">
        <f t="shared" si="10"/>
        <v>108.66666666666667</v>
      </c>
      <c r="S22" s="202" t="s">
        <v>729</v>
      </c>
      <c r="T22" s="203" t="s">
        <v>730</v>
      </c>
      <c r="U22" s="202">
        <v>88</v>
      </c>
      <c r="V22" s="202">
        <v>92</v>
      </c>
      <c r="W22" s="202">
        <v>92</v>
      </c>
      <c r="X22" s="367">
        <v>43753</v>
      </c>
      <c r="Y22" s="205">
        <v>43836</v>
      </c>
      <c r="Z22" s="205">
        <v>43861</v>
      </c>
      <c r="AA22" s="273">
        <f t="shared" si="3"/>
        <v>2020</v>
      </c>
      <c r="AB22" s="273">
        <f t="shared" si="4"/>
        <v>1</v>
      </c>
      <c r="AC22" s="211" t="s">
        <v>920</v>
      </c>
      <c r="AD22" s="211" t="s">
        <v>422</v>
      </c>
      <c r="AE22" s="211" t="s">
        <v>422</v>
      </c>
      <c r="AF22" s="211" t="s">
        <v>422</v>
      </c>
      <c r="AG22" s="211" t="s">
        <v>422</v>
      </c>
      <c r="AH22" s="217" t="s">
        <v>422</v>
      </c>
      <c r="AI22" s="211" t="s">
        <v>422</v>
      </c>
      <c r="AJ22" s="211" t="s">
        <v>423</v>
      </c>
      <c r="AK22" s="211" t="s">
        <v>423</v>
      </c>
      <c r="AL22" s="222" t="s">
        <v>140</v>
      </c>
      <c r="AM22" s="209"/>
      <c r="AN22" s="209"/>
    </row>
    <row r="23" spans="1:40" x14ac:dyDescent="0.3">
      <c r="A23" s="185">
        <v>37</v>
      </c>
      <c r="B23" s="212" t="s">
        <v>801</v>
      </c>
      <c r="C23" s="212" t="s">
        <v>1616</v>
      </c>
      <c r="D23" s="201" t="s">
        <v>1848</v>
      </c>
      <c r="E23" s="212"/>
      <c r="F23" s="212"/>
      <c r="G23" s="212" t="s">
        <v>1941</v>
      </c>
      <c r="H23" s="212" t="s">
        <v>1040</v>
      </c>
      <c r="I23" s="212">
        <v>1</v>
      </c>
      <c r="J23" s="212">
        <v>2</v>
      </c>
      <c r="K23" s="212">
        <v>3.5</v>
      </c>
      <c r="L23" s="212">
        <v>0.5</v>
      </c>
      <c r="M23" s="212">
        <f t="shared" si="5"/>
        <v>7</v>
      </c>
      <c r="N23" s="212">
        <f t="shared" si="6"/>
        <v>8</v>
      </c>
      <c r="O23" s="212">
        <f t="shared" si="7"/>
        <v>8</v>
      </c>
      <c r="P23" s="212">
        <f t="shared" si="8"/>
        <v>23.333333333333336</v>
      </c>
      <c r="Q23" s="212">
        <f t="shared" si="9"/>
        <v>4</v>
      </c>
      <c r="R23" s="212">
        <f t="shared" si="10"/>
        <v>43.333333333333336</v>
      </c>
      <c r="S23" s="202" t="s">
        <v>731</v>
      </c>
      <c r="T23" s="203" t="s">
        <v>738</v>
      </c>
      <c r="U23" s="202">
        <v>24</v>
      </c>
      <c r="V23" s="202">
        <v>26</v>
      </c>
      <c r="W23" s="202">
        <v>26</v>
      </c>
      <c r="X23" s="367">
        <v>43753</v>
      </c>
      <c r="Y23" s="205">
        <v>43836</v>
      </c>
      <c r="Z23" s="205">
        <v>43861</v>
      </c>
      <c r="AA23" s="273">
        <f t="shared" si="3"/>
        <v>2020</v>
      </c>
      <c r="AB23" s="273">
        <f t="shared" si="4"/>
        <v>1</v>
      </c>
      <c r="AC23" s="211" t="s">
        <v>920</v>
      </c>
      <c r="AD23" s="211" t="s">
        <v>422</v>
      </c>
      <c r="AE23" s="211" t="s">
        <v>422</v>
      </c>
      <c r="AF23" s="211" t="s">
        <v>422</v>
      </c>
      <c r="AG23" s="211" t="s">
        <v>422</v>
      </c>
      <c r="AH23" s="211" t="s">
        <v>423</v>
      </c>
      <c r="AI23" s="211" t="s">
        <v>422</v>
      </c>
      <c r="AJ23" s="211" t="s">
        <v>423</v>
      </c>
      <c r="AK23" s="211" t="s">
        <v>423</v>
      </c>
      <c r="AL23" s="222" t="s">
        <v>254</v>
      </c>
      <c r="AM23" s="209"/>
      <c r="AN23" s="209"/>
    </row>
    <row r="24" spans="1:40" x14ac:dyDescent="0.3">
      <c r="A24" s="185">
        <v>38</v>
      </c>
      <c r="B24" s="212" t="s">
        <v>802</v>
      </c>
      <c r="C24" s="212" t="s">
        <v>1616</v>
      </c>
      <c r="D24" s="201" t="s">
        <v>1848</v>
      </c>
      <c r="E24" s="212"/>
      <c r="F24" s="212"/>
      <c r="G24" s="212" t="s">
        <v>1941</v>
      </c>
      <c r="H24" s="212" t="s">
        <v>1010</v>
      </c>
      <c r="I24" s="212">
        <v>1</v>
      </c>
      <c r="J24" s="212">
        <v>2.2000000000000002</v>
      </c>
      <c r="K24" s="212">
        <v>5.5</v>
      </c>
      <c r="L24" s="212">
        <v>0.5</v>
      </c>
      <c r="M24" s="212">
        <f t="shared" si="5"/>
        <v>9.1999999999999993</v>
      </c>
      <c r="N24" s="212">
        <f t="shared" si="6"/>
        <v>8</v>
      </c>
      <c r="O24" s="212">
        <f t="shared" si="7"/>
        <v>8.8000000000000007</v>
      </c>
      <c r="P24" s="212">
        <f t="shared" si="8"/>
        <v>36.666666666666671</v>
      </c>
      <c r="Q24" s="212">
        <f t="shared" si="9"/>
        <v>4</v>
      </c>
      <c r="R24" s="212">
        <f t="shared" si="10"/>
        <v>57.466666666666669</v>
      </c>
      <c r="S24" s="202" t="s">
        <v>732</v>
      </c>
      <c r="T24" s="203" t="s">
        <v>733</v>
      </c>
      <c r="U24" s="202">
        <v>54</v>
      </c>
      <c r="V24" s="202">
        <v>58</v>
      </c>
      <c r="W24" s="202">
        <v>58</v>
      </c>
      <c r="X24" s="367">
        <v>43753</v>
      </c>
      <c r="Y24" s="205">
        <v>43836</v>
      </c>
      <c r="Z24" s="205">
        <v>43861</v>
      </c>
      <c r="AA24" s="273">
        <f t="shared" si="3"/>
        <v>2020</v>
      </c>
      <c r="AB24" s="273">
        <f t="shared" si="4"/>
        <v>1</v>
      </c>
      <c r="AC24" s="211" t="s">
        <v>920</v>
      </c>
      <c r="AD24" s="211" t="s">
        <v>422</v>
      </c>
      <c r="AE24" s="211" t="s">
        <v>422</v>
      </c>
      <c r="AF24" s="211" t="s">
        <v>422</v>
      </c>
      <c r="AG24" s="211" t="s">
        <v>422</v>
      </c>
      <c r="AH24" s="211" t="s">
        <v>423</v>
      </c>
      <c r="AI24" s="211" t="s">
        <v>422</v>
      </c>
      <c r="AJ24" s="211" t="s">
        <v>423</v>
      </c>
      <c r="AK24" s="211" t="s">
        <v>423</v>
      </c>
      <c r="AL24" s="222" t="s">
        <v>140</v>
      </c>
      <c r="AM24" s="209"/>
      <c r="AN24" s="209"/>
    </row>
    <row r="25" spans="1:40" x14ac:dyDescent="0.3">
      <c r="A25" s="185">
        <v>39</v>
      </c>
      <c r="B25" s="212" t="s">
        <v>803</v>
      </c>
      <c r="C25" s="212" t="s">
        <v>1616</v>
      </c>
      <c r="D25" s="201" t="s">
        <v>1848</v>
      </c>
      <c r="E25" s="212"/>
      <c r="F25" s="212"/>
      <c r="G25" s="212" t="s">
        <v>1941</v>
      </c>
      <c r="H25" s="212" t="s">
        <v>1040</v>
      </c>
      <c r="I25" s="212">
        <v>2</v>
      </c>
      <c r="J25" s="212">
        <v>4.7</v>
      </c>
      <c r="K25" s="212">
        <v>6</v>
      </c>
      <c r="L25" s="212">
        <v>1</v>
      </c>
      <c r="M25" s="212">
        <f t="shared" si="5"/>
        <v>13.7</v>
      </c>
      <c r="N25" s="212">
        <f t="shared" si="6"/>
        <v>16</v>
      </c>
      <c r="O25" s="212">
        <f t="shared" si="7"/>
        <v>18.8</v>
      </c>
      <c r="P25" s="212">
        <f t="shared" si="8"/>
        <v>40</v>
      </c>
      <c r="Q25" s="212">
        <f t="shared" si="9"/>
        <v>8</v>
      </c>
      <c r="R25" s="212">
        <f t="shared" si="10"/>
        <v>82.8</v>
      </c>
      <c r="S25" s="202" t="s">
        <v>734</v>
      </c>
      <c r="T25" s="203" t="s">
        <v>735</v>
      </c>
      <c r="U25" s="202">
        <v>22</v>
      </c>
      <c r="V25" s="202">
        <v>24</v>
      </c>
      <c r="W25" s="202">
        <v>24</v>
      </c>
      <c r="X25" s="367">
        <v>43753</v>
      </c>
      <c r="Y25" s="205">
        <v>43836</v>
      </c>
      <c r="Z25" s="205">
        <v>43861</v>
      </c>
      <c r="AA25" s="273">
        <f t="shared" si="3"/>
        <v>2020</v>
      </c>
      <c r="AB25" s="273">
        <f t="shared" si="4"/>
        <v>1</v>
      </c>
      <c r="AC25" s="211" t="s">
        <v>920</v>
      </c>
      <c r="AD25" s="211" t="s">
        <v>422</v>
      </c>
      <c r="AE25" s="211" t="s">
        <v>422</v>
      </c>
      <c r="AF25" s="211" t="s">
        <v>422</v>
      </c>
      <c r="AG25" s="211" t="s">
        <v>422</v>
      </c>
      <c r="AH25" s="211" t="s">
        <v>423</v>
      </c>
      <c r="AI25" s="211" t="s">
        <v>422</v>
      </c>
      <c r="AJ25" s="211" t="s">
        <v>423</v>
      </c>
      <c r="AK25" s="211" t="s">
        <v>423</v>
      </c>
      <c r="AL25" s="222" t="s">
        <v>254</v>
      </c>
      <c r="AM25" s="209"/>
      <c r="AN25" s="209"/>
    </row>
    <row r="26" spans="1:40" x14ac:dyDescent="0.3">
      <c r="A26" s="185">
        <v>40</v>
      </c>
      <c r="B26" s="212" t="s">
        <v>804</v>
      </c>
      <c r="C26" s="212" t="s">
        <v>1616</v>
      </c>
      <c r="D26" s="201" t="s">
        <v>1848</v>
      </c>
      <c r="E26" s="212"/>
      <c r="F26" s="212" t="s">
        <v>1597</v>
      </c>
      <c r="G26" s="212" t="s">
        <v>1940</v>
      </c>
      <c r="H26" s="212"/>
      <c r="I26" s="212">
        <v>1</v>
      </c>
      <c r="J26" s="357">
        <v>4.5</v>
      </c>
      <c r="K26" s="212">
        <v>5.5</v>
      </c>
      <c r="L26" s="212">
        <v>0.8</v>
      </c>
      <c r="M26" s="212">
        <f t="shared" si="5"/>
        <v>11.8</v>
      </c>
      <c r="N26" s="212">
        <f t="shared" si="6"/>
        <v>8</v>
      </c>
      <c r="O26" s="212">
        <f t="shared" si="7"/>
        <v>18</v>
      </c>
      <c r="P26" s="212">
        <f t="shared" si="8"/>
        <v>36.666666666666671</v>
      </c>
      <c r="Q26" s="212">
        <f t="shared" si="9"/>
        <v>6.4</v>
      </c>
      <c r="R26" s="212">
        <f t="shared" si="10"/>
        <v>69.066666666666677</v>
      </c>
      <c r="S26" s="202" t="s">
        <v>736</v>
      </c>
      <c r="T26" s="203" t="s">
        <v>737</v>
      </c>
      <c r="U26" s="202">
        <v>40</v>
      </c>
      <c r="V26" s="202">
        <v>44</v>
      </c>
      <c r="W26" s="202">
        <v>44</v>
      </c>
      <c r="X26" s="367">
        <v>43753</v>
      </c>
      <c r="Y26" s="205">
        <v>43836</v>
      </c>
      <c r="Z26" s="205">
        <v>43861</v>
      </c>
      <c r="AA26" s="273">
        <f t="shared" si="3"/>
        <v>2020</v>
      </c>
      <c r="AB26" s="273">
        <f t="shared" si="4"/>
        <v>1</v>
      </c>
      <c r="AC26" s="211" t="s">
        <v>920</v>
      </c>
      <c r="AD26" s="211" t="s">
        <v>422</v>
      </c>
      <c r="AE26" s="211" t="s">
        <v>422</v>
      </c>
      <c r="AF26" s="211" t="s">
        <v>422</v>
      </c>
      <c r="AG26" s="211" t="s">
        <v>422</v>
      </c>
      <c r="AH26" s="211" t="s">
        <v>423</v>
      </c>
      <c r="AI26" s="211" t="s">
        <v>422</v>
      </c>
      <c r="AJ26" s="211" t="s">
        <v>423</v>
      </c>
      <c r="AK26" s="211" t="s">
        <v>423</v>
      </c>
      <c r="AL26" s="222" t="s">
        <v>108</v>
      </c>
      <c r="AM26" s="209"/>
      <c r="AN26" s="209"/>
    </row>
    <row r="27" spans="1:40" x14ac:dyDescent="0.3">
      <c r="A27" s="188">
        <v>1</v>
      </c>
      <c r="B27" s="201" t="s">
        <v>739</v>
      </c>
      <c r="C27" s="247" t="s">
        <v>1615</v>
      </c>
      <c r="D27" s="199" t="s">
        <v>1881</v>
      </c>
      <c r="E27" s="201"/>
      <c r="F27" s="201"/>
      <c r="G27" s="368" t="s">
        <v>1604</v>
      </c>
      <c r="H27" s="201" t="s">
        <v>1428</v>
      </c>
      <c r="I27" s="201">
        <v>2</v>
      </c>
      <c r="J27" s="201">
        <v>10.5</v>
      </c>
      <c r="K27" s="212">
        <v>0</v>
      </c>
      <c r="L27" s="212">
        <v>1.5</v>
      </c>
      <c r="M27" s="212">
        <f t="shared" si="5"/>
        <v>14</v>
      </c>
      <c r="N27" s="212">
        <f t="shared" si="6"/>
        <v>16</v>
      </c>
      <c r="O27" s="212">
        <f t="shared" si="7"/>
        <v>42</v>
      </c>
      <c r="P27" s="212">
        <f t="shared" si="8"/>
        <v>0</v>
      </c>
      <c r="Q27" s="212">
        <f t="shared" si="9"/>
        <v>12</v>
      </c>
      <c r="R27" s="212">
        <f t="shared" si="10"/>
        <v>70</v>
      </c>
      <c r="S27" s="202" t="s">
        <v>558</v>
      </c>
      <c r="T27" s="203" t="s">
        <v>271</v>
      </c>
      <c r="U27" s="202">
        <v>50</v>
      </c>
      <c r="V27" s="202">
        <v>52</v>
      </c>
      <c r="W27" s="202">
        <v>52</v>
      </c>
      <c r="X27" s="367">
        <v>43692</v>
      </c>
      <c r="Y27" s="205">
        <v>43753</v>
      </c>
      <c r="Z27" s="205">
        <v>43874</v>
      </c>
      <c r="AA27" s="273">
        <f t="shared" si="3"/>
        <v>2020</v>
      </c>
      <c r="AB27" s="273">
        <f t="shared" si="4"/>
        <v>2</v>
      </c>
      <c r="AC27" s="206" t="s">
        <v>920</v>
      </c>
      <c r="AD27" s="211" t="s">
        <v>422</v>
      </c>
      <c r="AE27" s="211" t="s">
        <v>422</v>
      </c>
      <c r="AF27" s="211" t="s">
        <v>422</v>
      </c>
      <c r="AG27" s="211" t="s">
        <v>422</v>
      </c>
      <c r="AH27" s="211" t="s">
        <v>422</v>
      </c>
      <c r="AI27" s="211" t="s">
        <v>423</v>
      </c>
      <c r="AJ27" s="211" t="s">
        <v>422</v>
      </c>
      <c r="AK27" s="211" t="s">
        <v>423</v>
      </c>
      <c r="AL27" s="211" t="s">
        <v>138</v>
      </c>
      <c r="AM27" s="209"/>
      <c r="AN27" s="209"/>
    </row>
    <row r="28" spans="1:40" x14ac:dyDescent="0.3">
      <c r="A28" s="185">
        <v>2</v>
      </c>
      <c r="B28" s="201" t="s">
        <v>740</v>
      </c>
      <c r="C28" s="247" t="s">
        <v>1615</v>
      </c>
      <c r="D28" s="199" t="s">
        <v>1881</v>
      </c>
      <c r="E28" s="201"/>
      <c r="F28" s="201"/>
      <c r="G28" s="368" t="s">
        <v>1604</v>
      </c>
      <c r="H28" s="201" t="s">
        <v>1428</v>
      </c>
      <c r="I28" s="201">
        <v>2</v>
      </c>
      <c r="J28" s="201">
        <v>11</v>
      </c>
      <c r="K28" s="212">
        <v>0</v>
      </c>
      <c r="L28" s="212">
        <v>1.5</v>
      </c>
      <c r="M28" s="212">
        <f t="shared" si="5"/>
        <v>14.5</v>
      </c>
      <c r="N28" s="212">
        <f t="shared" si="6"/>
        <v>16</v>
      </c>
      <c r="O28" s="212">
        <f t="shared" si="7"/>
        <v>44</v>
      </c>
      <c r="P28" s="212">
        <f t="shared" si="8"/>
        <v>0</v>
      </c>
      <c r="Q28" s="212">
        <f t="shared" si="9"/>
        <v>12</v>
      </c>
      <c r="R28" s="212">
        <f t="shared" si="10"/>
        <v>72</v>
      </c>
      <c r="S28" s="202" t="s">
        <v>559</v>
      </c>
      <c r="T28" s="203" t="s">
        <v>270</v>
      </c>
      <c r="U28" s="202">
        <v>44</v>
      </c>
      <c r="V28" s="202">
        <v>46</v>
      </c>
      <c r="W28" s="202">
        <v>46</v>
      </c>
      <c r="X28" s="367">
        <v>43692</v>
      </c>
      <c r="Y28" s="205">
        <v>43753</v>
      </c>
      <c r="Z28" s="205">
        <v>43874</v>
      </c>
      <c r="AA28" s="273">
        <f t="shared" si="3"/>
        <v>2020</v>
      </c>
      <c r="AB28" s="273">
        <f t="shared" si="4"/>
        <v>2</v>
      </c>
      <c r="AC28" s="206" t="s">
        <v>920</v>
      </c>
      <c r="AD28" s="211" t="s">
        <v>422</v>
      </c>
      <c r="AE28" s="211" t="s">
        <v>422</v>
      </c>
      <c r="AF28" s="211" t="s">
        <v>422</v>
      </c>
      <c r="AG28" s="211" t="s">
        <v>422</v>
      </c>
      <c r="AH28" s="211" t="s">
        <v>422</v>
      </c>
      <c r="AI28" s="211" t="s">
        <v>423</v>
      </c>
      <c r="AJ28" s="211" t="s">
        <v>422</v>
      </c>
      <c r="AK28" s="211" t="s">
        <v>423</v>
      </c>
      <c r="AL28" s="211" t="s">
        <v>138</v>
      </c>
      <c r="AM28" s="209"/>
      <c r="AN28" s="209"/>
    </row>
    <row r="29" spans="1:40" x14ac:dyDescent="0.3">
      <c r="A29" s="185">
        <v>3</v>
      </c>
      <c r="B29" s="201" t="s">
        <v>742</v>
      </c>
      <c r="C29" s="247" t="s">
        <v>1615</v>
      </c>
      <c r="D29" s="199" t="s">
        <v>1881</v>
      </c>
      <c r="E29" s="201"/>
      <c r="F29" s="201"/>
      <c r="G29" s="368" t="s">
        <v>1604</v>
      </c>
      <c r="H29" s="201"/>
      <c r="I29" s="201">
        <v>3</v>
      </c>
      <c r="J29" s="357">
        <v>13.5</v>
      </c>
      <c r="K29" s="212">
        <v>0</v>
      </c>
      <c r="L29" s="212">
        <v>1.5</v>
      </c>
      <c r="M29" s="212">
        <f t="shared" si="5"/>
        <v>18</v>
      </c>
      <c r="N29" s="212">
        <f t="shared" si="6"/>
        <v>24</v>
      </c>
      <c r="O29" s="212">
        <f t="shared" si="7"/>
        <v>54</v>
      </c>
      <c r="P29" s="212">
        <f t="shared" si="8"/>
        <v>0</v>
      </c>
      <c r="Q29" s="212">
        <f t="shared" si="9"/>
        <v>12</v>
      </c>
      <c r="R29" s="212">
        <f t="shared" si="10"/>
        <v>90</v>
      </c>
      <c r="S29" s="202" t="s">
        <v>773</v>
      </c>
      <c r="T29" s="203" t="s">
        <v>743</v>
      </c>
      <c r="U29" s="202">
        <v>62</v>
      </c>
      <c r="V29" s="202">
        <v>66</v>
      </c>
      <c r="W29" s="202">
        <v>66</v>
      </c>
      <c r="X29" s="367">
        <v>43713</v>
      </c>
      <c r="Y29" s="205">
        <v>43831</v>
      </c>
      <c r="Z29" s="205">
        <v>43874</v>
      </c>
      <c r="AA29" s="273">
        <f t="shared" si="3"/>
        <v>2020</v>
      </c>
      <c r="AB29" s="273">
        <f t="shared" si="4"/>
        <v>2</v>
      </c>
      <c r="AC29" s="206" t="s">
        <v>920</v>
      </c>
      <c r="AD29" s="211" t="s">
        <v>422</v>
      </c>
      <c r="AE29" s="211" t="s">
        <v>422</v>
      </c>
      <c r="AF29" s="211" t="s">
        <v>422</v>
      </c>
      <c r="AG29" s="211" t="s">
        <v>422</v>
      </c>
      <c r="AH29" s="211" t="s">
        <v>422</v>
      </c>
      <c r="AI29" s="211" t="s">
        <v>423</v>
      </c>
      <c r="AJ29" s="211" t="s">
        <v>422</v>
      </c>
      <c r="AK29" s="211" t="s">
        <v>423</v>
      </c>
      <c r="AL29" s="211" t="s">
        <v>696</v>
      </c>
      <c r="AM29" s="209"/>
      <c r="AN29" s="209"/>
    </row>
    <row r="30" spans="1:40" x14ac:dyDescent="0.3">
      <c r="A30" s="185">
        <v>4</v>
      </c>
      <c r="B30" s="201" t="s">
        <v>744</v>
      </c>
      <c r="C30" s="247" t="s">
        <v>1615</v>
      </c>
      <c r="D30" s="199" t="s">
        <v>1881</v>
      </c>
      <c r="E30" s="201"/>
      <c r="F30" s="201"/>
      <c r="G30" s="368" t="s">
        <v>1604</v>
      </c>
      <c r="H30" s="201" t="s">
        <v>1010</v>
      </c>
      <c r="I30" s="201">
        <v>3</v>
      </c>
      <c r="J30" s="201">
        <v>7</v>
      </c>
      <c r="K30" s="212">
        <v>0</v>
      </c>
      <c r="L30" s="212">
        <v>1.5</v>
      </c>
      <c r="M30" s="212">
        <f t="shared" si="5"/>
        <v>11.5</v>
      </c>
      <c r="N30" s="212">
        <f t="shared" si="6"/>
        <v>24</v>
      </c>
      <c r="O30" s="212">
        <f t="shared" si="7"/>
        <v>28</v>
      </c>
      <c r="P30" s="212">
        <f t="shared" si="8"/>
        <v>0</v>
      </c>
      <c r="Q30" s="212">
        <f t="shared" si="9"/>
        <v>12</v>
      </c>
      <c r="R30" s="212">
        <f t="shared" si="10"/>
        <v>64</v>
      </c>
      <c r="S30" s="202" t="s">
        <v>616</v>
      </c>
      <c r="T30" s="203" t="s">
        <v>745</v>
      </c>
      <c r="U30" s="202">
        <v>34</v>
      </c>
      <c r="V30" s="202">
        <v>36</v>
      </c>
      <c r="W30" s="202">
        <v>36</v>
      </c>
      <c r="X30" s="367">
        <v>43713</v>
      </c>
      <c r="Y30" s="205">
        <v>43831</v>
      </c>
      <c r="Z30" s="205">
        <v>43874</v>
      </c>
      <c r="AA30" s="273">
        <f t="shared" si="3"/>
        <v>2020</v>
      </c>
      <c r="AB30" s="273">
        <f t="shared" si="4"/>
        <v>2</v>
      </c>
      <c r="AC30" s="206" t="s">
        <v>920</v>
      </c>
      <c r="AD30" s="211" t="s">
        <v>422</v>
      </c>
      <c r="AE30" s="211" t="s">
        <v>422</v>
      </c>
      <c r="AF30" s="211" t="s">
        <v>422</v>
      </c>
      <c r="AG30" s="211" t="s">
        <v>422</v>
      </c>
      <c r="AH30" s="211" t="s">
        <v>422</v>
      </c>
      <c r="AI30" s="211" t="s">
        <v>423</v>
      </c>
      <c r="AJ30" s="211" t="s">
        <v>422</v>
      </c>
      <c r="AK30" s="211" t="s">
        <v>423</v>
      </c>
      <c r="AL30" s="211" t="s">
        <v>140</v>
      </c>
      <c r="AM30" s="209"/>
      <c r="AN30" s="209"/>
    </row>
    <row r="31" spans="1:40" x14ac:dyDescent="0.3">
      <c r="A31" s="185">
        <v>5</v>
      </c>
      <c r="B31" s="201" t="s">
        <v>746</v>
      </c>
      <c r="C31" s="247" t="s">
        <v>1615</v>
      </c>
      <c r="D31" s="199" t="s">
        <v>1881</v>
      </c>
      <c r="E31" s="201"/>
      <c r="F31" s="201"/>
      <c r="G31" s="368" t="s">
        <v>1604</v>
      </c>
      <c r="H31" s="201" t="s">
        <v>1008</v>
      </c>
      <c r="I31" s="201">
        <v>3</v>
      </c>
      <c r="J31" s="201">
        <v>13.5</v>
      </c>
      <c r="K31" s="212">
        <v>0</v>
      </c>
      <c r="L31" s="212">
        <v>1.5</v>
      </c>
      <c r="M31" s="212">
        <f t="shared" si="5"/>
        <v>18</v>
      </c>
      <c r="N31" s="212">
        <f t="shared" si="6"/>
        <v>24</v>
      </c>
      <c r="O31" s="212">
        <f t="shared" si="7"/>
        <v>54</v>
      </c>
      <c r="P31" s="212">
        <f t="shared" si="8"/>
        <v>0</v>
      </c>
      <c r="Q31" s="212">
        <f t="shared" si="9"/>
        <v>12</v>
      </c>
      <c r="R31" s="212">
        <f t="shared" si="10"/>
        <v>90</v>
      </c>
      <c r="S31" s="202" t="s">
        <v>617</v>
      </c>
      <c r="T31" s="203" t="s">
        <v>747</v>
      </c>
      <c r="U31" s="202">
        <v>34</v>
      </c>
      <c r="V31" s="202">
        <v>36</v>
      </c>
      <c r="W31" s="202">
        <v>36</v>
      </c>
      <c r="X31" s="367">
        <v>43713</v>
      </c>
      <c r="Y31" s="205">
        <v>43831</v>
      </c>
      <c r="Z31" s="205">
        <v>43874</v>
      </c>
      <c r="AA31" s="273">
        <f t="shared" si="3"/>
        <v>2020</v>
      </c>
      <c r="AB31" s="273">
        <f t="shared" si="4"/>
        <v>2</v>
      </c>
      <c r="AC31" s="206" t="s">
        <v>920</v>
      </c>
      <c r="AD31" s="211" t="s">
        <v>422</v>
      </c>
      <c r="AE31" s="211" t="s">
        <v>422</v>
      </c>
      <c r="AF31" s="211" t="s">
        <v>422</v>
      </c>
      <c r="AG31" s="211" t="s">
        <v>422</v>
      </c>
      <c r="AH31" s="211" t="s">
        <v>422</v>
      </c>
      <c r="AI31" s="211" t="s">
        <v>423</v>
      </c>
      <c r="AJ31" s="211" t="s">
        <v>422</v>
      </c>
      <c r="AK31" s="211" t="s">
        <v>423</v>
      </c>
      <c r="AL31" s="211" t="s">
        <v>888</v>
      </c>
      <c r="AM31" s="209"/>
      <c r="AN31" s="209"/>
    </row>
    <row r="32" spans="1:40" x14ac:dyDescent="0.3">
      <c r="A32" s="185">
        <v>6</v>
      </c>
      <c r="B32" s="201" t="s">
        <v>748</v>
      </c>
      <c r="C32" s="247" t="s">
        <v>1615</v>
      </c>
      <c r="D32" s="199" t="s">
        <v>1881</v>
      </c>
      <c r="E32" s="201"/>
      <c r="F32" s="201"/>
      <c r="G32" s="368" t="s">
        <v>1604</v>
      </c>
      <c r="H32" s="201" t="s">
        <v>1428</v>
      </c>
      <c r="I32" s="201">
        <v>3</v>
      </c>
      <c r="J32" s="201">
        <v>11</v>
      </c>
      <c r="K32" s="212">
        <v>0</v>
      </c>
      <c r="L32" s="212">
        <v>1.5</v>
      </c>
      <c r="M32" s="212">
        <f t="shared" si="5"/>
        <v>15.5</v>
      </c>
      <c r="N32" s="212">
        <f t="shared" si="6"/>
        <v>24</v>
      </c>
      <c r="O32" s="212">
        <f t="shared" si="7"/>
        <v>44</v>
      </c>
      <c r="P32" s="212">
        <f t="shared" si="8"/>
        <v>0</v>
      </c>
      <c r="Q32" s="212">
        <f t="shared" si="9"/>
        <v>12</v>
      </c>
      <c r="R32" s="212">
        <f t="shared" si="10"/>
        <v>80</v>
      </c>
      <c r="S32" s="202" t="s">
        <v>774</v>
      </c>
      <c r="T32" s="203" t="s">
        <v>749</v>
      </c>
      <c r="U32" s="202">
        <v>66</v>
      </c>
      <c r="V32" s="202">
        <v>70</v>
      </c>
      <c r="W32" s="202">
        <v>70</v>
      </c>
      <c r="X32" s="367">
        <v>43713</v>
      </c>
      <c r="Y32" s="205">
        <v>43831</v>
      </c>
      <c r="Z32" s="205">
        <v>43874</v>
      </c>
      <c r="AA32" s="273">
        <f t="shared" si="3"/>
        <v>2020</v>
      </c>
      <c r="AB32" s="273">
        <f t="shared" si="4"/>
        <v>2</v>
      </c>
      <c r="AC32" s="206" t="s">
        <v>920</v>
      </c>
      <c r="AD32" s="211" t="s">
        <v>422</v>
      </c>
      <c r="AE32" s="211" t="s">
        <v>422</v>
      </c>
      <c r="AF32" s="211" t="s">
        <v>422</v>
      </c>
      <c r="AG32" s="211" t="s">
        <v>422</v>
      </c>
      <c r="AH32" s="211" t="s">
        <v>422</v>
      </c>
      <c r="AI32" s="211" t="s">
        <v>423</v>
      </c>
      <c r="AJ32" s="211" t="s">
        <v>422</v>
      </c>
      <c r="AK32" s="211" t="s">
        <v>423</v>
      </c>
      <c r="AL32" s="210" t="s">
        <v>138</v>
      </c>
      <c r="AM32" s="209"/>
      <c r="AN32" s="209"/>
    </row>
    <row r="33" spans="1:40" x14ac:dyDescent="0.3">
      <c r="A33" s="185">
        <v>7</v>
      </c>
      <c r="B33" s="201" t="s">
        <v>750</v>
      </c>
      <c r="C33" s="247" t="s">
        <v>1615</v>
      </c>
      <c r="D33" s="199" t="s">
        <v>1881</v>
      </c>
      <c r="E33" s="201"/>
      <c r="F33" s="201"/>
      <c r="G33" s="368" t="s">
        <v>1604</v>
      </c>
      <c r="H33" s="212" t="s">
        <v>1428</v>
      </c>
      <c r="I33" s="201">
        <v>3</v>
      </c>
      <c r="J33" s="201">
        <v>13.5</v>
      </c>
      <c r="K33" s="212">
        <v>0</v>
      </c>
      <c r="L33" s="212">
        <v>1.5</v>
      </c>
      <c r="M33" s="212">
        <f t="shared" si="5"/>
        <v>18</v>
      </c>
      <c r="N33" s="212">
        <f t="shared" si="6"/>
        <v>24</v>
      </c>
      <c r="O33" s="212">
        <f t="shared" si="7"/>
        <v>54</v>
      </c>
      <c r="P33" s="212">
        <f t="shared" si="8"/>
        <v>0</v>
      </c>
      <c r="Q33" s="212">
        <f t="shared" si="9"/>
        <v>12</v>
      </c>
      <c r="R33" s="212">
        <f t="shared" si="10"/>
        <v>90</v>
      </c>
      <c r="S33" s="202" t="s">
        <v>775</v>
      </c>
      <c r="T33" s="203" t="s">
        <v>751</v>
      </c>
      <c r="U33" s="202">
        <v>32</v>
      </c>
      <c r="V33" s="202">
        <v>34</v>
      </c>
      <c r="W33" s="202">
        <v>34</v>
      </c>
      <c r="X33" s="367">
        <v>43713</v>
      </c>
      <c r="Y33" s="205">
        <v>43831</v>
      </c>
      <c r="Z33" s="205">
        <v>43874</v>
      </c>
      <c r="AA33" s="273">
        <f t="shared" si="3"/>
        <v>2020</v>
      </c>
      <c r="AB33" s="273">
        <f t="shared" si="4"/>
        <v>2</v>
      </c>
      <c r="AC33" s="206" t="s">
        <v>920</v>
      </c>
      <c r="AD33" s="211" t="s">
        <v>422</v>
      </c>
      <c r="AE33" s="211" t="s">
        <v>422</v>
      </c>
      <c r="AF33" s="211" t="s">
        <v>422</v>
      </c>
      <c r="AG33" s="211" t="s">
        <v>422</v>
      </c>
      <c r="AH33" s="211" t="s">
        <v>422</v>
      </c>
      <c r="AI33" s="211" t="s">
        <v>423</v>
      </c>
      <c r="AJ33" s="211" t="s">
        <v>422</v>
      </c>
      <c r="AK33" s="211" t="s">
        <v>423</v>
      </c>
      <c r="AL33" s="210" t="s">
        <v>138</v>
      </c>
      <c r="AM33" s="209"/>
      <c r="AN33" s="209"/>
    </row>
    <row r="34" spans="1:40" x14ac:dyDescent="0.3">
      <c r="A34" s="185">
        <v>8</v>
      </c>
      <c r="B34" s="201" t="s">
        <v>752</v>
      </c>
      <c r="C34" s="247" t="s">
        <v>1615</v>
      </c>
      <c r="D34" s="199" t="s">
        <v>1881</v>
      </c>
      <c r="E34" s="201"/>
      <c r="F34" s="201"/>
      <c r="G34" s="368" t="s">
        <v>1604</v>
      </c>
      <c r="H34" s="201" t="s">
        <v>1010</v>
      </c>
      <c r="I34" s="201">
        <v>3</v>
      </c>
      <c r="J34" s="201">
        <v>7</v>
      </c>
      <c r="K34" s="212">
        <v>0</v>
      </c>
      <c r="L34" s="212">
        <v>1.5</v>
      </c>
      <c r="M34" s="212">
        <f t="shared" si="5"/>
        <v>11.5</v>
      </c>
      <c r="N34" s="212">
        <f t="shared" si="6"/>
        <v>24</v>
      </c>
      <c r="O34" s="212">
        <f t="shared" si="7"/>
        <v>28</v>
      </c>
      <c r="P34" s="212">
        <f t="shared" si="8"/>
        <v>0</v>
      </c>
      <c r="Q34" s="212">
        <f t="shared" si="9"/>
        <v>12</v>
      </c>
      <c r="R34" s="212">
        <f t="shared" si="10"/>
        <v>64</v>
      </c>
      <c r="S34" s="202" t="s">
        <v>93</v>
      </c>
      <c r="T34" s="203" t="s">
        <v>753</v>
      </c>
      <c r="U34" s="202">
        <v>17</v>
      </c>
      <c r="V34" s="202">
        <v>19</v>
      </c>
      <c r="W34" s="202">
        <v>19</v>
      </c>
      <c r="X34" s="367">
        <v>43713</v>
      </c>
      <c r="Y34" s="205">
        <v>43831</v>
      </c>
      <c r="Z34" s="205">
        <v>43874</v>
      </c>
      <c r="AA34" s="273">
        <f t="shared" si="3"/>
        <v>2020</v>
      </c>
      <c r="AB34" s="273">
        <f t="shared" si="4"/>
        <v>2</v>
      </c>
      <c r="AC34" s="206" t="s">
        <v>920</v>
      </c>
      <c r="AD34" s="211" t="s">
        <v>422</v>
      </c>
      <c r="AE34" s="211" t="s">
        <v>422</v>
      </c>
      <c r="AF34" s="211" t="s">
        <v>422</v>
      </c>
      <c r="AG34" s="211" t="s">
        <v>422</v>
      </c>
      <c r="AH34" s="211" t="s">
        <v>422</v>
      </c>
      <c r="AI34" s="211" t="s">
        <v>423</v>
      </c>
      <c r="AJ34" s="211" t="s">
        <v>422</v>
      </c>
      <c r="AK34" s="211" t="s">
        <v>423</v>
      </c>
      <c r="AL34" s="211" t="s">
        <v>140</v>
      </c>
      <c r="AM34" s="209"/>
      <c r="AN34" s="209"/>
    </row>
    <row r="35" spans="1:40" x14ac:dyDescent="0.3">
      <c r="A35" s="185">
        <v>9</v>
      </c>
      <c r="B35" s="201" t="s">
        <v>754</v>
      </c>
      <c r="C35" s="247" t="s">
        <v>1615</v>
      </c>
      <c r="D35" s="199" t="s">
        <v>1881</v>
      </c>
      <c r="E35" s="201"/>
      <c r="F35" s="201" t="s">
        <v>1597</v>
      </c>
      <c r="G35" s="368" t="s">
        <v>1604</v>
      </c>
      <c r="H35" s="201"/>
      <c r="I35" s="201">
        <v>3</v>
      </c>
      <c r="J35" s="357">
        <v>13.5</v>
      </c>
      <c r="K35" s="212">
        <v>0</v>
      </c>
      <c r="L35" s="212">
        <v>1.5</v>
      </c>
      <c r="M35" s="212">
        <f t="shared" si="5"/>
        <v>18</v>
      </c>
      <c r="N35" s="212">
        <f t="shared" si="6"/>
        <v>24</v>
      </c>
      <c r="O35" s="212">
        <f t="shared" si="7"/>
        <v>54</v>
      </c>
      <c r="P35" s="212">
        <f t="shared" si="8"/>
        <v>0</v>
      </c>
      <c r="Q35" s="212">
        <f t="shared" si="9"/>
        <v>12</v>
      </c>
      <c r="R35" s="212">
        <f t="shared" si="10"/>
        <v>90</v>
      </c>
      <c r="S35" s="202" t="s">
        <v>94</v>
      </c>
      <c r="T35" s="203" t="s">
        <v>755</v>
      </c>
      <c r="U35" s="202">
        <v>17</v>
      </c>
      <c r="V35" s="202">
        <v>19</v>
      </c>
      <c r="W35" s="202">
        <v>19</v>
      </c>
      <c r="X35" s="367">
        <v>43713</v>
      </c>
      <c r="Y35" s="205">
        <v>43831</v>
      </c>
      <c r="Z35" s="205">
        <v>43874</v>
      </c>
      <c r="AA35" s="273">
        <f t="shared" si="3"/>
        <v>2020</v>
      </c>
      <c r="AB35" s="273">
        <f t="shared" si="4"/>
        <v>2</v>
      </c>
      <c r="AC35" s="206" t="s">
        <v>920</v>
      </c>
      <c r="AD35" s="211" t="s">
        <v>422</v>
      </c>
      <c r="AE35" s="211" t="s">
        <v>422</v>
      </c>
      <c r="AF35" s="211" t="s">
        <v>422</v>
      </c>
      <c r="AG35" s="211" t="s">
        <v>422</v>
      </c>
      <c r="AH35" s="211" t="s">
        <v>422</v>
      </c>
      <c r="AI35" s="211" t="s">
        <v>423</v>
      </c>
      <c r="AJ35" s="211" t="s">
        <v>422</v>
      </c>
      <c r="AK35" s="211" t="s">
        <v>423</v>
      </c>
      <c r="AL35" s="211" t="s">
        <v>108</v>
      </c>
      <c r="AM35" s="209"/>
      <c r="AN35" s="209"/>
    </row>
    <row r="36" spans="1:40" x14ac:dyDescent="0.3">
      <c r="A36" s="185">
        <v>10</v>
      </c>
      <c r="B36" s="201" t="s">
        <v>756</v>
      </c>
      <c r="C36" s="247" t="s">
        <v>1615</v>
      </c>
      <c r="D36" s="199" t="s">
        <v>1881</v>
      </c>
      <c r="E36" s="201"/>
      <c r="F36" s="201"/>
      <c r="G36" s="368" t="s">
        <v>1604</v>
      </c>
      <c r="H36" s="212" t="s">
        <v>1428</v>
      </c>
      <c r="I36" s="201">
        <v>3</v>
      </c>
      <c r="J36" s="201">
        <v>11</v>
      </c>
      <c r="K36" s="212">
        <v>0</v>
      </c>
      <c r="L36" s="212">
        <v>1.5</v>
      </c>
      <c r="M36" s="212">
        <f t="shared" si="5"/>
        <v>15.5</v>
      </c>
      <c r="N36" s="212">
        <f t="shared" si="6"/>
        <v>24</v>
      </c>
      <c r="O36" s="212">
        <f t="shared" si="7"/>
        <v>44</v>
      </c>
      <c r="P36" s="212">
        <f t="shared" si="8"/>
        <v>0</v>
      </c>
      <c r="Q36" s="212">
        <f t="shared" si="9"/>
        <v>12</v>
      </c>
      <c r="R36" s="212">
        <f t="shared" si="10"/>
        <v>80</v>
      </c>
      <c r="S36" s="202" t="s">
        <v>95</v>
      </c>
      <c r="T36" s="203" t="s">
        <v>757</v>
      </c>
      <c r="U36" s="202">
        <v>17</v>
      </c>
      <c r="V36" s="202">
        <v>19</v>
      </c>
      <c r="W36" s="202">
        <v>19</v>
      </c>
      <c r="X36" s="367">
        <v>43713</v>
      </c>
      <c r="Y36" s="205">
        <v>43831</v>
      </c>
      <c r="Z36" s="205">
        <v>43874</v>
      </c>
      <c r="AA36" s="273">
        <f t="shared" si="3"/>
        <v>2020</v>
      </c>
      <c r="AB36" s="273">
        <f t="shared" si="4"/>
        <v>2</v>
      </c>
      <c r="AC36" s="206" t="s">
        <v>920</v>
      </c>
      <c r="AD36" s="211" t="s">
        <v>422</v>
      </c>
      <c r="AE36" s="211" t="s">
        <v>422</v>
      </c>
      <c r="AF36" s="211" t="s">
        <v>422</v>
      </c>
      <c r="AG36" s="211" t="s">
        <v>422</v>
      </c>
      <c r="AH36" s="211" t="s">
        <v>422</v>
      </c>
      <c r="AI36" s="211" t="s">
        <v>423</v>
      </c>
      <c r="AJ36" s="211" t="s">
        <v>422</v>
      </c>
      <c r="AK36" s="211" t="s">
        <v>423</v>
      </c>
      <c r="AL36" s="210" t="s">
        <v>138</v>
      </c>
      <c r="AM36" s="209"/>
      <c r="AN36" s="209"/>
    </row>
    <row r="37" spans="1:40" x14ac:dyDescent="0.3">
      <c r="A37" s="185">
        <v>15</v>
      </c>
      <c r="B37" s="212" t="s">
        <v>764</v>
      </c>
      <c r="C37" s="212" t="s">
        <v>1615</v>
      </c>
      <c r="D37" s="199" t="s">
        <v>1881</v>
      </c>
      <c r="E37" s="212"/>
      <c r="F37" s="212" t="s">
        <v>1597</v>
      </c>
      <c r="G37" s="368" t="s">
        <v>1604</v>
      </c>
      <c r="H37" s="212"/>
      <c r="I37" s="212">
        <v>2</v>
      </c>
      <c r="J37" s="357">
        <v>13.5</v>
      </c>
      <c r="K37" s="212">
        <v>0</v>
      </c>
      <c r="L37" s="212">
        <v>1</v>
      </c>
      <c r="M37" s="212">
        <f t="shared" si="5"/>
        <v>16.5</v>
      </c>
      <c r="N37" s="212">
        <f t="shared" si="6"/>
        <v>16</v>
      </c>
      <c r="O37" s="212">
        <f t="shared" si="7"/>
        <v>54</v>
      </c>
      <c r="P37" s="212">
        <f t="shared" si="8"/>
        <v>0</v>
      </c>
      <c r="Q37" s="212">
        <f t="shared" si="9"/>
        <v>8</v>
      </c>
      <c r="R37" s="212">
        <f t="shared" si="10"/>
        <v>78</v>
      </c>
      <c r="S37" s="213" t="s">
        <v>1012</v>
      </c>
      <c r="T37" s="214" t="s">
        <v>763</v>
      </c>
      <c r="U37" s="213">
        <v>119</v>
      </c>
      <c r="V37" s="213">
        <v>121</v>
      </c>
      <c r="W37" s="213">
        <v>121</v>
      </c>
      <c r="X37" s="215">
        <v>43713</v>
      </c>
      <c r="Y37" s="216">
        <v>43862</v>
      </c>
      <c r="Z37" s="205">
        <v>43874</v>
      </c>
      <c r="AA37" s="273">
        <f t="shared" si="3"/>
        <v>2020</v>
      </c>
      <c r="AB37" s="273">
        <f t="shared" si="4"/>
        <v>2</v>
      </c>
      <c r="AC37" s="217" t="s">
        <v>920</v>
      </c>
      <c r="AD37" s="217" t="s">
        <v>422</v>
      </c>
      <c r="AE37" s="217" t="s">
        <v>422</v>
      </c>
      <c r="AF37" s="217" t="s">
        <v>422</v>
      </c>
      <c r="AG37" s="217" t="s">
        <v>422</v>
      </c>
      <c r="AH37" s="217" t="s">
        <v>422</v>
      </c>
      <c r="AI37" s="217" t="s">
        <v>423</v>
      </c>
      <c r="AJ37" s="217" t="s">
        <v>422</v>
      </c>
      <c r="AK37" s="217" t="s">
        <v>423</v>
      </c>
      <c r="AL37" s="218" t="s">
        <v>108</v>
      </c>
      <c r="AM37" s="218"/>
      <c r="AN37" s="218"/>
    </row>
    <row r="38" spans="1:40" ht="16.5" customHeight="1" x14ac:dyDescent="0.3">
      <c r="A38" s="185">
        <v>67</v>
      </c>
      <c r="B38" s="212" t="s">
        <v>837</v>
      </c>
      <c r="C38" s="212" t="s">
        <v>1846</v>
      </c>
      <c r="D38" s="201" t="s">
        <v>1881</v>
      </c>
      <c r="E38" s="212"/>
      <c r="F38" s="212"/>
      <c r="G38" s="368" t="s">
        <v>1604</v>
      </c>
      <c r="H38" s="212" t="s">
        <v>1010</v>
      </c>
      <c r="I38" s="212">
        <v>3</v>
      </c>
      <c r="J38" s="212">
        <f>9.5+2</f>
        <v>11.5</v>
      </c>
      <c r="K38" s="212">
        <v>0</v>
      </c>
      <c r="L38" s="212">
        <v>1.5</v>
      </c>
      <c r="M38" s="212">
        <f t="shared" si="5"/>
        <v>16</v>
      </c>
      <c r="N38" s="212">
        <f t="shared" si="6"/>
        <v>24</v>
      </c>
      <c r="O38" s="212">
        <f t="shared" si="7"/>
        <v>46</v>
      </c>
      <c r="P38" s="212">
        <f t="shared" si="8"/>
        <v>0</v>
      </c>
      <c r="Q38" s="212">
        <f t="shared" si="9"/>
        <v>12</v>
      </c>
      <c r="R38" s="212">
        <f t="shared" si="10"/>
        <v>82</v>
      </c>
      <c r="S38" s="213" t="s">
        <v>875</v>
      </c>
      <c r="T38" s="217" t="s">
        <v>874</v>
      </c>
      <c r="U38" s="213">
        <v>144</v>
      </c>
      <c r="V38" s="213">
        <v>144</v>
      </c>
      <c r="W38" s="213">
        <v>144</v>
      </c>
      <c r="X38" s="215">
        <v>43868</v>
      </c>
      <c r="Y38" s="216">
        <v>43879</v>
      </c>
      <c r="Z38" s="205">
        <v>43879</v>
      </c>
      <c r="AA38" s="273">
        <f t="shared" si="3"/>
        <v>2020</v>
      </c>
      <c r="AB38" s="273">
        <f t="shared" si="4"/>
        <v>2</v>
      </c>
      <c r="AC38" s="217" t="s">
        <v>927</v>
      </c>
      <c r="AD38" s="278" t="s">
        <v>423</v>
      </c>
      <c r="AE38" s="278" t="s">
        <v>423</v>
      </c>
      <c r="AF38" s="278" t="s">
        <v>423</v>
      </c>
      <c r="AG38" s="278" t="s">
        <v>423</v>
      </c>
      <c r="AH38" s="278" t="s">
        <v>423</v>
      </c>
      <c r="AI38" s="278" t="s">
        <v>423</v>
      </c>
      <c r="AJ38" s="278" t="s">
        <v>423</v>
      </c>
      <c r="AK38" s="278" t="s">
        <v>423</v>
      </c>
      <c r="AL38" s="218" t="s">
        <v>1010</v>
      </c>
      <c r="AM38" s="218"/>
      <c r="AN38" s="228" t="s">
        <v>1195</v>
      </c>
    </row>
    <row r="39" spans="1:40" x14ac:dyDescent="0.3">
      <c r="A39" s="185">
        <v>18</v>
      </c>
      <c r="B39" s="212" t="s">
        <v>770</v>
      </c>
      <c r="C39" s="212" t="s">
        <v>1615</v>
      </c>
      <c r="D39" s="199" t="s">
        <v>1881</v>
      </c>
      <c r="E39" s="212"/>
      <c r="F39" s="212" t="s">
        <v>1597</v>
      </c>
      <c r="G39" s="212" t="s">
        <v>1940</v>
      </c>
      <c r="H39" s="212"/>
      <c r="I39" s="212">
        <v>2</v>
      </c>
      <c r="J39" s="357">
        <v>7</v>
      </c>
      <c r="K39" s="212">
        <v>29</v>
      </c>
      <c r="L39" s="212">
        <v>1</v>
      </c>
      <c r="M39" s="212">
        <f t="shared" si="5"/>
        <v>39</v>
      </c>
      <c r="N39" s="212">
        <f t="shared" si="6"/>
        <v>16</v>
      </c>
      <c r="O39" s="212">
        <f t="shared" si="7"/>
        <v>28</v>
      </c>
      <c r="P39" s="212">
        <f t="shared" si="8"/>
        <v>193.33333333333334</v>
      </c>
      <c r="Q39" s="212">
        <f t="shared" si="9"/>
        <v>8</v>
      </c>
      <c r="R39" s="212">
        <f t="shared" si="10"/>
        <v>245.33333333333334</v>
      </c>
      <c r="S39" s="213" t="s">
        <v>694</v>
      </c>
      <c r="T39" s="214" t="s">
        <v>769</v>
      </c>
      <c r="U39" s="213">
        <v>123</v>
      </c>
      <c r="V39" s="213">
        <v>126</v>
      </c>
      <c r="W39" s="213">
        <v>126</v>
      </c>
      <c r="X39" s="215">
        <v>43713</v>
      </c>
      <c r="Y39" s="216">
        <v>43891</v>
      </c>
      <c r="Z39" s="205">
        <v>43892</v>
      </c>
      <c r="AA39" s="273">
        <f t="shared" si="3"/>
        <v>2020</v>
      </c>
      <c r="AB39" s="273">
        <f t="shared" si="4"/>
        <v>3</v>
      </c>
      <c r="AC39" s="217" t="s">
        <v>920</v>
      </c>
      <c r="AD39" s="217" t="s">
        <v>422</v>
      </c>
      <c r="AE39" s="217" t="s">
        <v>423</v>
      </c>
      <c r="AF39" s="217" t="s">
        <v>422</v>
      </c>
      <c r="AG39" s="217" t="s">
        <v>422</v>
      </c>
      <c r="AH39" s="217" t="s">
        <v>423</v>
      </c>
      <c r="AI39" s="217" t="s">
        <v>422</v>
      </c>
      <c r="AJ39" s="217" t="s">
        <v>423</v>
      </c>
      <c r="AK39" s="217" t="s">
        <v>422</v>
      </c>
      <c r="AL39" s="218" t="s">
        <v>1009</v>
      </c>
      <c r="AM39" s="218"/>
      <c r="AN39" s="220"/>
    </row>
    <row r="40" spans="1:40" x14ac:dyDescent="0.3">
      <c r="A40" s="185">
        <v>11</v>
      </c>
      <c r="B40" s="212" t="s">
        <v>758</v>
      </c>
      <c r="C40" s="247" t="s">
        <v>1615</v>
      </c>
      <c r="D40" s="199" t="s">
        <v>1881</v>
      </c>
      <c r="E40" s="212"/>
      <c r="F40" s="212"/>
      <c r="G40" s="368" t="s">
        <v>1604</v>
      </c>
      <c r="H40" s="212" t="s">
        <v>1428</v>
      </c>
      <c r="I40" s="357">
        <v>2</v>
      </c>
      <c r="J40" s="212">
        <v>6.5</v>
      </c>
      <c r="K40" s="212">
        <v>0</v>
      </c>
      <c r="L40" s="212">
        <v>1</v>
      </c>
      <c r="M40" s="212">
        <f t="shared" si="5"/>
        <v>9.5</v>
      </c>
      <c r="N40" s="212">
        <f t="shared" si="6"/>
        <v>16</v>
      </c>
      <c r="O40" s="212">
        <f t="shared" si="7"/>
        <v>26</v>
      </c>
      <c r="P40" s="212">
        <f t="shared" si="8"/>
        <v>0</v>
      </c>
      <c r="Q40" s="212">
        <f t="shared" si="9"/>
        <v>8</v>
      </c>
      <c r="R40" s="212">
        <f t="shared" si="10"/>
        <v>50</v>
      </c>
      <c r="S40" s="213" t="s">
        <v>996</v>
      </c>
      <c r="T40" s="214" t="s">
        <v>759</v>
      </c>
      <c r="U40" s="213">
        <v>100</v>
      </c>
      <c r="V40" s="213">
        <v>101</v>
      </c>
      <c r="W40" s="213">
        <v>101</v>
      </c>
      <c r="X40" s="215">
        <v>43713</v>
      </c>
      <c r="Y40" s="216">
        <v>43800</v>
      </c>
      <c r="Z40" s="205">
        <v>44006</v>
      </c>
      <c r="AA40" s="273">
        <f t="shared" si="3"/>
        <v>2020</v>
      </c>
      <c r="AB40" s="273">
        <f t="shared" si="4"/>
        <v>6</v>
      </c>
      <c r="AC40" s="217" t="s">
        <v>920</v>
      </c>
      <c r="AD40" s="217" t="s">
        <v>422</v>
      </c>
      <c r="AE40" s="217" t="s">
        <v>422</v>
      </c>
      <c r="AF40" s="217" t="s">
        <v>422</v>
      </c>
      <c r="AG40" s="217" t="s">
        <v>422</v>
      </c>
      <c r="AH40" s="217" t="s">
        <v>422</v>
      </c>
      <c r="AI40" s="217" t="s">
        <v>423</v>
      </c>
      <c r="AJ40" s="217" t="s">
        <v>422</v>
      </c>
      <c r="AK40" s="217" t="s">
        <v>423</v>
      </c>
      <c r="AL40" s="210" t="s">
        <v>138</v>
      </c>
      <c r="AM40" s="218"/>
      <c r="AN40" s="218"/>
    </row>
    <row r="41" spans="1:40" x14ac:dyDescent="0.3">
      <c r="A41" s="185">
        <v>12</v>
      </c>
      <c r="B41" s="212" t="s">
        <v>760</v>
      </c>
      <c r="C41" s="247" t="s">
        <v>1615</v>
      </c>
      <c r="D41" s="199" t="s">
        <v>1881</v>
      </c>
      <c r="E41" s="212"/>
      <c r="F41" s="212"/>
      <c r="G41" s="368" t="s">
        <v>1604</v>
      </c>
      <c r="H41" s="212" t="s">
        <v>1428</v>
      </c>
      <c r="I41" s="357">
        <v>2</v>
      </c>
      <c r="J41" s="212">
        <v>10.8</v>
      </c>
      <c r="K41" s="212">
        <v>0</v>
      </c>
      <c r="L41" s="212">
        <v>1.5</v>
      </c>
      <c r="M41" s="212">
        <f t="shared" si="5"/>
        <v>14.3</v>
      </c>
      <c r="N41" s="212">
        <f t="shared" si="6"/>
        <v>16</v>
      </c>
      <c r="O41" s="212">
        <f t="shared" si="7"/>
        <v>43.2</v>
      </c>
      <c r="P41" s="212">
        <f t="shared" si="8"/>
        <v>0</v>
      </c>
      <c r="Q41" s="212">
        <f t="shared" si="9"/>
        <v>12</v>
      </c>
      <c r="R41" s="212">
        <f t="shared" si="10"/>
        <v>71.2</v>
      </c>
      <c r="S41" s="213" t="s">
        <v>1013</v>
      </c>
      <c r="T41" s="214" t="s">
        <v>777</v>
      </c>
      <c r="U41" s="213">
        <v>123</v>
      </c>
      <c r="V41" s="213">
        <v>123</v>
      </c>
      <c r="W41" s="399">
        <v>123</v>
      </c>
      <c r="X41" s="215">
        <v>43713</v>
      </c>
      <c r="Y41" s="216">
        <v>43862</v>
      </c>
      <c r="Z41" s="205">
        <v>44006</v>
      </c>
      <c r="AA41" s="273">
        <f t="shared" si="3"/>
        <v>2020</v>
      </c>
      <c r="AB41" s="273">
        <f t="shared" si="4"/>
        <v>6</v>
      </c>
      <c r="AC41" s="217" t="s">
        <v>920</v>
      </c>
      <c r="AD41" s="217" t="s">
        <v>422</v>
      </c>
      <c r="AE41" s="217" t="s">
        <v>422</v>
      </c>
      <c r="AF41" s="217" t="s">
        <v>422</v>
      </c>
      <c r="AG41" s="217" t="s">
        <v>422</v>
      </c>
      <c r="AH41" s="217" t="s">
        <v>422</v>
      </c>
      <c r="AI41" s="217" t="s">
        <v>423</v>
      </c>
      <c r="AJ41" s="217" t="s">
        <v>422</v>
      </c>
      <c r="AK41" s="217" t="s">
        <v>423</v>
      </c>
      <c r="AL41" s="210" t="s">
        <v>138</v>
      </c>
      <c r="AM41" s="218"/>
      <c r="AN41" s="218"/>
    </row>
    <row r="42" spans="1:40" x14ac:dyDescent="0.3">
      <c r="A42" s="185">
        <v>13</v>
      </c>
      <c r="B42" s="212" t="s">
        <v>760</v>
      </c>
      <c r="C42" s="247" t="s">
        <v>1615</v>
      </c>
      <c r="D42" s="199" t="s">
        <v>1881</v>
      </c>
      <c r="E42" s="212"/>
      <c r="F42" s="212"/>
      <c r="G42" s="368" t="s">
        <v>1604</v>
      </c>
      <c r="H42" s="212" t="s">
        <v>1428</v>
      </c>
      <c r="I42" s="357">
        <v>2</v>
      </c>
      <c r="J42" s="212">
        <v>10.8</v>
      </c>
      <c r="K42" s="212">
        <v>0</v>
      </c>
      <c r="L42" s="212">
        <v>1.5</v>
      </c>
      <c r="M42" s="212">
        <f t="shared" si="5"/>
        <v>14.3</v>
      </c>
      <c r="N42" s="212">
        <f t="shared" si="6"/>
        <v>16</v>
      </c>
      <c r="O42" s="212">
        <f t="shared" si="7"/>
        <v>43.2</v>
      </c>
      <c r="P42" s="212">
        <f t="shared" si="8"/>
        <v>0</v>
      </c>
      <c r="Q42" s="212">
        <f t="shared" si="9"/>
        <v>12</v>
      </c>
      <c r="R42" s="212">
        <f t="shared" si="10"/>
        <v>71.2</v>
      </c>
      <c r="S42" s="213" t="s">
        <v>776</v>
      </c>
      <c r="T42" s="214" t="s">
        <v>777</v>
      </c>
      <c r="U42" s="213">
        <v>108</v>
      </c>
      <c r="V42" s="213">
        <v>108</v>
      </c>
      <c r="W42" s="399">
        <v>108</v>
      </c>
      <c r="X42" s="215">
        <v>43713</v>
      </c>
      <c r="Y42" s="216">
        <v>43862</v>
      </c>
      <c r="Z42" s="205">
        <v>44006</v>
      </c>
      <c r="AA42" s="273">
        <f t="shared" si="3"/>
        <v>2020</v>
      </c>
      <c r="AB42" s="273">
        <f t="shared" si="4"/>
        <v>6</v>
      </c>
      <c r="AC42" s="217" t="s">
        <v>920</v>
      </c>
      <c r="AD42" s="217" t="s">
        <v>422</v>
      </c>
      <c r="AE42" s="217" t="s">
        <v>422</v>
      </c>
      <c r="AF42" s="217" t="s">
        <v>422</v>
      </c>
      <c r="AG42" s="217" t="s">
        <v>422</v>
      </c>
      <c r="AH42" s="217" t="s">
        <v>422</v>
      </c>
      <c r="AI42" s="217" t="s">
        <v>423</v>
      </c>
      <c r="AJ42" s="217" t="s">
        <v>422</v>
      </c>
      <c r="AK42" s="217" t="s">
        <v>423</v>
      </c>
      <c r="AL42" s="210" t="s">
        <v>138</v>
      </c>
      <c r="AM42" s="218"/>
      <c r="AN42" s="209"/>
    </row>
    <row r="43" spans="1:40" x14ac:dyDescent="0.3">
      <c r="A43" s="185">
        <v>19</v>
      </c>
      <c r="B43" s="212" t="s">
        <v>781</v>
      </c>
      <c r="C43" s="212" t="s">
        <v>1615</v>
      </c>
      <c r="D43" s="199" t="s">
        <v>1881</v>
      </c>
      <c r="E43" s="212"/>
      <c r="F43" s="212"/>
      <c r="G43" s="212" t="s">
        <v>1940</v>
      </c>
      <c r="H43" s="212" t="s">
        <v>1041</v>
      </c>
      <c r="I43" s="357">
        <v>2</v>
      </c>
      <c r="J43" s="212">
        <v>6</v>
      </c>
      <c r="K43" s="212">
        <v>29</v>
      </c>
      <c r="L43" s="212">
        <v>1</v>
      </c>
      <c r="M43" s="212">
        <f t="shared" si="5"/>
        <v>38</v>
      </c>
      <c r="N43" s="212">
        <f t="shared" si="6"/>
        <v>16</v>
      </c>
      <c r="O43" s="212">
        <f t="shared" si="7"/>
        <v>24</v>
      </c>
      <c r="P43" s="212">
        <f t="shared" si="8"/>
        <v>193.33333333333334</v>
      </c>
      <c r="Q43" s="212">
        <f t="shared" si="9"/>
        <v>8</v>
      </c>
      <c r="R43" s="212">
        <f t="shared" si="10"/>
        <v>241.33333333333334</v>
      </c>
      <c r="S43" s="213" t="s">
        <v>782</v>
      </c>
      <c r="T43" s="214" t="s">
        <v>771</v>
      </c>
      <c r="U43" s="213">
        <v>74</v>
      </c>
      <c r="V43" s="213">
        <v>77</v>
      </c>
      <c r="W43" s="213">
        <v>77</v>
      </c>
      <c r="X43" s="215">
        <v>43713</v>
      </c>
      <c r="Y43" s="216">
        <v>43891</v>
      </c>
      <c r="Z43" s="205">
        <v>44006</v>
      </c>
      <c r="AA43" s="273">
        <f t="shared" si="3"/>
        <v>2020</v>
      </c>
      <c r="AB43" s="273">
        <f t="shared" si="4"/>
        <v>6</v>
      </c>
      <c r="AC43" s="221" t="s">
        <v>920</v>
      </c>
      <c r="AD43" s="217" t="s">
        <v>422</v>
      </c>
      <c r="AE43" s="217" t="s">
        <v>423</v>
      </c>
      <c r="AF43" s="217" t="s">
        <v>422</v>
      </c>
      <c r="AG43" s="217" t="s">
        <v>422</v>
      </c>
      <c r="AH43" s="217" t="s">
        <v>423</v>
      </c>
      <c r="AI43" s="217" t="s">
        <v>422</v>
      </c>
      <c r="AJ43" s="217" t="s">
        <v>423</v>
      </c>
      <c r="AK43" s="217" t="s">
        <v>422</v>
      </c>
      <c r="AL43" s="218" t="s">
        <v>698</v>
      </c>
      <c r="AM43" s="218"/>
      <c r="AN43" s="220"/>
    </row>
    <row r="44" spans="1:40" x14ac:dyDescent="0.3">
      <c r="A44" s="185">
        <v>44</v>
      </c>
      <c r="B44" s="212" t="s">
        <v>1000</v>
      </c>
      <c r="C44" s="247" t="s">
        <v>1615</v>
      </c>
      <c r="D44" s="200" t="s">
        <v>1881</v>
      </c>
      <c r="E44" s="212"/>
      <c r="F44" s="212"/>
      <c r="G44" s="368" t="s">
        <v>1604</v>
      </c>
      <c r="H44" s="212" t="s">
        <v>1946</v>
      </c>
      <c r="I44" s="357">
        <v>2</v>
      </c>
      <c r="J44" s="212">
        <v>105</v>
      </c>
      <c r="K44" s="212">
        <v>0</v>
      </c>
      <c r="L44" s="212">
        <v>1.5</v>
      </c>
      <c r="M44" s="212">
        <f t="shared" si="5"/>
        <v>108.5</v>
      </c>
      <c r="N44" s="212">
        <f t="shared" si="6"/>
        <v>16</v>
      </c>
      <c r="O44" s="212">
        <f t="shared" si="7"/>
        <v>420</v>
      </c>
      <c r="P44" s="212">
        <f t="shared" si="8"/>
        <v>0</v>
      </c>
      <c r="Q44" s="212">
        <f t="shared" si="9"/>
        <v>12</v>
      </c>
      <c r="R44" s="212">
        <f t="shared" si="10"/>
        <v>448</v>
      </c>
      <c r="S44" s="202">
        <v>397660</v>
      </c>
      <c r="T44" s="203" t="s">
        <v>1007</v>
      </c>
      <c r="U44" s="202">
        <v>84</v>
      </c>
      <c r="V44" s="202">
        <v>87</v>
      </c>
      <c r="W44" s="202">
        <v>87</v>
      </c>
      <c r="X44" s="367">
        <v>43781</v>
      </c>
      <c r="Y44" s="205">
        <v>43905</v>
      </c>
      <c r="Z44" s="205">
        <v>44006</v>
      </c>
      <c r="AA44" s="273">
        <f t="shared" si="3"/>
        <v>2020</v>
      </c>
      <c r="AB44" s="273">
        <f t="shared" si="4"/>
        <v>6</v>
      </c>
      <c r="AC44" s="211" t="s">
        <v>920</v>
      </c>
      <c r="AD44" s="217" t="s">
        <v>422</v>
      </c>
      <c r="AE44" s="217" t="s">
        <v>422</v>
      </c>
      <c r="AF44" s="217" t="s">
        <v>422</v>
      </c>
      <c r="AG44" s="217" t="s">
        <v>422</v>
      </c>
      <c r="AH44" s="217" t="s">
        <v>423</v>
      </c>
      <c r="AI44" s="217" t="s">
        <v>423</v>
      </c>
      <c r="AJ44" s="217" t="s">
        <v>422</v>
      </c>
      <c r="AK44" s="217" t="s">
        <v>423</v>
      </c>
      <c r="AL44" s="222" t="s">
        <v>140</v>
      </c>
      <c r="AM44" s="209"/>
      <c r="AN44" s="209"/>
    </row>
    <row r="45" spans="1:40" ht="16.5" customHeight="1" x14ac:dyDescent="0.3">
      <c r="A45" s="185">
        <v>45</v>
      </c>
      <c r="B45" s="212" t="s">
        <v>806</v>
      </c>
      <c r="C45" s="247" t="s">
        <v>1618</v>
      </c>
      <c r="D45" s="200" t="s">
        <v>1881</v>
      </c>
      <c r="E45" s="212"/>
      <c r="F45" s="212"/>
      <c r="G45" s="368" t="s">
        <v>1604</v>
      </c>
      <c r="H45" s="212" t="s">
        <v>1008</v>
      </c>
      <c r="I45" s="357">
        <v>2</v>
      </c>
      <c r="J45" s="212">
        <v>6</v>
      </c>
      <c r="K45" s="212">
        <v>0</v>
      </c>
      <c r="L45" s="212">
        <v>1</v>
      </c>
      <c r="M45" s="212">
        <f t="shared" si="5"/>
        <v>9</v>
      </c>
      <c r="N45" s="212">
        <f t="shared" si="6"/>
        <v>16</v>
      </c>
      <c r="O45" s="212">
        <f t="shared" si="7"/>
        <v>24</v>
      </c>
      <c r="P45" s="212">
        <f t="shared" si="8"/>
        <v>0</v>
      </c>
      <c r="Q45" s="212">
        <f t="shared" si="9"/>
        <v>8</v>
      </c>
      <c r="R45" s="212">
        <f t="shared" si="10"/>
        <v>48</v>
      </c>
      <c r="S45" s="202" t="s">
        <v>807</v>
      </c>
      <c r="T45" s="211" t="s">
        <v>816</v>
      </c>
      <c r="U45" s="202">
        <v>120</v>
      </c>
      <c r="V45" s="202">
        <v>122</v>
      </c>
      <c r="W45" s="202">
        <v>122</v>
      </c>
      <c r="X45" s="367">
        <v>43781</v>
      </c>
      <c r="Y45" s="205">
        <v>43905</v>
      </c>
      <c r="Z45" s="205">
        <v>43997</v>
      </c>
      <c r="AA45" s="273">
        <f t="shared" si="3"/>
        <v>2020</v>
      </c>
      <c r="AB45" s="273">
        <f t="shared" si="4"/>
        <v>6</v>
      </c>
      <c r="AC45" s="211" t="s">
        <v>920</v>
      </c>
      <c r="AD45" s="217" t="s">
        <v>422</v>
      </c>
      <c r="AE45" s="217" t="s">
        <v>422</v>
      </c>
      <c r="AF45" s="217" t="s">
        <v>422</v>
      </c>
      <c r="AG45" s="217" t="s">
        <v>422</v>
      </c>
      <c r="AH45" s="217" t="s">
        <v>422</v>
      </c>
      <c r="AI45" s="217" t="s">
        <v>423</v>
      </c>
      <c r="AJ45" s="217" t="s">
        <v>422</v>
      </c>
      <c r="AK45" s="217" t="s">
        <v>423</v>
      </c>
      <c r="AL45" s="222" t="s">
        <v>888</v>
      </c>
      <c r="AM45" s="209"/>
      <c r="AN45" s="209"/>
    </row>
    <row r="46" spans="1:40" ht="16.5" customHeight="1" x14ac:dyDescent="0.3">
      <c r="A46" s="185">
        <v>46</v>
      </c>
      <c r="B46" s="212" t="s">
        <v>808</v>
      </c>
      <c r="C46" s="247" t="s">
        <v>1618</v>
      </c>
      <c r="D46" s="200" t="s">
        <v>1881</v>
      </c>
      <c r="E46" s="212"/>
      <c r="F46" s="212"/>
      <c r="G46" s="368" t="s">
        <v>1604</v>
      </c>
      <c r="H46" s="212" t="s">
        <v>1008</v>
      </c>
      <c r="I46" s="357">
        <v>2</v>
      </c>
      <c r="J46" s="212">
        <v>8.5</v>
      </c>
      <c r="K46" s="212">
        <v>0</v>
      </c>
      <c r="L46" s="212">
        <v>1.5</v>
      </c>
      <c r="M46" s="212">
        <f t="shared" si="5"/>
        <v>12</v>
      </c>
      <c r="N46" s="212">
        <f t="shared" si="6"/>
        <v>16</v>
      </c>
      <c r="O46" s="212">
        <f t="shared" si="7"/>
        <v>34</v>
      </c>
      <c r="P46" s="212">
        <f t="shared" si="8"/>
        <v>0</v>
      </c>
      <c r="Q46" s="212">
        <f t="shared" si="9"/>
        <v>12</v>
      </c>
      <c r="R46" s="212">
        <f t="shared" si="10"/>
        <v>62</v>
      </c>
      <c r="S46" s="202" t="s">
        <v>812</v>
      </c>
      <c r="T46" s="211" t="s">
        <v>817</v>
      </c>
      <c r="U46" s="202">
        <v>120</v>
      </c>
      <c r="V46" s="202">
        <v>122</v>
      </c>
      <c r="W46" s="202">
        <v>122</v>
      </c>
      <c r="X46" s="367">
        <v>43781</v>
      </c>
      <c r="Y46" s="205">
        <v>43905</v>
      </c>
      <c r="Z46" s="205">
        <v>43997</v>
      </c>
      <c r="AA46" s="273">
        <f t="shared" si="3"/>
        <v>2020</v>
      </c>
      <c r="AB46" s="273">
        <f t="shared" si="4"/>
        <v>6</v>
      </c>
      <c r="AC46" s="211" t="s">
        <v>920</v>
      </c>
      <c r="AD46" s="217" t="s">
        <v>422</v>
      </c>
      <c r="AE46" s="217" t="s">
        <v>422</v>
      </c>
      <c r="AF46" s="217" t="s">
        <v>422</v>
      </c>
      <c r="AG46" s="217" t="s">
        <v>422</v>
      </c>
      <c r="AH46" s="217" t="s">
        <v>422</v>
      </c>
      <c r="AI46" s="217" t="s">
        <v>423</v>
      </c>
      <c r="AJ46" s="217" t="s">
        <v>422</v>
      </c>
      <c r="AK46" s="217" t="s">
        <v>423</v>
      </c>
      <c r="AL46" s="222" t="s">
        <v>888</v>
      </c>
      <c r="AM46" s="209"/>
      <c r="AN46" s="209"/>
    </row>
    <row r="47" spans="1:40" ht="16.5" customHeight="1" x14ac:dyDescent="0.3">
      <c r="A47" s="185">
        <v>47</v>
      </c>
      <c r="B47" s="212" t="s">
        <v>809</v>
      </c>
      <c r="C47" s="247" t="s">
        <v>1618</v>
      </c>
      <c r="D47" s="200" t="s">
        <v>1881</v>
      </c>
      <c r="E47" s="212"/>
      <c r="F47" s="212"/>
      <c r="G47" s="368" t="s">
        <v>1604</v>
      </c>
      <c r="H47" s="212" t="s">
        <v>1008</v>
      </c>
      <c r="I47" s="357">
        <v>2</v>
      </c>
      <c r="J47" s="212">
        <v>8</v>
      </c>
      <c r="K47" s="212">
        <v>0</v>
      </c>
      <c r="L47" s="212">
        <v>1.5</v>
      </c>
      <c r="M47" s="212">
        <f t="shared" si="5"/>
        <v>11.5</v>
      </c>
      <c r="N47" s="212">
        <f t="shared" si="6"/>
        <v>16</v>
      </c>
      <c r="O47" s="212">
        <f t="shared" si="7"/>
        <v>32</v>
      </c>
      <c r="P47" s="212">
        <f t="shared" si="8"/>
        <v>0</v>
      </c>
      <c r="Q47" s="212">
        <f t="shared" si="9"/>
        <v>12</v>
      </c>
      <c r="R47" s="212">
        <f t="shared" si="10"/>
        <v>60</v>
      </c>
      <c r="S47" s="202" t="s">
        <v>813</v>
      </c>
      <c r="T47" s="211" t="s">
        <v>818</v>
      </c>
      <c r="U47" s="202">
        <v>120</v>
      </c>
      <c r="V47" s="202">
        <v>122</v>
      </c>
      <c r="W47" s="202">
        <v>122</v>
      </c>
      <c r="X47" s="367">
        <v>43781</v>
      </c>
      <c r="Y47" s="205">
        <v>43905</v>
      </c>
      <c r="Z47" s="205">
        <v>43997</v>
      </c>
      <c r="AA47" s="273">
        <f t="shared" si="3"/>
        <v>2020</v>
      </c>
      <c r="AB47" s="273">
        <f t="shared" si="4"/>
        <v>6</v>
      </c>
      <c r="AC47" s="211" t="s">
        <v>920</v>
      </c>
      <c r="AD47" s="217" t="s">
        <v>422</v>
      </c>
      <c r="AE47" s="217" t="s">
        <v>422</v>
      </c>
      <c r="AF47" s="217" t="s">
        <v>422</v>
      </c>
      <c r="AG47" s="217" t="s">
        <v>422</v>
      </c>
      <c r="AH47" s="217" t="s">
        <v>423</v>
      </c>
      <c r="AI47" s="217" t="s">
        <v>423</v>
      </c>
      <c r="AJ47" s="217" t="s">
        <v>422</v>
      </c>
      <c r="AK47" s="217" t="s">
        <v>423</v>
      </c>
      <c r="AL47" s="222" t="s">
        <v>1008</v>
      </c>
      <c r="AM47" s="209"/>
      <c r="AN47" s="209"/>
    </row>
    <row r="48" spans="1:40" x14ac:dyDescent="0.3">
      <c r="A48" s="185">
        <v>48</v>
      </c>
      <c r="B48" s="212" t="s">
        <v>810</v>
      </c>
      <c r="C48" s="247" t="s">
        <v>1618</v>
      </c>
      <c r="D48" s="200" t="s">
        <v>1881</v>
      </c>
      <c r="E48" s="212"/>
      <c r="F48" s="212" t="s">
        <v>1597</v>
      </c>
      <c r="G48" s="368" t="s">
        <v>1604</v>
      </c>
      <c r="H48" s="212" t="s">
        <v>1597</v>
      </c>
      <c r="I48" s="212">
        <v>2</v>
      </c>
      <c r="J48" s="357">
        <v>12</v>
      </c>
      <c r="K48" s="212">
        <v>0</v>
      </c>
      <c r="L48" s="212">
        <v>1</v>
      </c>
      <c r="M48" s="212">
        <f t="shared" si="5"/>
        <v>15</v>
      </c>
      <c r="N48" s="212">
        <f t="shared" si="6"/>
        <v>16</v>
      </c>
      <c r="O48" s="212">
        <f t="shared" si="7"/>
        <v>48</v>
      </c>
      <c r="P48" s="212">
        <f t="shared" si="8"/>
        <v>0</v>
      </c>
      <c r="Q48" s="212">
        <f t="shared" si="9"/>
        <v>8</v>
      </c>
      <c r="R48" s="212">
        <f t="shared" si="10"/>
        <v>72</v>
      </c>
      <c r="S48" s="202" t="s">
        <v>814</v>
      </c>
      <c r="T48" s="211" t="s">
        <v>819</v>
      </c>
      <c r="U48" s="202">
        <v>120</v>
      </c>
      <c r="V48" s="202">
        <v>122</v>
      </c>
      <c r="W48" s="202">
        <v>122</v>
      </c>
      <c r="X48" s="367">
        <v>43781</v>
      </c>
      <c r="Y48" s="205">
        <v>43905</v>
      </c>
      <c r="Z48" s="205">
        <v>43997</v>
      </c>
      <c r="AA48" s="273">
        <f t="shared" si="3"/>
        <v>2020</v>
      </c>
      <c r="AB48" s="273">
        <f t="shared" si="4"/>
        <v>6</v>
      </c>
      <c r="AC48" s="211" t="s">
        <v>920</v>
      </c>
      <c r="AD48" s="217" t="s">
        <v>422</v>
      </c>
      <c r="AE48" s="217" t="s">
        <v>422</v>
      </c>
      <c r="AF48" s="217" t="s">
        <v>422</v>
      </c>
      <c r="AG48" s="217" t="s">
        <v>422</v>
      </c>
      <c r="AH48" s="217" t="s">
        <v>423</v>
      </c>
      <c r="AI48" s="217" t="s">
        <v>423</v>
      </c>
      <c r="AJ48" s="217" t="s">
        <v>423</v>
      </c>
      <c r="AK48" s="217" t="s">
        <v>423</v>
      </c>
      <c r="AL48" s="222" t="s">
        <v>1009</v>
      </c>
      <c r="AM48" s="209"/>
      <c r="AN48" s="209"/>
    </row>
    <row r="49" spans="1:40" x14ac:dyDescent="0.3">
      <c r="A49" s="185">
        <v>49</v>
      </c>
      <c r="B49" s="212" t="s">
        <v>811</v>
      </c>
      <c r="C49" s="247" t="s">
        <v>1618</v>
      </c>
      <c r="D49" s="200" t="s">
        <v>1881</v>
      </c>
      <c r="E49" s="212"/>
      <c r="F49" s="212"/>
      <c r="G49" s="368" t="s">
        <v>1604</v>
      </c>
      <c r="H49" s="212" t="s">
        <v>1947</v>
      </c>
      <c r="I49" s="357">
        <v>2</v>
      </c>
      <c r="J49" s="212">
        <v>6</v>
      </c>
      <c r="K49" s="212">
        <v>0</v>
      </c>
      <c r="L49" s="212">
        <v>1</v>
      </c>
      <c r="M49" s="212">
        <f t="shared" si="5"/>
        <v>9</v>
      </c>
      <c r="N49" s="212">
        <f t="shared" si="6"/>
        <v>16</v>
      </c>
      <c r="O49" s="212">
        <f t="shared" si="7"/>
        <v>24</v>
      </c>
      <c r="P49" s="212">
        <f t="shared" si="8"/>
        <v>0</v>
      </c>
      <c r="Q49" s="212">
        <f t="shared" si="9"/>
        <v>8</v>
      </c>
      <c r="R49" s="212">
        <f t="shared" si="10"/>
        <v>48</v>
      </c>
      <c r="S49" s="202" t="s">
        <v>815</v>
      </c>
      <c r="T49" s="211" t="s">
        <v>921</v>
      </c>
      <c r="U49" s="202">
        <v>120</v>
      </c>
      <c r="V49" s="202">
        <v>122</v>
      </c>
      <c r="W49" s="202">
        <v>122</v>
      </c>
      <c r="X49" s="367">
        <v>43781</v>
      </c>
      <c r="Y49" s="205">
        <v>43905</v>
      </c>
      <c r="Z49" s="205">
        <v>43997</v>
      </c>
      <c r="AA49" s="273">
        <f t="shared" si="3"/>
        <v>2020</v>
      </c>
      <c r="AB49" s="273">
        <f t="shared" si="4"/>
        <v>6</v>
      </c>
      <c r="AC49" s="211" t="s">
        <v>920</v>
      </c>
      <c r="AD49" s="217" t="s">
        <v>422</v>
      </c>
      <c r="AE49" s="217" t="s">
        <v>422</v>
      </c>
      <c r="AF49" s="217" t="s">
        <v>422</v>
      </c>
      <c r="AG49" s="217" t="s">
        <v>422</v>
      </c>
      <c r="AH49" s="217" t="s">
        <v>423</v>
      </c>
      <c r="AI49" s="217" t="s">
        <v>423</v>
      </c>
      <c r="AJ49" s="217" t="s">
        <v>423</v>
      </c>
      <c r="AK49" s="217" t="s">
        <v>423</v>
      </c>
      <c r="AL49" s="222" t="s">
        <v>1010</v>
      </c>
      <c r="AM49" s="209"/>
      <c r="AN49" s="209"/>
    </row>
    <row r="50" spans="1:40" x14ac:dyDescent="0.3">
      <c r="A50" s="185">
        <v>50</v>
      </c>
      <c r="B50" s="212" t="s">
        <v>820</v>
      </c>
      <c r="C50" s="247" t="s">
        <v>1615</v>
      </c>
      <c r="D50" s="200" t="s">
        <v>1881</v>
      </c>
      <c r="E50" s="212"/>
      <c r="F50" s="212" t="s">
        <v>1597</v>
      </c>
      <c r="G50" s="368" t="s">
        <v>1604</v>
      </c>
      <c r="H50" s="212" t="s">
        <v>1597</v>
      </c>
      <c r="I50" s="212">
        <v>2</v>
      </c>
      <c r="J50" s="357">
        <v>15</v>
      </c>
      <c r="K50" s="212">
        <v>0</v>
      </c>
      <c r="L50" s="212">
        <v>1.5</v>
      </c>
      <c r="M50" s="212">
        <f t="shared" si="5"/>
        <v>18.5</v>
      </c>
      <c r="N50" s="212">
        <f t="shared" si="6"/>
        <v>16</v>
      </c>
      <c r="O50" s="212">
        <f t="shared" si="7"/>
        <v>60</v>
      </c>
      <c r="P50" s="212">
        <f t="shared" si="8"/>
        <v>0</v>
      </c>
      <c r="Q50" s="212">
        <f t="shared" si="9"/>
        <v>12</v>
      </c>
      <c r="R50" s="212">
        <f t="shared" si="10"/>
        <v>88</v>
      </c>
      <c r="S50" s="202" t="s">
        <v>956</v>
      </c>
      <c r="T50" s="211" t="s">
        <v>932</v>
      </c>
      <c r="U50" s="202">
        <v>99</v>
      </c>
      <c r="V50" s="202">
        <v>100</v>
      </c>
      <c r="W50" s="202">
        <v>100</v>
      </c>
      <c r="X50" s="367">
        <v>43834</v>
      </c>
      <c r="Y50" s="205">
        <v>43894</v>
      </c>
      <c r="Z50" s="205">
        <v>43997</v>
      </c>
      <c r="AA50" s="273">
        <f t="shared" si="3"/>
        <v>2020</v>
      </c>
      <c r="AB50" s="273">
        <f t="shared" si="4"/>
        <v>6</v>
      </c>
      <c r="AC50" s="211" t="s">
        <v>920</v>
      </c>
      <c r="AD50" s="217" t="s">
        <v>422</v>
      </c>
      <c r="AE50" s="217" t="s">
        <v>422</v>
      </c>
      <c r="AF50" s="217" t="s">
        <v>422</v>
      </c>
      <c r="AG50" s="217" t="s">
        <v>422</v>
      </c>
      <c r="AH50" s="217" t="s">
        <v>423</v>
      </c>
      <c r="AI50" s="217" t="s">
        <v>423</v>
      </c>
      <c r="AJ50" s="217" t="s">
        <v>422</v>
      </c>
      <c r="AK50" s="217" t="s">
        <v>423</v>
      </c>
      <c r="AL50" s="222" t="s">
        <v>108</v>
      </c>
      <c r="AM50" s="209"/>
      <c r="AN50" s="209"/>
    </row>
    <row r="51" spans="1:40" x14ac:dyDescent="0.3">
      <c r="A51" s="185">
        <v>66</v>
      </c>
      <c r="B51" s="212" t="s">
        <v>836</v>
      </c>
      <c r="C51" s="212" t="s">
        <v>1845</v>
      </c>
      <c r="D51" s="335" t="s">
        <v>1848</v>
      </c>
      <c r="E51" s="212"/>
      <c r="F51" s="212"/>
      <c r="G51" s="212" t="s">
        <v>1940</v>
      </c>
      <c r="H51" s="212" t="s">
        <v>1041</v>
      </c>
      <c r="I51" s="357">
        <v>2</v>
      </c>
      <c r="J51" s="212">
        <v>9</v>
      </c>
      <c r="K51" s="212">
        <v>9</v>
      </c>
      <c r="L51" s="212">
        <v>1</v>
      </c>
      <c r="M51" s="212">
        <f t="shared" si="5"/>
        <v>21</v>
      </c>
      <c r="N51" s="212">
        <f t="shared" si="6"/>
        <v>16</v>
      </c>
      <c r="O51" s="212">
        <f t="shared" si="7"/>
        <v>36</v>
      </c>
      <c r="P51" s="212">
        <f t="shared" si="8"/>
        <v>60</v>
      </c>
      <c r="Q51" s="212">
        <f t="shared" si="9"/>
        <v>8</v>
      </c>
      <c r="R51" s="212">
        <f t="shared" si="10"/>
        <v>120</v>
      </c>
      <c r="S51" s="213" t="s">
        <v>873</v>
      </c>
      <c r="T51" s="217" t="s">
        <v>873</v>
      </c>
      <c r="U51" s="213">
        <v>54</v>
      </c>
      <c r="V51" s="213">
        <v>58</v>
      </c>
      <c r="W51" s="213">
        <v>58</v>
      </c>
      <c r="X51" s="215">
        <v>43868</v>
      </c>
      <c r="Y51" s="216">
        <v>43920</v>
      </c>
      <c r="Z51" s="205">
        <v>44006</v>
      </c>
      <c r="AA51" s="273">
        <f t="shared" si="3"/>
        <v>2020</v>
      </c>
      <c r="AB51" s="273">
        <f t="shared" si="4"/>
        <v>6</v>
      </c>
      <c r="AC51" s="217" t="s">
        <v>920</v>
      </c>
      <c r="AD51" s="217" t="s">
        <v>422</v>
      </c>
      <c r="AE51" s="217" t="s">
        <v>422</v>
      </c>
      <c r="AF51" s="217" t="s">
        <v>422</v>
      </c>
      <c r="AG51" s="217" t="s">
        <v>422</v>
      </c>
      <c r="AH51" s="217" t="s">
        <v>422</v>
      </c>
      <c r="AI51" s="217" t="s">
        <v>422</v>
      </c>
      <c r="AJ51" s="217" t="s">
        <v>423</v>
      </c>
      <c r="AK51" s="217" t="s">
        <v>423</v>
      </c>
      <c r="AL51" s="218" t="s">
        <v>1041</v>
      </c>
      <c r="AM51" s="218"/>
      <c r="AN51" s="218"/>
    </row>
    <row r="52" spans="1:40" ht="15" customHeight="1" x14ac:dyDescent="0.3">
      <c r="A52" s="185">
        <v>80</v>
      </c>
      <c r="B52" s="212" t="s">
        <v>900</v>
      </c>
      <c r="C52" s="212" t="s">
        <v>1615</v>
      </c>
      <c r="D52" s="335" t="s">
        <v>1881</v>
      </c>
      <c r="E52" s="212"/>
      <c r="F52" s="212"/>
      <c r="G52" s="368" t="s">
        <v>1604</v>
      </c>
      <c r="H52" s="212" t="s">
        <v>1010</v>
      </c>
      <c r="I52" s="357">
        <v>2</v>
      </c>
      <c r="J52" s="212">
        <v>10.5</v>
      </c>
      <c r="K52" s="212">
        <v>0</v>
      </c>
      <c r="L52" s="212">
        <v>1.5</v>
      </c>
      <c r="M52" s="212">
        <f t="shared" si="5"/>
        <v>14</v>
      </c>
      <c r="N52" s="212">
        <f t="shared" si="6"/>
        <v>16</v>
      </c>
      <c r="O52" s="212">
        <f t="shared" si="7"/>
        <v>42</v>
      </c>
      <c r="P52" s="212">
        <f t="shared" si="8"/>
        <v>0</v>
      </c>
      <c r="Q52" s="212">
        <f t="shared" si="9"/>
        <v>12</v>
      </c>
      <c r="R52" s="212">
        <f t="shared" si="10"/>
        <v>70</v>
      </c>
      <c r="S52" s="213" t="s">
        <v>936</v>
      </c>
      <c r="T52" s="214" t="s">
        <v>939</v>
      </c>
      <c r="U52" s="213">
        <v>140</v>
      </c>
      <c r="V52" s="213">
        <v>146</v>
      </c>
      <c r="W52" s="213">
        <v>146</v>
      </c>
      <c r="X52" s="215">
        <v>43875</v>
      </c>
      <c r="Y52" s="216">
        <v>43905</v>
      </c>
      <c r="Z52" s="205">
        <v>44006</v>
      </c>
      <c r="AA52" s="273">
        <f t="shared" si="3"/>
        <v>2020</v>
      </c>
      <c r="AB52" s="273">
        <f t="shared" si="4"/>
        <v>6</v>
      </c>
      <c r="AC52" s="217" t="s">
        <v>920</v>
      </c>
      <c r="AD52" s="217" t="s">
        <v>422</v>
      </c>
      <c r="AE52" s="217" t="s">
        <v>422</v>
      </c>
      <c r="AF52" s="217" t="s">
        <v>422</v>
      </c>
      <c r="AG52" s="217" t="s">
        <v>422</v>
      </c>
      <c r="AH52" s="217" t="s">
        <v>422</v>
      </c>
      <c r="AI52" s="217" t="s">
        <v>423</v>
      </c>
      <c r="AJ52" s="217" t="s">
        <v>423</v>
      </c>
      <c r="AK52" s="217" t="s">
        <v>423</v>
      </c>
      <c r="AL52" s="218" t="s">
        <v>140</v>
      </c>
      <c r="AM52" s="209"/>
      <c r="AN52" s="209"/>
    </row>
    <row r="53" spans="1:40" ht="15" customHeight="1" x14ac:dyDescent="0.3">
      <c r="A53" s="185">
        <v>82</v>
      </c>
      <c r="B53" s="212" t="s">
        <v>902</v>
      </c>
      <c r="C53" s="212" t="s">
        <v>1615</v>
      </c>
      <c r="D53" s="335" t="s">
        <v>1881</v>
      </c>
      <c r="E53" s="212"/>
      <c r="F53" s="212"/>
      <c r="G53" s="368" t="s">
        <v>1604</v>
      </c>
      <c r="H53" s="212" t="s">
        <v>1040</v>
      </c>
      <c r="I53" s="357">
        <v>2</v>
      </c>
      <c r="J53" s="212">
        <v>4.5</v>
      </c>
      <c r="K53" s="212">
        <v>0</v>
      </c>
      <c r="L53" s="212">
        <v>1</v>
      </c>
      <c r="M53" s="212">
        <f t="shared" si="5"/>
        <v>7.5</v>
      </c>
      <c r="N53" s="212">
        <f t="shared" si="6"/>
        <v>16</v>
      </c>
      <c r="O53" s="212">
        <f t="shared" si="7"/>
        <v>18</v>
      </c>
      <c r="P53" s="212">
        <f t="shared" si="8"/>
        <v>0</v>
      </c>
      <c r="Q53" s="212">
        <f t="shared" si="9"/>
        <v>8</v>
      </c>
      <c r="R53" s="212">
        <f t="shared" si="10"/>
        <v>42</v>
      </c>
      <c r="S53" s="213" t="s">
        <v>937</v>
      </c>
      <c r="T53" s="214" t="s">
        <v>938</v>
      </c>
      <c r="U53" s="213">
        <v>166</v>
      </c>
      <c r="V53" s="213">
        <v>170</v>
      </c>
      <c r="W53" s="213">
        <v>170</v>
      </c>
      <c r="X53" s="215">
        <v>43875</v>
      </c>
      <c r="Y53" s="216">
        <v>43905</v>
      </c>
      <c r="Z53" s="205">
        <v>44006</v>
      </c>
      <c r="AA53" s="273">
        <f t="shared" si="3"/>
        <v>2020</v>
      </c>
      <c r="AB53" s="273">
        <f t="shared" si="4"/>
        <v>6</v>
      </c>
      <c r="AC53" s="217" t="s">
        <v>920</v>
      </c>
      <c r="AD53" s="217" t="s">
        <v>422</v>
      </c>
      <c r="AE53" s="217" t="s">
        <v>422</v>
      </c>
      <c r="AF53" s="217" t="s">
        <v>422</v>
      </c>
      <c r="AG53" s="217" t="s">
        <v>422</v>
      </c>
      <c r="AH53" s="217" t="s">
        <v>422</v>
      </c>
      <c r="AI53" s="217" t="s">
        <v>423</v>
      </c>
      <c r="AJ53" s="217" t="s">
        <v>423</v>
      </c>
      <c r="AK53" s="217" t="s">
        <v>423</v>
      </c>
      <c r="AL53" s="218" t="s">
        <v>254</v>
      </c>
      <c r="AM53" s="209"/>
      <c r="AN53" s="209"/>
    </row>
    <row r="54" spans="1:40" ht="15" customHeight="1" x14ac:dyDescent="0.3">
      <c r="A54" s="185">
        <v>83</v>
      </c>
      <c r="B54" s="212" t="s">
        <v>903</v>
      </c>
      <c r="C54" s="212" t="s">
        <v>1615</v>
      </c>
      <c r="D54" s="201" t="s">
        <v>1881</v>
      </c>
      <c r="E54" s="212"/>
      <c r="F54" s="212"/>
      <c r="G54" s="368" t="s">
        <v>1604</v>
      </c>
      <c r="H54" s="212" t="s">
        <v>1010</v>
      </c>
      <c r="I54" s="357">
        <v>2</v>
      </c>
      <c r="J54" s="212">
        <v>10.5</v>
      </c>
      <c r="K54" s="212">
        <v>0</v>
      </c>
      <c r="L54" s="212">
        <v>1.5</v>
      </c>
      <c r="M54" s="212">
        <f t="shared" si="5"/>
        <v>14</v>
      </c>
      <c r="N54" s="212">
        <f t="shared" si="6"/>
        <v>16</v>
      </c>
      <c r="O54" s="212">
        <f t="shared" si="7"/>
        <v>42</v>
      </c>
      <c r="P54" s="212">
        <f t="shared" si="8"/>
        <v>0</v>
      </c>
      <c r="Q54" s="212">
        <f t="shared" si="9"/>
        <v>12</v>
      </c>
      <c r="R54" s="212">
        <f t="shared" si="10"/>
        <v>70</v>
      </c>
      <c r="S54" s="213" t="s">
        <v>949</v>
      </c>
      <c r="T54" s="214" t="s">
        <v>951</v>
      </c>
      <c r="U54" s="213">
        <v>124</v>
      </c>
      <c r="V54" s="213">
        <v>127</v>
      </c>
      <c r="W54" s="213">
        <v>127</v>
      </c>
      <c r="X54" s="215">
        <v>43875</v>
      </c>
      <c r="Y54" s="216">
        <v>43905</v>
      </c>
      <c r="Z54" s="205">
        <v>44006</v>
      </c>
      <c r="AA54" s="273">
        <f t="shared" si="3"/>
        <v>2020</v>
      </c>
      <c r="AB54" s="273">
        <f t="shared" si="4"/>
        <v>6</v>
      </c>
      <c r="AC54" s="217" t="s">
        <v>920</v>
      </c>
      <c r="AD54" s="217" t="s">
        <v>422</v>
      </c>
      <c r="AE54" s="217" t="s">
        <v>422</v>
      </c>
      <c r="AF54" s="217" t="s">
        <v>422</v>
      </c>
      <c r="AG54" s="217" t="s">
        <v>422</v>
      </c>
      <c r="AH54" s="217" t="s">
        <v>422</v>
      </c>
      <c r="AI54" s="217" t="s">
        <v>423</v>
      </c>
      <c r="AJ54" s="217" t="s">
        <v>423</v>
      </c>
      <c r="AK54" s="217" t="s">
        <v>423</v>
      </c>
      <c r="AL54" s="218" t="s">
        <v>140</v>
      </c>
      <c r="AM54" s="209"/>
      <c r="AN54" s="209"/>
    </row>
    <row r="55" spans="1:40" ht="15" customHeight="1" x14ac:dyDescent="0.3">
      <c r="A55" s="185">
        <v>84</v>
      </c>
      <c r="B55" s="212" t="s">
        <v>904</v>
      </c>
      <c r="C55" s="212" t="s">
        <v>1615</v>
      </c>
      <c r="D55" s="201" t="s">
        <v>1881</v>
      </c>
      <c r="E55" s="212"/>
      <c r="F55" s="212"/>
      <c r="G55" s="368" t="s">
        <v>1604</v>
      </c>
      <c r="H55" s="212"/>
      <c r="I55" s="357">
        <v>2</v>
      </c>
      <c r="J55" s="358">
        <v>6.5</v>
      </c>
      <c r="K55" s="212">
        <v>0</v>
      </c>
      <c r="L55" s="212">
        <v>1</v>
      </c>
      <c r="M55" s="212">
        <f t="shared" si="5"/>
        <v>9.5</v>
      </c>
      <c r="N55" s="212">
        <f t="shared" si="6"/>
        <v>16</v>
      </c>
      <c r="O55" s="212">
        <f t="shared" si="7"/>
        <v>26</v>
      </c>
      <c r="P55" s="212">
        <f t="shared" si="8"/>
        <v>0</v>
      </c>
      <c r="Q55" s="212">
        <f t="shared" si="9"/>
        <v>8</v>
      </c>
      <c r="R55" s="212">
        <f t="shared" si="10"/>
        <v>50</v>
      </c>
      <c r="S55" s="213" t="s">
        <v>952</v>
      </c>
      <c r="T55" s="214" t="s">
        <v>953</v>
      </c>
      <c r="U55" s="213">
        <v>47</v>
      </c>
      <c r="V55" s="213">
        <v>48</v>
      </c>
      <c r="W55" s="213">
        <v>48</v>
      </c>
      <c r="X55" s="215">
        <v>43875</v>
      </c>
      <c r="Y55" s="216">
        <v>43905</v>
      </c>
      <c r="Z55" s="205">
        <v>44006</v>
      </c>
      <c r="AA55" s="273">
        <f t="shared" si="3"/>
        <v>2020</v>
      </c>
      <c r="AB55" s="273">
        <f t="shared" si="4"/>
        <v>6</v>
      </c>
      <c r="AC55" s="217" t="s">
        <v>920</v>
      </c>
      <c r="AD55" s="217" t="s">
        <v>422</v>
      </c>
      <c r="AE55" s="217" t="s">
        <v>422</v>
      </c>
      <c r="AF55" s="217" t="s">
        <v>422</v>
      </c>
      <c r="AG55" s="217" t="s">
        <v>422</v>
      </c>
      <c r="AH55" s="217" t="s">
        <v>422</v>
      </c>
      <c r="AI55" s="217" t="s">
        <v>423</v>
      </c>
      <c r="AJ55" s="217" t="s">
        <v>423</v>
      </c>
      <c r="AK55" s="217" t="s">
        <v>423</v>
      </c>
      <c r="AL55" s="218" t="s">
        <v>140</v>
      </c>
      <c r="AM55" s="209"/>
      <c r="AN55" s="209"/>
    </row>
    <row r="56" spans="1:40" ht="15" customHeight="1" x14ac:dyDescent="0.3">
      <c r="A56" s="185">
        <v>85</v>
      </c>
      <c r="B56" s="212" t="s">
        <v>905</v>
      </c>
      <c r="C56" s="212" t="s">
        <v>1615</v>
      </c>
      <c r="D56" s="201" t="s">
        <v>1881</v>
      </c>
      <c r="E56" s="212"/>
      <c r="F56" s="212"/>
      <c r="G56" s="368" t="s">
        <v>1604</v>
      </c>
      <c r="H56" s="212" t="s">
        <v>1010</v>
      </c>
      <c r="I56" s="357">
        <v>2</v>
      </c>
      <c r="J56" s="212">
        <v>10.5</v>
      </c>
      <c r="K56" s="212">
        <v>0</v>
      </c>
      <c r="L56" s="212">
        <v>1.5</v>
      </c>
      <c r="M56" s="212">
        <f t="shared" si="5"/>
        <v>14</v>
      </c>
      <c r="N56" s="212">
        <f t="shared" si="6"/>
        <v>16</v>
      </c>
      <c r="O56" s="212">
        <f t="shared" si="7"/>
        <v>42</v>
      </c>
      <c r="P56" s="212">
        <f t="shared" si="8"/>
        <v>0</v>
      </c>
      <c r="Q56" s="212">
        <f t="shared" si="9"/>
        <v>12</v>
      </c>
      <c r="R56" s="212">
        <f t="shared" si="10"/>
        <v>70</v>
      </c>
      <c r="S56" s="213" t="s">
        <v>950</v>
      </c>
      <c r="T56" s="214" t="s">
        <v>951</v>
      </c>
      <c r="U56" s="213">
        <v>64</v>
      </c>
      <c r="V56" s="213">
        <v>66</v>
      </c>
      <c r="W56" s="213">
        <v>66</v>
      </c>
      <c r="X56" s="215">
        <v>43875</v>
      </c>
      <c r="Y56" s="216">
        <v>43905</v>
      </c>
      <c r="Z56" s="205">
        <v>44006</v>
      </c>
      <c r="AA56" s="273">
        <f t="shared" si="3"/>
        <v>2020</v>
      </c>
      <c r="AB56" s="273">
        <f t="shared" si="4"/>
        <v>6</v>
      </c>
      <c r="AC56" s="217" t="s">
        <v>920</v>
      </c>
      <c r="AD56" s="217" t="s">
        <v>422</v>
      </c>
      <c r="AE56" s="217" t="s">
        <v>422</v>
      </c>
      <c r="AF56" s="217" t="s">
        <v>422</v>
      </c>
      <c r="AG56" s="217" t="s">
        <v>422</v>
      </c>
      <c r="AH56" s="217" t="s">
        <v>422</v>
      </c>
      <c r="AI56" s="217" t="s">
        <v>423</v>
      </c>
      <c r="AJ56" s="217" t="s">
        <v>423</v>
      </c>
      <c r="AK56" s="217" t="s">
        <v>423</v>
      </c>
      <c r="AL56" s="218" t="s">
        <v>140</v>
      </c>
      <c r="AM56" s="209"/>
      <c r="AN56" s="209"/>
    </row>
    <row r="57" spans="1:40" ht="15" customHeight="1" x14ac:dyDescent="0.3">
      <c r="A57" s="185">
        <v>86</v>
      </c>
      <c r="B57" s="212" t="s">
        <v>906</v>
      </c>
      <c r="C57" s="212" t="s">
        <v>1615</v>
      </c>
      <c r="D57" s="201" t="s">
        <v>1881</v>
      </c>
      <c r="E57" s="212"/>
      <c r="F57" s="212"/>
      <c r="G57" s="368" t="s">
        <v>1604</v>
      </c>
      <c r="H57" s="212" t="s">
        <v>1010</v>
      </c>
      <c r="I57" s="357">
        <v>2</v>
      </c>
      <c r="J57" s="212">
        <v>7.8</v>
      </c>
      <c r="K57" s="212">
        <v>0</v>
      </c>
      <c r="L57" s="212">
        <v>1</v>
      </c>
      <c r="M57" s="212">
        <f t="shared" si="5"/>
        <v>10.8</v>
      </c>
      <c r="N57" s="212">
        <f t="shared" si="6"/>
        <v>16</v>
      </c>
      <c r="O57" s="212">
        <f t="shared" si="7"/>
        <v>31.2</v>
      </c>
      <c r="P57" s="212">
        <f t="shared" si="8"/>
        <v>0</v>
      </c>
      <c r="Q57" s="212">
        <f t="shared" si="9"/>
        <v>8</v>
      </c>
      <c r="R57" s="212">
        <f t="shared" si="10"/>
        <v>55.2</v>
      </c>
      <c r="S57" s="213" t="s">
        <v>954</v>
      </c>
      <c r="T57" s="214" t="s">
        <v>955</v>
      </c>
      <c r="U57" s="213">
        <v>70</v>
      </c>
      <c r="V57" s="213">
        <v>72</v>
      </c>
      <c r="W57" s="213">
        <v>72</v>
      </c>
      <c r="X57" s="215">
        <v>43875</v>
      </c>
      <c r="Y57" s="216">
        <v>43905</v>
      </c>
      <c r="Z57" s="205">
        <v>44006</v>
      </c>
      <c r="AA57" s="273">
        <f t="shared" si="3"/>
        <v>2020</v>
      </c>
      <c r="AB57" s="273">
        <f t="shared" si="4"/>
        <v>6</v>
      </c>
      <c r="AC57" s="217" t="s">
        <v>920</v>
      </c>
      <c r="AD57" s="217" t="s">
        <v>422</v>
      </c>
      <c r="AE57" s="217" t="s">
        <v>422</v>
      </c>
      <c r="AF57" s="217" t="s">
        <v>422</v>
      </c>
      <c r="AG57" s="217" t="s">
        <v>422</v>
      </c>
      <c r="AH57" s="217" t="s">
        <v>422</v>
      </c>
      <c r="AI57" s="217" t="s">
        <v>423</v>
      </c>
      <c r="AJ57" s="217" t="s">
        <v>423</v>
      </c>
      <c r="AK57" s="217" t="s">
        <v>423</v>
      </c>
      <c r="AL57" s="218" t="s">
        <v>140</v>
      </c>
      <c r="AM57" s="209"/>
      <c r="AN57" s="209"/>
    </row>
    <row r="58" spans="1:40" ht="15" customHeight="1" x14ac:dyDescent="0.3">
      <c r="A58" s="185">
        <v>95</v>
      </c>
      <c r="B58" s="212" t="s">
        <v>915</v>
      </c>
      <c r="C58" s="212" t="s">
        <v>1618</v>
      </c>
      <c r="D58" s="201" t="s">
        <v>1881</v>
      </c>
      <c r="E58" s="212"/>
      <c r="F58" s="212"/>
      <c r="G58" s="368" t="s">
        <v>1604</v>
      </c>
      <c r="H58" s="212" t="s">
        <v>1944</v>
      </c>
      <c r="I58" s="357">
        <v>2</v>
      </c>
      <c r="J58" s="212">
        <v>8</v>
      </c>
      <c r="K58" s="212">
        <v>0</v>
      </c>
      <c r="L58" s="212">
        <v>1</v>
      </c>
      <c r="M58" s="212">
        <f t="shared" si="5"/>
        <v>11</v>
      </c>
      <c r="N58" s="212">
        <f t="shared" si="6"/>
        <v>16</v>
      </c>
      <c r="O58" s="212">
        <f t="shared" si="7"/>
        <v>32</v>
      </c>
      <c r="P58" s="212">
        <f t="shared" si="8"/>
        <v>0</v>
      </c>
      <c r="Q58" s="212">
        <f t="shared" si="9"/>
        <v>8</v>
      </c>
      <c r="R58" s="212">
        <f t="shared" si="10"/>
        <v>56</v>
      </c>
      <c r="S58" s="213" t="s">
        <v>919</v>
      </c>
      <c r="T58" s="214" t="s">
        <v>916</v>
      </c>
      <c r="U58" s="213">
        <v>60</v>
      </c>
      <c r="V58" s="213">
        <v>62</v>
      </c>
      <c r="W58" s="213">
        <v>62</v>
      </c>
      <c r="X58" s="215">
        <v>43875</v>
      </c>
      <c r="Y58" s="216">
        <v>43905</v>
      </c>
      <c r="Z58" s="205">
        <v>43997</v>
      </c>
      <c r="AA58" s="273">
        <f t="shared" si="3"/>
        <v>2020</v>
      </c>
      <c r="AB58" s="273">
        <f t="shared" si="4"/>
        <v>6</v>
      </c>
      <c r="AC58" s="217" t="s">
        <v>920</v>
      </c>
      <c r="AD58" s="217" t="s">
        <v>422</v>
      </c>
      <c r="AE58" s="217" t="s">
        <v>422</v>
      </c>
      <c r="AF58" s="217" t="s">
        <v>422</v>
      </c>
      <c r="AG58" s="217" t="s">
        <v>422</v>
      </c>
      <c r="AH58" s="217" t="s">
        <v>422</v>
      </c>
      <c r="AI58" s="217" t="s">
        <v>423</v>
      </c>
      <c r="AJ58" s="217" t="s">
        <v>423</v>
      </c>
      <c r="AK58" s="217" t="s">
        <v>423</v>
      </c>
      <c r="AL58" s="218" t="s">
        <v>138</v>
      </c>
      <c r="AM58" s="209"/>
      <c r="AN58" s="209"/>
    </row>
    <row r="59" spans="1:40" ht="15" customHeight="1" x14ac:dyDescent="0.3">
      <c r="A59" s="185">
        <v>96</v>
      </c>
      <c r="B59" s="212" t="s">
        <v>929</v>
      </c>
      <c r="C59" s="212" t="s">
        <v>1615</v>
      </c>
      <c r="D59" s="201" t="s">
        <v>1881</v>
      </c>
      <c r="E59" s="212"/>
      <c r="F59" s="212" t="s">
        <v>1597</v>
      </c>
      <c r="G59" s="368" t="s">
        <v>1604</v>
      </c>
      <c r="H59" s="212"/>
      <c r="I59" s="212">
        <v>2</v>
      </c>
      <c r="J59" s="357">
        <v>12</v>
      </c>
      <c r="K59" s="212">
        <v>0</v>
      </c>
      <c r="L59" s="212">
        <v>1.5</v>
      </c>
      <c r="M59" s="212">
        <f t="shared" si="5"/>
        <v>15.5</v>
      </c>
      <c r="N59" s="212">
        <f t="shared" si="6"/>
        <v>16</v>
      </c>
      <c r="O59" s="212">
        <f t="shared" si="7"/>
        <v>48</v>
      </c>
      <c r="P59" s="212">
        <f t="shared" si="8"/>
        <v>0</v>
      </c>
      <c r="Q59" s="212">
        <f t="shared" si="9"/>
        <v>12</v>
      </c>
      <c r="R59" s="212">
        <f t="shared" si="10"/>
        <v>76</v>
      </c>
      <c r="S59" s="213" t="s">
        <v>934</v>
      </c>
      <c r="T59" s="214" t="s">
        <v>932</v>
      </c>
      <c r="U59" s="213">
        <v>114</v>
      </c>
      <c r="V59" s="213">
        <v>116</v>
      </c>
      <c r="W59" s="213">
        <v>116</v>
      </c>
      <c r="X59" s="215">
        <v>43875</v>
      </c>
      <c r="Y59" s="216">
        <v>43936</v>
      </c>
      <c r="Z59" s="205">
        <v>44006</v>
      </c>
      <c r="AA59" s="273">
        <f t="shared" si="3"/>
        <v>2020</v>
      </c>
      <c r="AB59" s="273">
        <f t="shared" si="4"/>
        <v>6</v>
      </c>
      <c r="AC59" s="217" t="s">
        <v>920</v>
      </c>
      <c r="AD59" s="217" t="s">
        <v>422</v>
      </c>
      <c r="AE59" s="217" t="s">
        <v>422</v>
      </c>
      <c r="AF59" s="217" t="s">
        <v>422</v>
      </c>
      <c r="AG59" s="217" t="s">
        <v>422</v>
      </c>
      <c r="AH59" s="217" t="s">
        <v>422</v>
      </c>
      <c r="AI59" s="217" t="s">
        <v>423</v>
      </c>
      <c r="AJ59" s="217" t="s">
        <v>422</v>
      </c>
      <c r="AK59" s="217" t="s">
        <v>423</v>
      </c>
      <c r="AL59" s="218" t="s">
        <v>108</v>
      </c>
      <c r="AM59" s="209"/>
      <c r="AN59" s="209"/>
    </row>
    <row r="60" spans="1:40" ht="15" customHeight="1" x14ac:dyDescent="0.3">
      <c r="A60" s="185">
        <v>114</v>
      </c>
      <c r="B60" s="212" t="s">
        <v>1019</v>
      </c>
      <c r="C60" s="212" t="s">
        <v>108</v>
      </c>
      <c r="D60" s="201" t="s">
        <v>1849</v>
      </c>
      <c r="E60" s="212"/>
      <c r="F60" s="212"/>
      <c r="G60" s="368" t="s">
        <v>1604</v>
      </c>
      <c r="H60" s="212"/>
      <c r="I60" s="212">
        <v>0.5</v>
      </c>
      <c r="J60" s="212">
        <v>2</v>
      </c>
      <c r="K60" s="212">
        <v>0</v>
      </c>
      <c r="L60" s="212">
        <v>1</v>
      </c>
      <c r="M60" s="212">
        <f t="shared" si="5"/>
        <v>3.5</v>
      </c>
      <c r="N60" s="212">
        <f t="shared" si="6"/>
        <v>4</v>
      </c>
      <c r="O60" s="212">
        <f t="shared" si="7"/>
        <v>8</v>
      </c>
      <c r="P60" s="212">
        <f t="shared" si="8"/>
        <v>0</v>
      </c>
      <c r="Q60" s="212">
        <f t="shared" si="9"/>
        <v>8</v>
      </c>
      <c r="R60" s="212">
        <f t="shared" si="10"/>
        <v>20</v>
      </c>
      <c r="S60" s="229" t="s">
        <v>1020</v>
      </c>
      <c r="T60" s="214" t="s">
        <v>1021</v>
      </c>
      <c r="U60" s="213">
        <f>2016+1008</f>
        <v>3024</v>
      </c>
      <c r="V60" s="213">
        <v>3024</v>
      </c>
      <c r="W60" s="213">
        <v>3024</v>
      </c>
      <c r="X60" s="215">
        <v>43979</v>
      </c>
      <c r="Y60" s="216">
        <v>44027</v>
      </c>
      <c r="Z60" s="205">
        <v>44012</v>
      </c>
      <c r="AA60" s="273">
        <f t="shared" si="3"/>
        <v>2020</v>
      </c>
      <c r="AB60" s="273">
        <f t="shared" si="4"/>
        <v>6</v>
      </c>
      <c r="AC60" s="217" t="s">
        <v>920</v>
      </c>
      <c r="AD60" s="217" t="s">
        <v>422</v>
      </c>
      <c r="AE60" s="217" t="s">
        <v>422</v>
      </c>
      <c r="AF60" s="217" t="s">
        <v>422</v>
      </c>
      <c r="AG60" s="217" t="s">
        <v>422</v>
      </c>
      <c r="AH60" s="217" t="s">
        <v>422</v>
      </c>
      <c r="AI60" s="217" t="s">
        <v>422</v>
      </c>
      <c r="AJ60" s="217" t="s">
        <v>423</v>
      </c>
      <c r="AK60" s="217" t="s">
        <v>423</v>
      </c>
      <c r="AL60" s="218" t="s">
        <v>1045</v>
      </c>
      <c r="AM60" s="218"/>
      <c r="AN60" s="218" t="s">
        <v>1194</v>
      </c>
    </row>
    <row r="61" spans="1:40" ht="15" customHeight="1" x14ac:dyDescent="0.3">
      <c r="A61" s="185">
        <v>43</v>
      </c>
      <c r="B61" s="212" t="s">
        <v>999</v>
      </c>
      <c r="C61" s="247" t="s">
        <v>1615</v>
      </c>
      <c r="D61" s="199" t="s">
        <v>1881</v>
      </c>
      <c r="E61" s="212"/>
      <c r="F61" s="212"/>
      <c r="G61" s="368" t="s">
        <v>1604</v>
      </c>
      <c r="H61" s="212" t="s">
        <v>1010</v>
      </c>
      <c r="I61" s="357">
        <v>2</v>
      </c>
      <c r="J61" s="212">
        <v>15</v>
      </c>
      <c r="K61" s="212">
        <v>0</v>
      </c>
      <c r="L61" s="212">
        <v>1</v>
      </c>
      <c r="M61" s="212">
        <f t="shared" si="5"/>
        <v>18</v>
      </c>
      <c r="N61" s="212">
        <f t="shared" si="6"/>
        <v>16</v>
      </c>
      <c r="O61" s="212">
        <f t="shared" si="7"/>
        <v>60</v>
      </c>
      <c r="P61" s="212">
        <f t="shared" si="8"/>
        <v>0</v>
      </c>
      <c r="Q61" s="212">
        <f t="shared" si="9"/>
        <v>8</v>
      </c>
      <c r="R61" s="212">
        <f t="shared" si="10"/>
        <v>84</v>
      </c>
      <c r="S61" s="202" t="s">
        <v>1003</v>
      </c>
      <c r="T61" s="203" t="s">
        <v>1004</v>
      </c>
      <c r="U61" s="202">
        <v>100</v>
      </c>
      <c r="V61" s="202">
        <v>102</v>
      </c>
      <c r="W61" s="202">
        <v>102</v>
      </c>
      <c r="X61" s="367">
        <v>43781</v>
      </c>
      <c r="Y61" s="205">
        <v>43905</v>
      </c>
      <c r="Z61" s="205">
        <v>44035</v>
      </c>
      <c r="AA61" s="273">
        <f t="shared" si="3"/>
        <v>2020</v>
      </c>
      <c r="AB61" s="273">
        <f t="shared" si="4"/>
        <v>7</v>
      </c>
      <c r="AC61" s="211" t="s">
        <v>920</v>
      </c>
      <c r="AD61" s="217" t="s">
        <v>422</v>
      </c>
      <c r="AE61" s="217" t="s">
        <v>422</v>
      </c>
      <c r="AF61" s="217" t="s">
        <v>422</v>
      </c>
      <c r="AG61" s="217" t="s">
        <v>422</v>
      </c>
      <c r="AH61" s="217" t="s">
        <v>423</v>
      </c>
      <c r="AI61" s="217" t="s">
        <v>423</v>
      </c>
      <c r="AJ61" s="217" t="s">
        <v>423</v>
      </c>
      <c r="AK61" s="217" t="s">
        <v>423</v>
      </c>
      <c r="AL61" s="222" t="s">
        <v>140</v>
      </c>
      <c r="AM61" s="209"/>
      <c r="AN61" s="209"/>
    </row>
    <row r="62" spans="1:40" x14ac:dyDescent="0.3">
      <c r="A62" s="185">
        <v>68</v>
      </c>
      <c r="B62" s="212" t="s">
        <v>838</v>
      </c>
      <c r="C62" s="212" t="s">
        <v>1618</v>
      </c>
      <c r="D62" s="201" t="s">
        <v>1848</v>
      </c>
      <c r="E62" s="212"/>
      <c r="F62" s="212"/>
      <c r="G62" s="212" t="s">
        <v>1939</v>
      </c>
      <c r="H62" s="212" t="s">
        <v>1040</v>
      </c>
      <c r="I62" s="357">
        <v>2</v>
      </c>
      <c r="J62" s="212">
        <v>9</v>
      </c>
      <c r="K62" s="212">
        <v>9.5</v>
      </c>
      <c r="L62" s="212">
        <v>1</v>
      </c>
      <c r="M62" s="212">
        <f t="shared" si="5"/>
        <v>21.5</v>
      </c>
      <c r="N62" s="212">
        <f t="shared" si="6"/>
        <v>16</v>
      </c>
      <c r="O62" s="212">
        <f t="shared" si="7"/>
        <v>36</v>
      </c>
      <c r="P62" s="212">
        <f t="shared" si="8"/>
        <v>63.333333333333336</v>
      </c>
      <c r="Q62" s="212">
        <f t="shared" si="9"/>
        <v>8</v>
      </c>
      <c r="R62" s="212">
        <f t="shared" si="10"/>
        <v>123.33333333333334</v>
      </c>
      <c r="S62" s="202" t="s">
        <v>878</v>
      </c>
      <c r="T62" s="211" t="s">
        <v>877</v>
      </c>
      <c r="U62" s="202">
        <v>30</v>
      </c>
      <c r="V62" s="202">
        <v>31</v>
      </c>
      <c r="W62" s="202">
        <v>31</v>
      </c>
      <c r="X62" s="367">
        <v>43868</v>
      </c>
      <c r="Y62" s="205">
        <v>43905</v>
      </c>
      <c r="Z62" s="205">
        <v>44043</v>
      </c>
      <c r="AA62" s="273">
        <f t="shared" si="3"/>
        <v>2020</v>
      </c>
      <c r="AB62" s="273">
        <f t="shared" si="4"/>
        <v>7</v>
      </c>
      <c r="AC62" s="211" t="s">
        <v>920</v>
      </c>
      <c r="AD62" s="217" t="s">
        <v>422</v>
      </c>
      <c r="AE62" s="217" t="s">
        <v>422</v>
      </c>
      <c r="AF62" s="217" t="s">
        <v>422</v>
      </c>
      <c r="AG62" s="217" t="s">
        <v>422</v>
      </c>
      <c r="AH62" s="217" t="s">
        <v>422</v>
      </c>
      <c r="AI62" s="217" t="s">
        <v>422</v>
      </c>
      <c r="AJ62" s="217" t="s">
        <v>423</v>
      </c>
      <c r="AK62" s="217" t="s">
        <v>423</v>
      </c>
      <c r="AL62" s="222" t="s">
        <v>1040</v>
      </c>
      <c r="AM62" s="209"/>
      <c r="AN62" s="209"/>
    </row>
    <row r="63" spans="1:40" x14ac:dyDescent="0.3">
      <c r="A63" s="185">
        <v>69</v>
      </c>
      <c r="B63" s="212" t="s">
        <v>839</v>
      </c>
      <c r="C63" s="212" t="s">
        <v>1618</v>
      </c>
      <c r="D63" s="201" t="s">
        <v>1848</v>
      </c>
      <c r="E63" s="212"/>
      <c r="F63" s="212"/>
      <c r="G63" s="212" t="s">
        <v>1939</v>
      </c>
      <c r="H63" s="212" t="s">
        <v>1040</v>
      </c>
      <c r="I63" s="357">
        <v>2</v>
      </c>
      <c r="J63" s="212">
        <v>9</v>
      </c>
      <c r="K63" s="212">
        <v>9</v>
      </c>
      <c r="L63" s="212">
        <v>1</v>
      </c>
      <c r="M63" s="212">
        <f t="shared" si="5"/>
        <v>21</v>
      </c>
      <c r="N63" s="212">
        <f t="shared" si="6"/>
        <v>16</v>
      </c>
      <c r="O63" s="212">
        <f t="shared" si="7"/>
        <v>36</v>
      </c>
      <c r="P63" s="212">
        <f t="shared" si="8"/>
        <v>60</v>
      </c>
      <c r="Q63" s="212">
        <f t="shared" si="9"/>
        <v>8</v>
      </c>
      <c r="R63" s="212">
        <f t="shared" si="10"/>
        <v>120</v>
      </c>
      <c r="S63" s="202" t="s">
        <v>878</v>
      </c>
      <c r="T63" s="211" t="s">
        <v>876</v>
      </c>
      <c r="U63" s="202">
        <v>30</v>
      </c>
      <c r="V63" s="202">
        <v>31</v>
      </c>
      <c r="W63" s="202">
        <v>31</v>
      </c>
      <c r="X63" s="367">
        <v>43868</v>
      </c>
      <c r="Y63" s="205">
        <v>43905</v>
      </c>
      <c r="Z63" s="205">
        <v>44043</v>
      </c>
      <c r="AA63" s="273">
        <f t="shared" si="3"/>
        <v>2020</v>
      </c>
      <c r="AB63" s="273">
        <f t="shared" si="4"/>
        <v>7</v>
      </c>
      <c r="AC63" s="211" t="s">
        <v>920</v>
      </c>
      <c r="AD63" s="217" t="s">
        <v>422</v>
      </c>
      <c r="AE63" s="217" t="s">
        <v>422</v>
      </c>
      <c r="AF63" s="217" t="s">
        <v>422</v>
      </c>
      <c r="AG63" s="217" t="s">
        <v>422</v>
      </c>
      <c r="AH63" s="217" t="s">
        <v>422</v>
      </c>
      <c r="AI63" s="217" t="s">
        <v>422</v>
      </c>
      <c r="AJ63" s="217" t="s">
        <v>423</v>
      </c>
      <c r="AK63" s="217" t="s">
        <v>423</v>
      </c>
      <c r="AL63" s="222" t="s">
        <v>1040</v>
      </c>
      <c r="AM63" s="209"/>
      <c r="AN63" s="209"/>
    </row>
    <row r="64" spans="1:40" x14ac:dyDescent="0.3">
      <c r="A64" s="185">
        <v>70</v>
      </c>
      <c r="B64" s="212" t="s">
        <v>840</v>
      </c>
      <c r="C64" s="212" t="s">
        <v>1618</v>
      </c>
      <c r="D64" s="201" t="s">
        <v>1848</v>
      </c>
      <c r="E64" s="212"/>
      <c r="F64" s="212"/>
      <c r="G64" s="212" t="s">
        <v>1939</v>
      </c>
      <c r="H64" s="212" t="s">
        <v>1040</v>
      </c>
      <c r="I64" s="357">
        <v>2</v>
      </c>
      <c r="J64" s="212">
        <v>4.7</v>
      </c>
      <c r="K64" s="212">
        <v>11</v>
      </c>
      <c r="L64" s="212">
        <v>1</v>
      </c>
      <c r="M64" s="212">
        <f t="shared" si="5"/>
        <v>18.7</v>
      </c>
      <c r="N64" s="212">
        <f t="shared" si="6"/>
        <v>16</v>
      </c>
      <c r="O64" s="212">
        <f t="shared" si="7"/>
        <v>18.8</v>
      </c>
      <c r="P64" s="212">
        <f t="shared" si="8"/>
        <v>73.333333333333343</v>
      </c>
      <c r="Q64" s="212">
        <f t="shared" si="9"/>
        <v>8</v>
      </c>
      <c r="R64" s="212">
        <f t="shared" si="10"/>
        <v>116.13333333333334</v>
      </c>
      <c r="S64" s="202" t="s">
        <v>879</v>
      </c>
      <c r="T64" s="211" t="s">
        <v>890</v>
      </c>
      <c r="U64" s="202">
        <v>20</v>
      </c>
      <c r="V64" s="202">
        <v>21</v>
      </c>
      <c r="W64" s="202">
        <v>21</v>
      </c>
      <c r="X64" s="367">
        <v>43868</v>
      </c>
      <c r="Y64" s="205">
        <v>43905</v>
      </c>
      <c r="Z64" s="205">
        <v>44043</v>
      </c>
      <c r="AA64" s="273">
        <f t="shared" si="3"/>
        <v>2020</v>
      </c>
      <c r="AB64" s="273">
        <f t="shared" si="4"/>
        <v>7</v>
      </c>
      <c r="AC64" s="211" t="s">
        <v>920</v>
      </c>
      <c r="AD64" s="217" t="s">
        <v>422</v>
      </c>
      <c r="AE64" s="217" t="s">
        <v>422</v>
      </c>
      <c r="AF64" s="217" t="s">
        <v>422</v>
      </c>
      <c r="AG64" s="217" t="s">
        <v>422</v>
      </c>
      <c r="AH64" s="217" t="s">
        <v>422</v>
      </c>
      <c r="AI64" s="217" t="s">
        <v>422</v>
      </c>
      <c r="AJ64" s="217" t="s">
        <v>423</v>
      </c>
      <c r="AK64" s="217" t="s">
        <v>423</v>
      </c>
      <c r="AL64" s="222" t="s">
        <v>1040</v>
      </c>
      <c r="AM64" s="209"/>
      <c r="AN64" s="209"/>
    </row>
    <row r="65" spans="1:40" x14ac:dyDescent="0.3">
      <c r="A65" s="185">
        <v>71</v>
      </c>
      <c r="B65" s="212" t="s">
        <v>841</v>
      </c>
      <c r="C65" s="212" t="s">
        <v>1618</v>
      </c>
      <c r="D65" s="201" t="s">
        <v>1848</v>
      </c>
      <c r="E65" s="212"/>
      <c r="F65" s="212"/>
      <c r="G65" s="212" t="s">
        <v>1953</v>
      </c>
      <c r="H65" s="212" t="s">
        <v>1040</v>
      </c>
      <c r="I65" s="357">
        <v>2</v>
      </c>
      <c r="J65" s="212">
        <v>4.7</v>
      </c>
      <c r="K65" s="357">
        <v>11</v>
      </c>
      <c r="L65" s="212">
        <v>1</v>
      </c>
      <c r="M65" s="212">
        <f t="shared" si="5"/>
        <v>18.7</v>
      </c>
      <c r="N65" s="212">
        <f t="shared" si="6"/>
        <v>16</v>
      </c>
      <c r="O65" s="212">
        <f t="shared" si="7"/>
        <v>18.8</v>
      </c>
      <c r="P65" s="212">
        <f t="shared" si="8"/>
        <v>73.333333333333343</v>
      </c>
      <c r="Q65" s="212">
        <f t="shared" si="9"/>
        <v>8</v>
      </c>
      <c r="R65" s="212">
        <f t="shared" si="10"/>
        <v>116.13333333333334</v>
      </c>
      <c r="S65" s="202" t="s">
        <v>879</v>
      </c>
      <c r="T65" s="211" t="s">
        <v>891</v>
      </c>
      <c r="U65" s="202">
        <v>20</v>
      </c>
      <c r="V65" s="202">
        <v>21</v>
      </c>
      <c r="W65" s="202">
        <v>21</v>
      </c>
      <c r="X65" s="367">
        <v>43868</v>
      </c>
      <c r="Y65" s="205">
        <v>43905</v>
      </c>
      <c r="Z65" s="205">
        <v>44043</v>
      </c>
      <c r="AA65" s="273">
        <f t="shared" si="3"/>
        <v>2020</v>
      </c>
      <c r="AB65" s="273">
        <f t="shared" si="4"/>
        <v>7</v>
      </c>
      <c r="AC65" s="211" t="s">
        <v>920</v>
      </c>
      <c r="AD65" s="217" t="s">
        <v>422</v>
      </c>
      <c r="AE65" s="217" t="s">
        <v>422</v>
      </c>
      <c r="AF65" s="217" t="s">
        <v>422</v>
      </c>
      <c r="AG65" s="217" t="s">
        <v>422</v>
      </c>
      <c r="AH65" s="217" t="s">
        <v>422</v>
      </c>
      <c r="AI65" s="217" t="s">
        <v>422</v>
      </c>
      <c r="AJ65" s="217" t="s">
        <v>423</v>
      </c>
      <c r="AK65" s="217" t="s">
        <v>423</v>
      </c>
      <c r="AL65" s="222" t="s">
        <v>1040</v>
      </c>
      <c r="AM65" s="209"/>
      <c r="AN65" s="209"/>
    </row>
    <row r="66" spans="1:40" x14ac:dyDescent="0.3">
      <c r="A66" s="185">
        <v>72</v>
      </c>
      <c r="B66" s="212" t="s">
        <v>842</v>
      </c>
      <c r="C66" s="212" t="s">
        <v>1618</v>
      </c>
      <c r="D66" s="201" t="s">
        <v>1848</v>
      </c>
      <c r="E66" s="212"/>
      <c r="F66" s="212"/>
      <c r="G66" s="212" t="s">
        <v>1939</v>
      </c>
      <c r="H66" s="212" t="s">
        <v>1040</v>
      </c>
      <c r="I66" s="357">
        <v>2</v>
      </c>
      <c r="J66" s="212">
        <v>2.5</v>
      </c>
      <c r="K66" s="212">
        <v>6</v>
      </c>
      <c r="L66" s="212">
        <v>0.5</v>
      </c>
      <c r="M66" s="212">
        <f t="shared" si="5"/>
        <v>11</v>
      </c>
      <c r="N66" s="212">
        <f t="shared" si="6"/>
        <v>16</v>
      </c>
      <c r="O66" s="212">
        <f t="shared" si="7"/>
        <v>10</v>
      </c>
      <c r="P66" s="212">
        <f t="shared" si="8"/>
        <v>40</v>
      </c>
      <c r="Q66" s="212">
        <f t="shared" si="9"/>
        <v>4</v>
      </c>
      <c r="R66" s="212">
        <f t="shared" si="10"/>
        <v>70</v>
      </c>
      <c r="S66" s="202" t="s">
        <v>880</v>
      </c>
      <c r="T66" s="211" t="s">
        <v>892</v>
      </c>
      <c r="U66" s="202">
        <v>20</v>
      </c>
      <c r="V66" s="202">
        <v>21</v>
      </c>
      <c r="W66" s="202">
        <v>21</v>
      </c>
      <c r="X66" s="367">
        <v>43868</v>
      </c>
      <c r="Y66" s="205">
        <v>43905</v>
      </c>
      <c r="Z66" s="205">
        <v>44043</v>
      </c>
      <c r="AA66" s="273">
        <f t="shared" si="3"/>
        <v>2020</v>
      </c>
      <c r="AB66" s="273">
        <f t="shared" si="4"/>
        <v>7</v>
      </c>
      <c r="AC66" s="211" t="s">
        <v>920</v>
      </c>
      <c r="AD66" s="217" t="s">
        <v>422</v>
      </c>
      <c r="AE66" s="217" t="s">
        <v>422</v>
      </c>
      <c r="AF66" s="217" t="s">
        <v>422</v>
      </c>
      <c r="AG66" s="217" t="s">
        <v>422</v>
      </c>
      <c r="AH66" s="217" t="s">
        <v>422</v>
      </c>
      <c r="AI66" s="217" t="s">
        <v>422</v>
      </c>
      <c r="AJ66" s="217" t="s">
        <v>423</v>
      </c>
      <c r="AK66" s="217" t="s">
        <v>423</v>
      </c>
      <c r="AL66" s="222" t="s">
        <v>1040</v>
      </c>
      <c r="AM66" s="209"/>
      <c r="AN66" s="209"/>
    </row>
    <row r="67" spans="1:40" x14ac:dyDescent="0.3">
      <c r="A67" s="185">
        <v>73</v>
      </c>
      <c r="B67" s="212" t="s">
        <v>843</v>
      </c>
      <c r="C67" s="212" t="s">
        <v>1618</v>
      </c>
      <c r="D67" s="201" t="s">
        <v>1848</v>
      </c>
      <c r="E67" s="212"/>
      <c r="F67" s="212"/>
      <c r="G67" s="212" t="s">
        <v>1953</v>
      </c>
      <c r="H67" s="212" t="s">
        <v>1040</v>
      </c>
      <c r="I67" s="357">
        <v>2</v>
      </c>
      <c r="J67" s="212">
        <v>2.5</v>
      </c>
      <c r="K67" s="357">
        <v>6</v>
      </c>
      <c r="L67" s="212">
        <v>0.5</v>
      </c>
      <c r="M67" s="212">
        <f t="shared" si="5"/>
        <v>11</v>
      </c>
      <c r="N67" s="212">
        <f t="shared" si="6"/>
        <v>16</v>
      </c>
      <c r="O67" s="212">
        <f t="shared" si="7"/>
        <v>10</v>
      </c>
      <c r="P67" s="212">
        <f t="shared" si="8"/>
        <v>40</v>
      </c>
      <c r="Q67" s="212">
        <f t="shared" si="9"/>
        <v>4</v>
      </c>
      <c r="R67" s="212">
        <f t="shared" si="10"/>
        <v>70</v>
      </c>
      <c r="S67" s="202" t="s">
        <v>880</v>
      </c>
      <c r="T67" s="211" t="s">
        <v>893</v>
      </c>
      <c r="U67" s="202">
        <v>20</v>
      </c>
      <c r="V67" s="202">
        <v>21</v>
      </c>
      <c r="W67" s="202">
        <v>21</v>
      </c>
      <c r="X67" s="367">
        <v>43868</v>
      </c>
      <c r="Y67" s="205">
        <v>43905</v>
      </c>
      <c r="Z67" s="205">
        <v>44043</v>
      </c>
      <c r="AA67" s="273">
        <f t="shared" si="3"/>
        <v>2020</v>
      </c>
      <c r="AB67" s="273">
        <f t="shared" si="4"/>
        <v>7</v>
      </c>
      <c r="AC67" s="211" t="s">
        <v>920</v>
      </c>
      <c r="AD67" s="217" t="s">
        <v>422</v>
      </c>
      <c r="AE67" s="217" t="s">
        <v>422</v>
      </c>
      <c r="AF67" s="217" t="s">
        <v>422</v>
      </c>
      <c r="AG67" s="217" t="s">
        <v>422</v>
      </c>
      <c r="AH67" s="217" t="s">
        <v>422</v>
      </c>
      <c r="AI67" s="217" t="s">
        <v>422</v>
      </c>
      <c r="AJ67" s="217" t="s">
        <v>423</v>
      </c>
      <c r="AK67" s="217" t="s">
        <v>423</v>
      </c>
      <c r="AL67" s="222" t="s">
        <v>1040</v>
      </c>
      <c r="AM67" s="209"/>
      <c r="AN67" s="209"/>
    </row>
    <row r="68" spans="1:40" x14ac:dyDescent="0.3">
      <c r="A68" s="185">
        <v>74</v>
      </c>
      <c r="B68" s="212" t="s">
        <v>881</v>
      </c>
      <c r="C68" s="212" t="s">
        <v>1618</v>
      </c>
      <c r="D68" s="201" t="s">
        <v>1848</v>
      </c>
      <c r="E68" s="212"/>
      <c r="F68" s="212"/>
      <c r="G68" s="212" t="s">
        <v>1953</v>
      </c>
      <c r="H68" s="212" t="s">
        <v>1040</v>
      </c>
      <c r="I68" s="357">
        <v>2</v>
      </c>
      <c r="J68" s="212">
        <v>2.5</v>
      </c>
      <c r="K68" s="357">
        <v>6</v>
      </c>
      <c r="L68" s="212">
        <v>0.5</v>
      </c>
      <c r="M68" s="212">
        <f t="shared" si="5"/>
        <v>11</v>
      </c>
      <c r="N68" s="212">
        <f t="shared" si="6"/>
        <v>16</v>
      </c>
      <c r="O68" s="212">
        <f t="shared" si="7"/>
        <v>10</v>
      </c>
      <c r="P68" s="212">
        <f t="shared" si="8"/>
        <v>40</v>
      </c>
      <c r="Q68" s="212">
        <f t="shared" si="9"/>
        <v>4</v>
      </c>
      <c r="R68" s="212">
        <f t="shared" si="10"/>
        <v>70</v>
      </c>
      <c r="S68" s="202" t="s">
        <v>885</v>
      </c>
      <c r="T68" s="211" t="s">
        <v>894</v>
      </c>
      <c r="U68" s="202">
        <v>20</v>
      </c>
      <c r="V68" s="202">
        <v>21</v>
      </c>
      <c r="W68" s="202">
        <v>21</v>
      </c>
      <c r="X68" s="367">
        <v>43868</v>
      </c>
      <c r="Y68" s="205">
        <v>43905</v>
      </c>
      <c r="Z68" s="205">
        <v>44043</v>
      </c>
      <c r="AA68" s="273">
        <f t="shared" si="3"/>
        <v>2020</v>
      </c>
      <c r="AB68" s="273">
        <f t="shared" si="4"/>
        <v>7</v>
      </c>
      <c r="AC68" s="211" t="s">
        <v>920</v>
      </c>
      <c r="AD68" s="217" t="s">
        <v>422</v>
      </c>
      <c r="AE68" s="217" t="s">
        <v>422</v>
      </c>
      <c r="AF68" s="217" t="s">
        <v>422</v>
      </c>
      <c r="AG68" s="217" t="s">
        <v>422</v>
      </c>
      <c r="AH68" s="217" t="s">
        <v>422</v>
      </c>
      <c r="AI68" s="217" t="s">
        <v>422</v>
      </c>
      <c r="AJ68" s="217" t="s">
        <v>423</v>
      </c>
      <c r="AK68" s="217" t="s">
        <v>423</v>
      </c>
      <c r="AL68" s="222" t="s">
        <v>1040</v>
      </c>
      <c r="AM68" s="209"/>
      <c r="AN68" s="209"/>
    </row>
    <row r="69" spans="1:40" x14ac:dyDescent="0.3">
      <c r="A69" s="185">
        <v>75</v>
      </c>
      <c r="B69" s="212" t="s">
        <v>882</v>
      </c>
      <c r="C69" s="212" t="s">
        <v>1618</v>
      </c>
      <c r="D69" s="201" t="s">
        <v>1848</v>
      </c>
      <c r="E69" s="212"/>
      <c r="F69" s="212"/>
      <c r="G69" s="212" t="s">
        <v>1953</v>
      </c>
      <c r="H69" s="212" t="s">
        <v>1040</v>
      </c>
      <c r="I69" s="357">
        <v>2</v>
      </c>
      <c r="J69" s="212">
        <v>2.5</v>
      </c>
      <c r="K69" s="357">
        <v>6</v>
      </c>
      <c r="L69" s="212">
        <v>0.5</v>
      </c>
      <c r="M69" s="212">
        <f t="shared" si="5"/>
        <v>11</v>
      </c>
      <c r="N69" s="212">
        <f t="shared" si="6"/>
        <v>16</v>
      </c>
      <c r="O69" s="212">
        <f t="shared" si="7"/>
        <v>10</v>
      </c>
      <c r="P69" s="212">
        <f t="shared" si="8"/>
        <v>40</v>
      </c>
      <c r="Q69" s="212">
        <f t="shared" si="9"/>
        <v>4</v>
      </c>
      <c r="R69" s="212">
        <f t="shared" si="10"/>
        <v>70</v>
      </c>
      <c r="S69" s="202" t="s">
        <v>885</v>
      </c>
      <c r="T69" s="211" t="s">
        <v>895</v>
      </c>
      <c r="U69" s="202">
        <v>20</v>
      </c>
      <c r="V69" s="202">
        <v>21</v>
      </c>
      <c r="W69" s="202">
        <v>21</v>
      </c>
      <c r="X69" s="367">
        <v>43868</v>
      </c>
      <c r="Y69" s="205">
        <v>43905</v>
      </c>
      <c r="Z69" s="205">
        <v>44043</v>
      </c>
      <c r="AA69" s="273">
        <f t="shared" si="3"/>
        <v>2020</v>
      </c>
      <c r="AB69" s="273">
        <f t="shared" si="4"/>
        <v>7</v>
      </c>
      <c r="AC69" s="211" t="s">
        <v>920</v>
      </c>
      <c r="AD69" s="217" t="s">
        <v>422</v>
      </c>
      <c r="AE69" s="217" t="s">
        <v>422</v>
      </c>
      <c r="AF69" s="217" t="s">
        <v>422</v>
      </c>
      <c r="AG69" s="217" t="s">
        <v>422</v>
      </c>
      <c r="AH69" s="217" t="s">
        <v>422</v>
      </c>
      <c r="AI69" s="217" t="s">
        <v>422</v>
      </c>
      <c r="AJ69" s="217" t="s">
        <v>423</v>
      </c>
      <c r="AK69" s="217" t="s">
        <v>423</v>
      </c>
      <c r="AL69" s="222" t="s">
        <v>1040</v>
      </c>
      <c r="AM69" s="209"/>
      <c r="AN69" s="209"/>
    </row>
    <row r="70" spans="1:40" x14ac:dyDescent="0.3">
      <c r="A70" s="185">
        <v>76</v>
      </c>
      <c r="B70" s="212" t="s">
        <v>883</v>
      </c>
      <c r="C70" s="212" t="s">
        <v>1618</v>
      </c>
      <c r="D70" s="201" t="s">
        <v>1848</v>
      </c>
      <c r="E70" s="212"/>
      <c r="F70" s="212"/>
      <c r="G70" s="212" t="s">
        <v>1939</v>
      </c>
      <c r="H70" s="212" t="s">
        <v>1040</v>
      </c>
      <c r="I70" s="357">
        <v>2</v>
      </c>
      <c r="J70" s="212">
        <v>9</v>
      </c>
      <c r="K70" s="212">
        <v>9</v>
      </c>
      <c r="L70" s="212">
        <v>1</v>
      </c>
      <c r="M70" s="212">
        <f t="shared" si="5"/>
        <v>21</v>
      </c>
      <c r="N70" s="212">
        <f t="shared" si="6"/>
        <v>16</v>
      </c>
      <c r="O70" s="212">
        <f t="shared" si="7"/>
        <v>36</v>
      </c>
      <c r="P70" s="212">
        <f t="shared" si="8"/>
        <v>60</v>
      </c>
      <c r="Q70" s="212">
        <f t="shared" si="9"/>
        <v>8</v>
      </c>
      <c r="R70" s="212">
        <f t="shared" si="10"/>
        <v>120</v>
      </c>
      <c r="S70" s="202" t="s">
        <v>865</v>
      </c>
      <c r="T70" s="211" t="s">
        <v>896</v>
      </c>
      <c r="U70" s="202">
        <v>30</v>
      </c>
      <c r="V70" s="202">
        <v>30</v>
      </c>
      <c r="W70" s="202">
        <v>30</v>
      </c>
      <c r="X70" s="367">
        <v>43868</v>
      </c>
      <c r="Y70" s="205">
        <v>43905</v>
      </c>
      <c r="Z70" s="205">
        <v>44043</v>
      </c>
      <c r="AA70" s="273">
        <f t="shared" si="3"/>
        <v>2020</v>
      </c>
      <c r="AB70" s="273">
        <f t="shared" si="4"/>
        <v>7</v>
      </c>
      <c r="AC70" s="211" t="s">
        <v>920</v>
      </c>
      <c r="AD70" s="217" t="s">
        <v>422</v>
      </c>
      <c r="AE70" s="217" t="s">
        <v>422</v>
      </c>
      <c r="AF70" s="217" t="s">
        <v>422</v>
      </c>
      <c r="AG70" s="217" t="s">
        <v>422</v>
      </c>
      <c r="AH70" s="217" t="s">
        <v>422</v>
      </c>
      <c r="AI70" s="217" t="s">
        <v>422</v>
      </c>
      <c r="AJ70" s="217" t="s">
        <v>423</v>
      </c>
      <c r="AK70" s="217" t="s">
        <v>423</v>
      </c>
      <c r="AL70" s="222" t="s">
        <v>1040</v>
      </c>
      <c r="AM70" s="209"/>
      <c r="AN70" s="209"/>
    </row>
    <row r="71" spans="1:40" x14ac:dyDescent="0.3">
      <c r="A71" s="185">
        <v>77</v>
      </c>
      <c r="B71" s="212" t="s">
        <v>884</v>
      </c>
      <c r="C71" s="212" t="s">
        <v>1618</v>
      </c>
      <c r="D71" s="201" t="s">
        <v>1848</v>
      </c>
      <c r="E71" s="212"/>
      <c r="F71" s="212"/>
      <c r="G71" s="212" t="s">
        <v>1939</v>
      </c>
      <c r="H71" s="212" t="s">
        <v>1040</v>
      </c>
      <c r="I71" s="357">
        <v>2</v>
      </c>
      <c r="J71" s="212">
        <v>9</v>
      </c>
      <c r="K71" s="212">
        <v>9</v>
      </c>
      <c r="L71" s="212">
        <v>1</v>
      </c>
      <c r="M71" s="212">
        <f t="shared" ref="M71:M134" si="11">SUM((I71:L71))</f>
        <v>21</v>
      </c>
      <c r="N71" s="212">
        <f t="shared" ref="N71:N134" si="12">+I71/0.125</f>
        <v>16</v>
      </c>
      <c r="O71" s="212">
        <f t="shared" ref="O71:O134" si="13">+J71/0.25</f>
        <v>36</v>
      </c>
      <c r="P71" s="212">
        <f t="shared" ref="P71:P134" si="14">+K71/0.15</f>
        <v>60</v>
      </c>
      <c r="Q71" s="212">
        <f t="shared" ref="Q71:Q134" si="15">+L71/0.125</f>
        <v>8</v>
      </c>
      <c r="R71" s="212">
        <f t="shared" ref="R71:R134" si="16">SUM(N71:Q71)</f>
        <v>120</v>
      </c>
      <c r="S71" s="202" t="s">
        <v>865</v>
      </c>
      <c r="T71" s="211" t="s">
        <v>897</v>
      </c>
      <c r="U71" s="202">
        <v>30</v>
      </c>
      <c r="V71" s="202">
        <v>30</v>
      </c>
      <c r="W71" s="202">
        <v>30</v>
      </c>
      <c r="X71" s="367">
        <v>43868</v>
      </c>
      <c r="Y71" s="205">
        <v>43905</v>
      </c>
      <c r="Z71" s="205">
        <v>44043</v>
      </c>
      <c r="AA71" s="273">
        <f t="shared" ref="AA71:AA134" si="17">IF(YEAR(Z71)&gt;2000,YEAR(Z71),YEAR(Y71))</f>
        <v>2020</v>
      </c>
      <c r="AB71" s="273">
        <f t="shared" ref="AB71:AB134" si="18">MONTH(Z71)</f>
        <v>7</v>
      </c>
      <c r="AC71" s="211" t="s">
        <v>920</v>
      </c>
      <c r="AD71" s="217" t="s">
        <v>422</v>
      </c>
      <c r="AE71" s="217" t="s">
        <v>422</v>
      </c>
      <c r="AF71" s="217" t="s">
        <v>422</v>
      </c>
      <c r="AG71" s="217" t="s">
        <v>422</v>
      </c>
      <c r="AH71" s="217" t="s">
        <v>422</v>
      </c>
      <c r="AI71" s="217" t="s">
        <v>422</v>
      </c>
      <c r="AJ71" s="217" t="s">
        <v>423</v>
      </c>
      <c r="AK71" s="217" t="s">
        <v>423</v>
      </c>
      <c r="AL71" s="222" t="s">
        <v>1040</v>
      </c>
      <c r="AM71" s="209"/>
      <c r="AN71" s="209"/>
    </row>
    <row r="72" spans="1:40" x14ac:dyDescent="0.3">
      <c r="A72" s="185">
        <v>78</v>
      </c>
      <c r="B72" s="212" t="s">
        <v>886</v>
      </c>
      <c r="C72" s="212" t="s">
        <v>1618</v>
      </c>
      <c r="D72" s="201" t="s">
        <v>1848</v>
      </c>
      <c r="E72" s="212"/>
      <c r="F72" s="212"/>
      <c r="G72" s="212" t="s">
        <v>1939</v>
      </c>
      <c r="H72" s="212" t="s">
        <v>1040</v>
      </c>
      <c r="I72" s="357">
        <v>2</v>
      </c>
      <c r="J72" s="212">
        <v>8</v>
      </c>
      <c r="K72" s="212">
        <v>9</v>
      </c>
      <c r="L72" s="212">
        <v>1</v>
      </c>
      <c r="M72" s="212">
        <f t="shared" si="11"/>
        <v>20</v>
      </c>
      <c r="N72" s="212">
        <f t="shared" si="12"/>
        <v>16</v>
      </c>
      <c r="O72" s="212">
        <f t="shared" si="13"/>
        <v>32</v>
      </c>
      <c r="P72" s="212">
        <f t="shared" si="14"/>
        <v>60</v>
      </c>
      <c r="Q72" s="212">
        <f t="shared" si="15"/>
        <v>8</v>
      </c>
      <c r="R72" s="212">
        <f t="shared" si="16"/>
        <v>116</v>
      </c>
      <c r="S72" s="202" t="s">
        <v>889</v>
      </c>
      <c r="T72" s="211" t="s">
        <v>898</v>
      </c>
      <c r="U72" s="202">
        <v>30</v>
      </c>
      <c r="V72" s="202">
        <v>31</v>
      </c>
      <c r="W72" s="202">
        <v>31</v>
      </c>
      <c r="X72" s="367">
        <v>43868</v>
      </c>
      <c r="Y72" s="205">
        <v>43905</v>
      </c>
      <c r="Z72" s="205">
        <v>44043</v>
      </c>
      <c r="AA72" s="273">
        <f t="shared" si="17"/>
        <v>2020</v>
      </c>
      <c r="AB72" s="273">
        <f t="shared" si="18"/>
        <v>7</v>
      </c>
      <c r="AC72" s="211" t="s">
        <v>920</v>
      </c>
      <c r="AD72" s="217" t="s">
        <v>422</v>
      </c>
      <c r="AE72" s="217" t="s">
        <v>422</v>
      </c>
      <c r="AF72" s="217" t="s">
        <v>422</v>
      </c>
      <c r="AG72" s="217" t="s">
        <v>422</v>
      </c>
      <c r="AH72" s="217" t="s">
        <v>422</v>
      </c>
      <c r="AI72" s="217" t="s">
        <v>422</v>
      </c>
      <c r="AJ72" s="217" t="s">
        <v>423</v>
      </c>
      <c r="AK72" s="217" t="s">
        <v>423</v>
      </c>
      <c r="AL72" s="222" t="s">
        <v>1040</v>
      </c>
      <c r="AM72" s="209"/>
      <c r="AN72" s="209"/>
    </row>
    <row r="73" spans="1:40" x14ac:dyDescent="0.3">
      <c r="A73" s="185">
        <v>79</v>
      </c>
      <c r="B73" s="212" t="s">
        <v>887</v>
      </c>
      <c r="C73" s="212" t="s">
        <v>1618</v>
      </c>
      <c r="D73" s="201" t="s">
        <v>1848</v>
      </c>
      <c r="E73" s="212"/>
      <c r="F73" s="212"/>
      <c r="G73" s="212" t="s">
        <v>1939</v>
      </c>
      <c r="H73" s="212" t="s">
        <v>1040</v>
      </c>
      <c r="I73" s="357">
        <v>2</v>
      </c>
      <c r="J73" s="212">
        <v>8</v>
      </c>
      <c r="K73" s="212">
        <v>9</v>
      </c>
      <c r="L73" s="212">
        <v>1</v>
      </c>
      <c r="M73" s="212">
        <f t="shared" si="11"/>
        <v>20</v>
      </c>
      <c r="N73" s="212">
        <f t="shared" si="12"/>
        <v>16</v>
      </c>
      <c r="O73" s="212">
        <f t="shared" si="13"/>
        <v>32</v>
      </c>
      <c r="P73" s="212">
        <f t="shared" si="14"/>
        <v>60</v>
      </c>
      <c r="Q73" s="212">
        <f t="shared" si="15"/>
        <v>8</v>
      </c>
      <c r="R73" s="212">
        <f t="shared" si="16"/>
        <v>116</v>
      </c>
      <c r="S73" s="202" t="s">
        <v>889</v>
      </c>
      <c r="T73" s="211" t="s">
        <v>899</v>
      </c>
      <c r="U73" s="202">
        <v>30</v>
      </c>
      <c r="V73" s="202">
        <v>31</v>
      </c>
      <c r="W73" s="202">
        <v>31</v>
      </c>
      <c r="X73" s="367">
        <v>43868</v>
      </c>
      <c r="Y73" s="205">
        <v>43905</v>
      </c>
      <c r="Z73" s="205">
        <v>44043</v>
      </c>
      <c r="AA73" s="273">
        <f t="shared" si="17"/>
        <v>2020</v>
      </c>
      <c r="AB73" s="273">
        <f t="shared" si="18"/>
        <v>7</v>
      </c>
      <c r="AC73" s="211" t="s">
        <v>920</v>
      </c>
      <c r="AD73" s="217" t="s">
        <v>422</v>
      </c>
      <c r="AE73" s="217" t="s">
        <v>422</v>
      </c>
      <c r="AF73" s="217" t="s">
        <v>422</v>
      </c>
      <c r="AG73" s="217" t="s">
        <v>422</v>
      </c>
      <c r="AH73" s="217" t="s">
        <v>422</v>
      </c>
      <c r="AI73" s="217" t="s">
        <v>422</v>
      </c>
      <c r="AJ73" s="217" t="s">
        <v>423</v>
      </c>
      <c r="AK73" s="217" t="s">
        <v>423</v>
      </c>
      <c r="AL73" s="222" t="s">
        <v>1040</v>
      </c>
      <c r="AM73" s="209"/>
      <c r="AN73" s="209"/>
    </row>
    <row r="74" spans="1:40" ht="15" customHeight="1" x14ac:dyDescent="0.3">
      <c r="A74" s="185">
        <v>81</v>
      </c>
      <c r="B74" s="212" t="s">
        <v>901</v>
      </c>
      <c r="C74" s="212" t="s">
        <v>1615</v>
      </c>
      <c r="D74" s="201" t="s">
        <v>1881</v>
      </c>
      <c r="E74" s="212"/>
      <c r="F74" s="212"/>
      <c r="G74" s="368" t="s">
        <v>1604</v>
      </c>
      <c r="H74" s="212" t="s">
        <v>1428</v>
      </c>
      <c r="I74" s="357">
        <v>2</v>
      </c>
      <c r="J74" s="212">
        <v>11</v>
      </c>
      <c r="K74" s="212">
        <v>0</v>
      </c>
      <c r="L74" s="212">
        <v>1</v>
      </c>
      <c r="M74" s="212">
        <f t="shared" si="11"/>
        <v>14</v>
      </c>
      <c r="N74" s="212">
        <f t="shared" si="12"/>
        <v>16</v>
      </c>
      <c r="O74" s="212">
        <f t="shared" si="13"/>
        <v>44</v>
      </c>
      <c r="P74" s="212">
        <f t="shared" si="14"/>
        <v>0</v>
      </c>
      <c r="Q74" s="212">
        <f t="shared" si="15"/>
        <v>8</v>
      </c>
      <c r="R74" s="212">
        <f t="shared" si="16"/>
        <v>68</v>
      </c>
      <c r="S74" s="213" t="s">
        <v>935</v>
      </c>
      <c r="T74" s="214" t="s">
        <v>940</v>
      </c>
      <c r="U74" s="213">
        <v>72</v>
      </c>
      <c r="V74" s="213">
        <v>74</v>
      </c>
      <c r="W74" s="213">
        <v>74</v>
      </c>
      <c r="X74" s="215">
        <v>43875</v>
      </c>
      <c r="Y74" s="216">
        <v>43905</v>
      </c>
      <c r="Z74" s="205">
        <v>44035</v>
      </c>
      <c r="AA74" s="273">
        <f t="shared" si="17"/>
        <v>2020</v>
      </c>
      <c r="AB74" s="273">
        <f t="shared" si="18"/>
        <v>7</v>
      </c>
      <c r="AC74" s="217" t="s">
        <v>920</v>
      </c>
      <c r="AD74" s="217" t="s">
        <v>422</v>
      </c>
      <c r="AE74" s="217" t="s">
        <v>422</v>
      </c>
      <c r="AF74" s="217" t="s">
        <v>422</v>
      </c>
      <c r="AG74" s="217" t="s">
        <v>422</v>
      </c>
      <c r="AH74" s="217" t="s">
        <v>422</v>
      </c>
      <c r="AI74" s="217" t="s">
        <v>423</v>
      </c>
      <c r="AJ74" s="217" t="s">
        <v>423</v>
      </c>
      <c r="AK74" s="217" t="s">
        <v>423</v>
      </c>
      <c r="AL74" s="218" t="s">
        <v>138</v>
      </c>
      <c r="AM74" s="209"/>
      <c r="AN74" s="209"/>
    </row>
    <row r="75" spans="1:40" ht="15" customHeight="1" x14ac:dyDescent="0.3">
      <c r="A75" s="185">
        <v>91</v>
      </c>
      <c r="B75" s="212" t="s">
        <v>911</v>
      </c>
      <c r="C75" s="212" t="s">
        <v>1615</v>
      </c>
      <c r="D75" s="199" t="s">
        <v>1881</v>
      </c>
      <c r="E75" s="212"/>
      <c r="F75" s="212"/>
      <c r="G75" s="368" t="s">
        <v>1604</v>
      </c>
      <c r="H75" s="212" t="s">
        <v>1008</v>
      </c>
      <c r="I75" s="357">
        <v>2</v>
      </c>
      <c r="J75" s="212">
        <v>6</v>
      </c>
      <c r="K75" s="212">
        <v>0</v>
      </c>
      <c r="L75" s="212">
        <v>1</v>
      </c>
      <c r="M75" s="212">
        <f t="shared" si="11"/>
        <v>9</v>
      </c>
      <c r="N75" s="212">
        <f t="shared" si="12"/>
        <v>16</v>
      </c>
      <c r="O75" s="212">
        <f t="shared" si="13"/>
        <v>24</v>
      </c>
      <c r="P75" s="212">
        <f t="shared" si="14"/>
        <v>0</v>
      </c>
      <c r="Q75" s="212">
        <f t="shared" si="15"/>
        <v>8</v>
      </c>
      <c r="R75" s="212">
        <f t="shared" si="16"/>
        <v>48</v>
      </c>
      <c r="S75" s="213" t="s">
        <v>948</v>
      </c>
      <c r="T75" s="214" t="s">
        <v>922</v>
      </c>
      <c r="U75" s="213">
        <v>61</v>
      </c>
      <c r="V75" s="213">
        <v>64</v>
      </c>
      <c r="W75" s="213">
        <v>64</v>
      </c>
      <c r="X75" s="215">
        <v>43875</v>
      </c>
      <c r="Y75" s="216">
        <v>43936</v>
      </c>
      <c r="Z75" s="205">
        <v>44035</v>
      </c>
      <c r="AA75" s="273">
        <f t="shared" si="17"/>
        <v>2020</v>
      </c>
      <c r="AB75" s="273">
        <f t="shared" si="18"/>
        <v>7</v>
      </c>
      <c r="AC75" s="217" t="s">
        <v>920</v>
      </c>
      <c r="AD75" s="217" t="s">
        <v>422</v>
      </c>
      <c r="AE75" s="217" t="s">
        <v>422</v>
      </c>
      <c r="AF75" s="217" t="s">
        <v>422</v>
      </c>
      <c r="AG75" s="217" t="s">
        <v>422</v>
      </c>
      <c r="AH75" s="217" t="s">
        <v>422</v>
      </c>
      <c r="AI75" s="217" t="s">
        <v>423</v>
      </c>
      <c r="AJ75" s="217" t="s">
        <v>423</v>
      </c>
      <c r="AK75" s="217" t="s">
        <v>423</v>
      </c>
      <c r="AL75" s="218" t="s">
        <v>888</v>
      </c>
      <c r="AM75" s="209"/>
      <c r="AN75" s="209"/>
    </row>
    <row r="76" spans="1:40" ht="15" customHeight="1" x14ac:dyDescent="0.3">
      <c r="A76" s="185">
        <v>93</v>
      </c>
      <c r="B76" s="212" t="s">
        <v>913</v>
      </c>
      <c r="C76" s="212" t="s">
        <v>1618</v>
      </c>
      <c r="D76" s="201" t="s">
        <v>1881</v>
      </c>
      <c r="E76" s="212"/>
      <c r="F76" s="212" t="s">
        <v>1597</v>
      </c>
      <c r="G76" s="212" t="s">
        <v>1941</v>
      </c>
      <c r="H76" s="212"/>
      <c r="I76" s="212">
        <v>2</v>
      </c>
      <c r="J76" s="357">
        <v>7</v>
      </c>
      <c r="K76" s="212">
        <v>28</v>
      </c>
      <c r="L76" s="212">
        <v>1</v>
      </c>
      <c r="M76" s="212">
        <f t="shared" si="11"/>
        <v>38</v>
      </c>
      <c r="N76" s="212">
        <f t="shared" si="12"/>
        <v>16</v>
      </c>
      <c r="O76" s="212">
        <f t="shared" si="13"/>
        <v>28</v>
      </c>
      <c r="P76" s="212">
        <f t="shared" si="14"/>
        <v>186.66666666666669</v>
      </c>
      <c r="Q76" s="212">
        <f t="shared" si="15"/>
        <v>8</v>
      </c>
      <c r="R76" s="212">
        <f t="shared" si="16"/>
        <v>238.66666666666669</v>
      </c>
      <c r="S76" s="213" t="s">
        <v>917</v>
      </c>
      <c r="T76" s="214" t="s">
        <v>924</v>
      </c>
      <c r="U76" s="213">
        <v>50</v>
      </c>
      <c r="V76" s="213">
        <v>52</v>
      </c>
      <c r="W76" s="213">
        <v>52</v>
      </c>
      <c r="X76" s="215">
        <v>43875</v>
      </c>
      <c r="Y76" s="216">
        <v>43905</v>
      </c>
      <c r="Z76" s="205">
        <v>44043</v>
      </c>
      <c r="AA76" s="273">
        <f t="shared" si="17"/>
        <v>2020</v>
      </c>
      <c r="AB76" s="273">
        <f t="shared" si="18"/>
        <v>7</v>
      </c>
      <c r="AC76" s="217" t="s">
        <v>920</v>
      </c>
      <c r="AD76" s="217" t="s">
        <v>422</v>
      </c>
      <c r="AE76" s="217" t="s">
        <v>422</v>
      </c>
      <c r="AF76" s="217" t="s">
        <v>422</v>
      </c>
      <c r="AG76" s="217" t="s">
        <v>422</v>
      </c>
      <c r="AH76" s="217" t="s">
        <v>422</v>
      </c>
      <c r="AI76" s="217" t="s">
        <v>422</v>
      </c>
      <c r="AJ76" s="217" t="s">
        <v>423</v>
      </c>
      <c r="AK76" s="217" t="s">
        <v>423</v>
      </c>
      <c r="AL76" s="218" t="s">
        <v>108</v>
      </c>
      <c r="AM76" s="209"/>
      <c r="AN76" s="209"/>
    </row>
    <row r="77" spans="1:40" ht="15" customHeight="1" x14ac:dyDescent="0.3">
      <c r="A77" s="185">
        <v>94</v>
      </c>
      <c r="B77" s="212" t="s">
        <v>914</v>
      </c>
      <c r="C77" s="212" t="s">
        <v>1618</v>
      </c>
      <c r="D77" s="201" t="s">
        <v>1881</v>
      </c>
      <c r="E77" s="212"/>
      <c r="F77" s="212" t="s">
        <v>1597</v>
      </c>
      <c r="G77" s="212" t="s">
        <v>1941</v>
      </c>
      <c r="H77" s="212"/>
      <c r="I77" s="212">
        <v>2</v>
      </c>
      <c r="J77" s="357">
        <v>7</v>
      </c>
      <c r="K77" s="212">
        <v>28</v>
      </c>
      <c r="L77" s="212">
        <v>1</v>
      </c>
      <c r="M77" s="212">
        <f t="shared" si="11"/>
        <v>38</v>
      </c>
      <c r="N77" s="212">
        <f t="shared" si="12"/>
        <v>16</v>
      </c>
      <c r="O77" s="212">
        <f t="shared" si="13"/>
        <v>28</v>
      </c>
      <c r="P77" s="212">
        <f t="shared" si="14"/>
        <v>186.66666666666669</v>
      </c>
      <c r="Q77" s="212">
        <f t="shared" si="15"/>
        <v>8</v>
      </c>
      <c r="R77" s="212">
        <f t="shared" si="16"/>
        <v>238.66666666666669</v>
      </c>
      <c r="S77" s="213" t="s">
        <v>918</v>
      </c>
      <c r="T77" s="214" t="s">
        <v>925</v>
      </c>
      <c r="U77" s="213">
        <v>50</v>
      </c>
      <c r="V77" s="213">
        <v>52</v>
      </c>
      <c r="W77" s="213">
        <v>52</v>
      </c>
      <c r="X77" s="215">
        <v>43875</v>
      </c>
      <c r="Y77" s="216">
        <v>43905</v>
      </c>
      <c r="Z77" s="205">
        <v>44043</v>
      </c>
      <c r="AA77" s="273">
        <f t="shared" si="17"/>
        <v>2020</v>
      </c>
      <c r="AB77" s="273">
        <f t="shared" si="18"/>
        <v>7</v>
      </c>
      <c r="AC77" s="217" t="s">
        <v>920</v>
      </c>
      <c r="AD77" s="217" t="s">
        <v>422</v>
      </c>
      <c r="AE77" s="217" t="s">
        <v>422</v>
      </c>
      <c r="AF77" s="217" t="s">
        <v>422</v>
      </c>
      <c r="AG77" s="217" t="s">
        <v>422</v>
      </c>
      <c r="AH77" s="217" t="s">
        <v>422</v>
      </c>
      <c r="AI77" s="217" t="s">
        <v>422</v>
      </c>
      <c r="AJ77" s="217" t="s">
        <v>423</v>
      </c>
      <c r="AK77" s="217" t="s">
        <v>423</v>
      </c>
      <c r="AL77" s="218" t="s">
        <v>108</v>
      </c>
      <c r="AM77" s="209"/>
      <c r="AN77" s="209"/>
    </row>
    <row r="78" spans="1:40" ht="15" customHeight="1" x14ac:dyDescent="0.3">
      <c r="A78" s="185">
        <v>97</v>
      </c>
      <c r="B78" s="212" t="s">
        <v>930</v>
      </c>
      <c r="C78" s="212" t="s">
        <v>1615</v>
      </c>
      <c r="D78" s="201" t="s">
        <v>1881</v>
      </c>
      <c r="E78" s="212"/>
      <c r="F78" s="212"/>
      <c r="G78" s="368" t="s">
        <v>1604</v>
      </c>
      <c r="H78" s="212" t="s">
        <v>1008</v>
      </c>
      <c r="I78" s="357">
        <v>2</v>
      </c>
      <c r="J78" s="212">
        <v>12</v>
      </c>
      <c r="K78" s="212">
        <v>0</v>
      </c>
      <c r="L78" s="212">
        <v>1.5</v>
      </c>
      <c r="M78" s="212">
        <f t="shared" si="11"/>
        <v>15.5</v>
      </c>
      <c r="N78" s="212">
        <f t="shared" si="12"/>
        <v>16</v>
      </c>
      <c r="O78" s="212">
        <f t="shared" si="13"/>
        <v>48</v>
      </c>
      <c r="P78" s="212">
        <f t="shared" si="14"/>
        <v>0</v>
      </c>
      <c r="Q78" s="212">
        <f t="shared" si="15"/>
        <v>12</v>
      </c>
      <c r="R78" s="212">
        <f t="shared" si="16"/>
        <v>76</v>
      </c>
      <c r="S78" s="213" t="s">
        <v>933</v>
      </c>
      <c r="T78" s="214" t="s">
        <v>1018</v>
      </c>
      <c r="U78" s="213">
        <v>106</v>
      </c>
      <c r="V78" s="213">
        <v>109</v>
      </c>
      <c r="W78" s="213">
        <v>109</v>
      </c>
      <c r="X78" s="215">
        <v>43875</v>
      </c>
      <c r="Y78" s="216">
        <v>43936</v>
      </c>
      <c r="Z78" s="205">
        <v>44035</v>
      </c>
      <c r="AA78" s="273">
        <f t="shared" si="17"/>
        <v>2020</v>
      </c>
      <c r="AB78" s="273">
        <f t="shared" si="18"/>
        <v>7</v>
      </c>
      <c r="AC78" s="217" t="s">
        <v>920</v>
      </c>
      <c r="AD78" s="217" t="s">
        <v>422</v>
      </c>
      <c r="AE78" s="217" t="s">
        <v>422</v>
      </c>
      <c r="AF78" s="217" t="s">
        <v>422</v>
      </c>
      <c r="AG78" s="217" t="s">
        <v>422</v>
      </c>
      <c r="AH78" s="217" t="s">
        <v>422</v>
      </c>
      <c r="AI78" s="217" t="s">
        <v>423</v>
      </c>
      <c r="AJ78" s="217" t="s">
        <v>422</v>
      </c>
      <c r="AK78" s="217" t="s">
        <v>423</v>
      </c>
      <c r="AL78" s="218" t="s">
        <v>888</v>
      </c>
      <c r="AM78" s="209"/>
      <c r="AN78" s="209"/>
    </row>
    <row r="79" spans="1:40" ht="15" customHeight="1" x14ac:dyDescent="0.3">
      <c r="A79" s="185">
        <v>98</v>
      </c>
      <c r="B79" s="212" t="s">
        <v>931</v>
      </c>
      <c r="C79" s="212" t="s">
        <v>1615</v>
      </c>
      <c r="D79" s="201" t="s">
        <v>1881</v>
      </c>
      <c r="E79" s="212"/>
      <c r="F79" s="212"/>
      <c r="G79" s="368" t="s">
        <v>1604</v>
      </c>
      <c r="H79" s="212" t="s">
        <v>1008</v>
      </c>
      <c r="I79" s="357">
        <v>2</v>
      </c>
      <c r="J79" s="212">
        <v>10.5</v>
      </c>
      <c r="K79" s="212">
        <v>0</v>
      </c>
      <c r="L79" s="212">
        <v>1.5</v>
      </c>
      <c r="M79" s="212">
        <f t="shared" si="11"/>
        <v>14</v>
      </c>
      <c r="N79" s="212">
        <f t="shared" si="12"/>
        <v>16</v>
      </c>
      <c r="O79" s="212">
        <f t="shared" si="13"/>
        <v>42</v>
      </c>
      <c r="P79" s="212">
        <f t="shared" si="14"/>
        <v>0</v>
      </c>
      <c r="Q79" s="212">
        <f t="shared" si="15"/>
        <v>12</v>
      </c>
      <c r="R79" s="212">
        <f t="shared" si="16"/>
        <v>70</v>
      </c>
      <c r="S79" s="213" t="s">
        <v>1016</v>
      </c>
      <c r="T79" s="214" t="s">
        <v>1017</v>
      </c>
      <c r="U79" s="213">
        <v>100</v>
      </c>
      <c r="V79" s="213">
        <v>104</v>
      </c>
      <c r="W79" s="213">
        <v>104</v>
      </c>
      <c r="X79" s="215">
        <v>43875</v>
      </c>
      <c r="Y79" s="216">
        <v>43936</v>
      </c>
      <c r="Z79" s="205">
        <v>44035</v>
      </c>
      <c r="AA79" s="273">
        <f t="shared" si="17"/>
        <v>2020</v>
      </c>
      <c r="AB79" s="273">
        <f t="shared" si="18"/>
        <v>7</v>
      </c>
      <c r="AC79" s="217" t="s">
        <v>920</v>
      </c>
      <c r="AD79" s="217" t="s">
        <v>422</v>
      </c>
      <c r="AE79" s="217" t="s">
        <v>422</v>
      </c>
      <c r="AF79" s="217" t="s">
        <v>422</v>
      </c>
      <c r="AG79" s="217" t="s">
        <v>422</v>
      </c>
      <c r="AH79" s="217" t="s">
        <v>422</v>
      </c>
      <c r="AI79" s="217" t="s">
        <v>423</v>
      </c>
      <c r="AJ79" s="217" t="s">
        <v>422</v>
      </c>
      <c r="AK79" s="217" t="s">
        <v>423</v>
      </c>
      <c r="AL79" s="218" t="s">
        <v>888</v>
      </c>
      <c r="AM79" s="209"/>
      <c r="AN79" s="209"/>
    </row>
    <row r="80" spans="1:40" ht="15" customHeight="1" x14ac:dyDescent="0.3">
      <c r="A80" s="185">
        <v>99</v>
      </c>
      <c r="B80" s="212" t="s">
        <v>957</v>
      </c>
      <c r="C80" s="212" t="s">
        <v>1616</v>
      </c>
      <c r="D80" s="201" t="s">
        <v>1848</v>
      </c>
      <c r="E80" s="212"/>
      <c r="F80" s="212"/>
      <c r="G80" s="212" t="s">
        <v>1941</v>
      </c>
      <c r="H80" s="212" t="s">
        <v>1041</v>
      </c>
      <c r="I80" s="212">
        <v>2</v>
      </c>
      <c r="J80" s="212">
        <v>14</v>
      </c>
      <c r="K80" s="357">
        <v>9</v>
      </c>
      <c r="L80" s="212">
        <v>1</v>
      </c>
      <c r="M80" s="212">
        <f t="shared" si="11"/>
        <v>26</v>
      </c>
      <c r="N80" s="212">
        <f t="shared" si="12"/>
        <v>16</v>
      </c>
      <c r="O80" s="212">
        <f t="shared" si="13"/>
        <v>56</v>
      </c>
      <c r="P80" s="212">
        <f t="shared" si="14"/>
        <v>60</v>
      </c>
      <c r="Q80" s="212">
        <f t="shared" si="15"/>
        <v>8</v>
      </c>
      <c r="R80" s="212">
        <f t="shared" si="16"/>
        <v>140</v>
      </c>
      <c r="S80" s="219" t="s">
        <v>1011</v>
      </c>
      <c r="T80" s="214" t="s">
        <v>993</v>
      </c>
      <c r="U80" s="213">
        <v>7</v>
      </c>
      <c r="V80" s="213">
        <v>9</v>
      </c>
      <c r="W80" s="213">
        <v>9</v>
      </c>
      <c r="X80" s="215">
        <v>43889</v>
      </c>
      <c r="Y80" s="216">
        <v>43917</v>
      </c>
      <c r="Z80" s="205">
        <v>44014</v>
      </c>
      <c r="AA80" s="273">
        <f t="shared" si="17"/>
        <v>2020</v>
      </c>
      <c r="AB80" s="273">
        <f t="shared" si="18"/>
        <v>7</v>
      </c>
      <c r="AC80" s="217" t="s">
        <v>1250</v>
      </c>
      <c r="AD80" s="217" t="s">
        <v>422</v>
      </c>
      <c r="AE80" s="217" t="s">
        <v>422</v>
      </c>
      <c r="AF80" s="217" t="s">
        <v>422</v>
      </c>
      <c r="AG80" s="217" t="s">
        <v>422</v>
      </c>
      <c r="AH80" s="217" t="s">
        <v>422</v>
      </c>
      <c r="AI80" s="217" t="s">
        <v>422</v>
      </c>
      <c r="AJ80" s="217" t="s">
        <v>423</v>
      </c>
      <c r="AK80" s="217" t="s">
        <v>423</v>
      </c>
      <c r="AL80" s="218" t="s">
        <v>698</v>
      </c>
      <c r="AM80" s="209"/>
      <c r="AN80" s="209"/>
    </row>
    <row r="81" spans="1:43" ht="15" customHeight="1" x14ac:dyDescent="0.3">
      <c r="A81" s="185">
        <v>100</v>
      </c>
      <c r="B81" s="212" t="s">
        <v>958</v>
      </c>
      <c r="C81" s="212" t="s">
        <v>1616</v>
      </c>
      <c r="D81" s="201" t="s">
        <v>1848</v>
      </c>
      <c r="E81" s="212"/>
      <c r="F81" s="212" t="s">
        <v>1597</v>
      </c>
      <c r="G81" s="212" t="s">
        <v>1953</v>
      </c>
      <c r="H81" s="212"/>
      <c r="I81" s="212">
        <v>2</v>
      </c>
      <c r="J81" s="212">
        <v>10</v>
      </c>
      <c r="K81" s="357">
        <v>9</v>
      </c>
      <c r="L81" s="212">
        <v>1</v>
      </c>
      <c r="M81" s="212">
        <f t="shared" si="11"/>
        <v>22</v>
      </c>
      <c r="N81" s="212">
        <f t="shared" si="12"/>
        <v>16</v>
      </c>
      <c r="O81" s="212">
        <f t="shared" si="13"/>
        <v>40</v>
      </c>
      <c r="P81" s="212">
        <f t="shared" si="14"/>
        <v>60</v>
      </c>
      <c r="Q81" s="212">
        <f t="shared" si="15"/>
        <v>8</v>
      </c>
      <c r="R81" s="212">
        <f t="shared" si="16"/>
        <v>124</v>
      </c>
      <c r="S81" s="229" t="s">
        <v>963</v>
      </c>
      <c r="T81" s="214" t="s">
        <v>986</v>
      </c>
      <c r="U81" s="213">
        <v>8</v>
      </c>
      <c r="V81" s="213">
        <v>9</v>
      </c>
      <c r="W81" s="213">
        <v>9</v>
      </c>
      <c r="X81" s="215">
        <v>43889</v>
      </c>
      <c r="Y81" s="216">
        <v>43917</v>
      </c>
      <c r="Z81" s="205">
        <v>44014</v>
      </c>
      <c r="AA81" s="273">
        <f t="shared" si="17"/>
        <v>2020</v>
      </c>
      <c r="AB81" s="273">
        <f t="shared" si="18"/>
        <v>7</v>
      </c>
      <c r="AC81" s="217" t="s">
        <v>1250</v>
      </c>
      <c r="AD81" s="217" t="s">
        <v>422</v>
      </c>
      <c r="AE81" s="217" t="s">
        <v>422</v>
      </c>
      <c r="AF81" s="217" t="s">
        <v>422</v>
      </c>
      <c r="AG81" s="217" t="s">
        <v>422</v>
      </c>
      <c r="AH81" s="217" t="s">
        <v>422</v>
      </c>
      <c r="AI81" s="217" t="s">
        <v>422</v>
      </c>
      <c r="AJ81" s="217" t="s">
        <v>423</v>
      </c>
      <c r="AK81" s="217" t="s">
        <v>423</v>
      </c>
      <c r="AL81" s="218" t="s">
        <v>108</v>
      </c>
      <c r="AM81" s="209"/>
      <c r="AN81" s="209"/>
    </row>
    <row r="82" spans="1:43" ht="15" customHeight="1" x14ac:dyDescent="0.3">
      <c r="A82" s="185">
        <v>101</v>
      </c>
      <c r="B82" s="212" t="s">
        <v>959</v>
      </c>
      <c r="C82" s="212" t="s">
        <v>1616</v>
      </c>
      <c r="D82" s="201" t="s">
        <v>1848</v>
      </c>
      <c r="E82" s="212"/>
      <c r="F82" s="212"/>
      <c r="G82" s="212" t="s">
        <v>1953</v>
      </c>
      <c r="H82" s="212" t="s">
        <v>1041</v>
      </c>
      <c r="I82" s="212">
        <v>2</v>
      </c>
      <c r="J82" s="212">
        <v>12</v>
      </c>
      <c r="K82" s="357">
        <v>9</v>
      </c>
      <c r="L82" s="212">
        <v>1</v>
      </c>
      <c r="M82" s="212">
        <f t="shared" si="11"/>
        <v>24</v>
      </c>
      <c r="N82" s="212">
        <f t="shared" si="12"/>
        <v>16</v>
      </c>
      <c r="O82" s="212">
        <f t="shared" si="13"/>
        <v>48</v>
      </c>
      <c r="P82" s="212">
        <f t="shared" si="14"/>
        <v>60</v>
      </c>
      <c r="Q82" s="212">
        <f t="shared" si="15"/>
        <v>8</v>
      </c>
      <c r="R82" s="212">
        <f t="shared" si="16"/>
        <v>132</v>
      </c>
      <c r="S82" s="229" t="s">
        <v>964</v>
      </c>
      <c r="T82" s="214" t="s">
        <v>987</v>
      </c>
      <c r="U82" s="213">
        <v>6</v>
      </c>
      <c r="V82" s="213">
        <v>7</v>
      </c>
      <c r="W82" s="213">
        <v>7</v>
      </c>
      <c r="X82" s="215">
        <v>43889</v>
      </c>
      <c r="Y82" s="216">
        <v>43917</v>
      </c>
      <c r="Z82" s="205">
        <v>44014</v>
      </c>
      <c r="AA82" s="273">
        <f t="shared" si="17"/>
        <v>2020</v>
      </c>
      <c r="AB82" s="273">
        <f t="shared" si="18"/>
        <v>7</v>
      </c>
      <c r="AC82" s="217" t="s">
        <v>1250</v>
      </c>
      <c r="AD82" s="217" t="s">
        <v>422</v>
      </c>
      <c r="AE82" s="217" t="s">
        <v>422</v>
      </c>
      <c r="AF82" s="217" t="s">
        <v>422</v>
      </c>
      <c r="AG82" s="217" t="s">
        <v>422</v>
      </c>
      <c r="AH82" s="217" t="s">
        <v>422</v>
      </c>
      <c r="AI82" s="217" t="s">
        <v>422</v>
      </c>
      <c r="AJ82" s="217" t="s">
        <v>423</v>
      </c>
      <c r="AK82" s="217" t="s">
        <v>423</v>
      </c>
      <c r="AL82" s="218" t="s">
        <v>698</v>
      </c>
      <c r="AM82" s="209"/>
      <c r="AN82" s="209"/>
    </row>
    <row r="83" spans="1:43" ht="15" x14ac:dyDescent="0.3">
      <c r="A83" s="185">
        <v>102</v>
      </c>
      <c r="B83" s="212" t="s">
        <v>960</v>
      </c>
      <c r="C83" s="212" t="s">
        <v>1616</v>
      </c>
      <c r="D83" s="201" t="s">
        <v>1848</v>
      </c>
      <c r="E83" s="212"/>
      <c r="F83" s="212"/>
      <c r="G83" s="212" t="s">
        <v>1953</v>
      </c>
      <c r="H83" s="212" t="s">
        <v>1010</v>
      </c>
      <c r="I83" s="212">
        <v>2</v>
      </c>
      <c r="J83" s="212">
        <v>19</v>
      </c>
      <c r="K83" s="357">
        <v>9</v>
      </c>
      <c r="L83" s="212">
        <v>1</v>
      </c>
      <c r="M83" s="212">
        <f t="shared" si="11"/>
        <v>31</v>
      </c>
      <c r="N83" s="212">
        <f t="shared" si="12"/>
        <v>16</v>
      </c>
      <c r="O83" s="212">
        <f t="shared" si="13"/>
        <v>76</v>
      </c>
      <c r="P83" s="212">
        <f t="shared" si="14"/>
        <v>60</v>
      </c>
      <c r="Q83" s="212">
        <f t="shared" si="15"/>
        <v>8</v>
      </c>
      <c r="R83" s="212">
        <f t="shared" si="16"/>
        <v>160</v>
      </c>
      <c r="S83" s="229" t="s">
        <v>965</v>
      </c>
      <c r="T83" s="214" t="s">
        <v>988</v>
      </c>
      <c r="U83" s="213">
        <v>6</v>
      </c>
      <c r="V83" s="213">
        <v>7</v>
      </c>
      <c r="W83" s="213">
        <v>7</v>
      </c>
      <c r="X83" s="215">
        <v>43889</v>
      </c>
      <c r="Y83" s="216">
        <v>43917</v>
      </c>
      <c r="Z83" s="205">
        <v>44014</v>
      </c>
      <c r="AA83" s="273">
        <f t="shared" si="17"/>
        <v>2020</v>
      </c>
      <c r="AB83" s="273">
        <f t="shared" si="18"/>
        <v>7</v>
      </c>
      <c r="AC83" s="217" t="s">
        <v>1250</v>
      </c>
      <c r="AD83" s="217" t="s">
        <v>422</v>
      </c>
      <c r="AE83" s="217" t="s">
        <v>422</v>
      </c>
      <c r="AF83" s="217" t="s">
        <v>422</v>
      </c>
      <c r="AG83" s="217" t="s">
        <v>422</v>
      </c>
      <c r="AH83" s="217" t="s">
        <v>422</v>
      </c>
      <c r="AI83" s="217" t="s">
        <v>422</v>
      </c>
      <c r="AJ83" s="217" t="s">
        <v>423</v>
      </c>
      <c r="AK83" s="217" t="s">
        <v>423</v>
      </c>
      <c r="AL83" s="218" t="s">
        <v>140</v>
      </c>
      <c r="AM83" s="209"/>
      <c r="AN83" s="209"/>
    </row>
    <row r="84" spans="1:43" ht="15" customHeight="1" x14ac:dyDescent="0.3">
      <c r="A84" s="185">
        <v>103</v>
      </c>
      <c r="B84" s="212" t="s">
        <v>961</v>
      </c>
      <c r="C84" s="212" t="s">
        <v>1616</v>
      </c>
      <c r="D84" s="201" t="s">
        <v>1848</v>
      </c>
      <c r="E84" s="212"/>
      <c r="F84" s="212" t="s">
        <v>1597</v>
      </c>
      <c r="G84" s="212" t="s">
        <v>1953</v>
      </c>
      <c r="H84" s="212"/>
      <c r="I84" s="212">
        <v>2</v>
      </c>
      <c r="J84" s="212">
        <v>5</v>
      </c>
      <c r="K84" s="357">
        <v>6</v>
      </c>
      <c r="L84" s="212">
        <v>1</v>
      </c>
      <c r="M84" s="212">
        <f t="shared" si="11"/>
        <v>14</v>
      </c>
      <c r="N84" s="212">
        <f t="shared" si="12"/>
        <v>16</v>
      </c>
      <c r="O84" s="212">
        <f t="shared" si="13"/>
        <v>20</v>
      </c>
      <c r="P84" s="212">
        <f t="shared" si="14"/>
        <v>40</v>
      </c>
      <c r="Q84" s="212">
        <f t="shared" si="15"/>
        <v>8</v>
      </c>
      <c r="R84" s="212">
        <f t="shared" si="16"/>
        <v>84</v>
      </c>
      <c r="S84" s="229" t="s">
        <v>966</v>
      </c>
      <c r="T84" s="214" t="s">
        <v>989</v>
      </c>
      <c r="U84" s="213">
        <v>6</v>
      </c>
      <c r="V84" s="213">
        <v>7</v>
      </c>
      <c r="W84" s="213">
        <v>7</v>
      </c>
      <c r="X84" s="215">
        <v>43889</v>
      </c>
      <c r="Y84" s="216">
        <v>43917</v>
      </c>
      <c r="Z84" s="205">
        <v>44014</v>
      </c>
      <c r="AA84" s="273">
        <f t="shared" si="17"/>
        <v>2020</v>
      </c>
      <c r="AB84" s="273">
        <f t="shared" si="18"/>
        <v>7</v>
      </c>
      <c r="AC84" s="217" t="s">
        <v>1250</v>
      </c>
      <c r="AD84" s="217" t="s">
        <v>422</v>
      </c>
      <c r="AE84" s="217" t="s">
        <v>422</v>
      </c>
      <c r="AF84" s="217" t="s">
        <v>422</v>
      </c>
      <c r="AG84" s="217" t="s">
        <v>422</v>
      </c>
      <c r="AH84" s="217" t="s">
        <v>422</v>
      </c>
      <c r="AI84" s="217" t="s">
        <v>422</v>
      </c>
      <c r="AJ84" s="217" t="s">
        <v>423</v>
      </c>
      <c r="AK84" s="217" t="s">
        <v>423</v>
      </c>
      <c r="AL84" s="218" t="s">
        <v>1009</v>
      </c>
      <c r="AM84" s="209"/>
      <c r="AN84" s="209"/>
    </row>
    <row r="85" spans="1:43" ht="15" customHeight="1" x14ac:dyDescent="0.3">
      <c r="A85" s="185">
        <v>104</v>
      </c>
      <c r="B85" s="212" t="s">
        <v>962</v>
      </c>
      <c r="C85" s="212" t="s">
        <v>1616</v>
      </c>
      <c r="D85" s="201" t="s">
        <v>1848</v>
      </c>
      <c r="E85" s="212"/>
      <c r="F85" s="212" t="s">
        <v>1597</v>
      </c>
      <c r="G85" s="212" t="s">
        <v>1941</v>
      </c>
      <c r="H85" s="212"/>
      <c r="I85" s="212">
        <v>2</v>
      </c>
      <c r="J85" s="212">
        <v>3</v>
      </c>
      <c r="K85" s="212">
        <v>4</v>
      </c>
      <c r="L85" s="212">
        <v>0.5</v>
      </c>
      <c r="M85" s="212">
        <f t="shared" si="11"/>
        <v>9.5</v>
      </c>
      <c r="N85" s="212">
        <f t="shared" si="12"/>
        <v>16</v>
      </c>
      <c r="O85" s="212">
        <f t="shared" si="13"/>
        <v>12</v>
      </c>
      <c r="P85" s="212">
        <f t="shared" si="14"/>
        <v>26.666666666666668</v>
      </c>
      <c r="Q85" s="212">
        <f t="shared" si="15"/>
        <v>4</v>
      </c>
      <c r="R85" s="212">
        <f t="shared" si="16"/>
        <v>58.666666666666671</v>
      </c>
      <c r="S85" s="229" t="s">
        <v>967</v>
      </c>
      <c r="T85" s="225" t="s">
        <v>990</v>
      </c>
      <c r="U85" s="213">
        <v>6</v>
      </c>
      <c r="V85" s="226">
        <v>7</v>
      </c>
      <c r="W85" s="226">
        <v>7</v>
      </c>
      <c r="X85" s="215">
        <v>43889</v>
      </c>
      <c r="Y85" s="216">
        <v>43917</v>
      </c>
      <c r="Z85" s="205">
        <v>44014</v>
      </c>
      <c r="AA85" s="273">
        <f t="shared" si="17"/>
        <v>2020</v>
      </c>
      <c r="AB85" s="273">
        <f t="shared" si="18"/>
        <v>7</v>
      </c>
      <c r="AC85" s="217" t="s">
        <v>1250</v>
      </c>
      <c r="AD85" s="217" t="s">
        <v>422</v>
      </c>
      <c r="AE85" s="217" t="s">
        <v>422</v>
      </c>
      <c r="AF85" s="217" t="s">
        <v>422</v>
      </c>
      <c r="AG85" s="217" t="s">
        <v>422</v>
      </c>
      <c r="AH85" s="217" t="s">
        <v>422</v>
      </c>
      <c r="AI85" s="217" t="s">
        <v>422</v>
      </c>
      <c r="AJ85" s="217" t="s">
        <v>423</v>
      </c>
      <c r="AK85" s="217" t="s">
        <v>423</v>
      </c>
      <c r="AL85" s="218" t="s">
        <v>1009</v>
      </c>
      <c r="AM85" s="209"/>
      <c r="AN85" s="209"/>
    </row>
    <row r="86" spans="1:43" ht="15" customHeight="1" x14ac:dyDescent="0.3">
      <c r="A86" s="185">
        <v>105</v>
      </c>
      <c r="B86" s="212" t="s">
        <v>977</v>
      </c>
      <c r="C86" s="212" t="s">
        <v>1616</v>
      </c>
      <c r="D86" s="201" t="s">
        <v>1848</v>
      </c>
      <c r="E86" s="212"/>
      <c r="F86" s="212" t="s">
        <v>1597</v>
      </c>
      <c r="G86" s="212" t="s">
        <v>1953</v>
      </c>
      <c r="H86" s="212"/>
      <c r="I86" s="212">
        <v>2</v>
      </c>
      <c r="J86" s="212">
        <v>3</v>
      </c>
      <c r="K86" s="357">
        <v>4</v>
      </c>
      <c r="L86" s="212">
        <v>0.5</v>
      </c>
      <c r="M86" s="212">
        <f t="shared" si="11"/>
        <v>9.5</v>
      </c>
      <c r="N86" s="212">
        <f t="shared" si="12"/>
        <v>16</v>
      </c>
      <c r="O86" s="212">
        <f t="shared" si="13"/>
        <v>12</v>
      </c>
      <c r="P86" s="212">
        <f t="shared" si="14"/>
        <v>26.666666666666668</v>
      </c>
      <c r="Q86" s="212">
        <f t="shared" si="15"/>
        <v>4</v>
      </c>
      <c r="R86" s="212">
        <f t="shared" si="16"/>
        <v>58.666666666666671</v>
      </c>
      <c r="S86" s="229" t="s">
        <v>968</v>
      </c>
      <c r="T86" s="225" t="s">
        <v>991</v>
      </c>
      <c r="U86" s="213">
        <v>7</v>
      </c>
      <c r="V86" s="226">
        <v>8</v>
      </c>
      <c r="W86" s="226">
        <v>8</v>
      </c>
      <c r="X86" s="215">
        <v>43889</v>
      </c>
      <c r="Y86" s="216">
        <v>43917</v>
      </c>
      <c r="Z86" s="205">
        <v>44014</v>
      </c>
      <c r="AA86" s="273">
        <f t="shared" si="17"/>
        <v>2020</v>
      </c>
      <c r="AB86" s="273">
        <f t="shared" si="18"/>
        <v>7</v>
      </c>
      <c r="AC86" s="217" t="s">
        <v>1250</v>
      </c>
      <c r="AD86" s="217" t="s">
        <v>422</v>
      </c>
      <c r="AE86" s="217" t="s">
        <v>422</v>
      </c>
      <c r="AF86" s="217" t="s">
        <v>422</v>
      </c>
      <c r="AG86" s="217" t="s">
        <v>422</v>
      </c>
      <c r="AH86" s="217" t="s">
        <v>422</v>
      </c>
      <c r="AI86" s="217" t="s">
        <v>422</v>
      </c>
      <c r="AJ86" s="217" t="s">
        <v>423</v>
      </c>
      <c r="AK86" s="217" t="s">
        <v>423</v>
      </c>
      <c r="AL86" s="218" t="s">
        <v>1009</v>
      </c>
      <c r="AM86" s="209"/>
      <c r="AN86" s="209"/>
    </row>
    <row r="87" spans="1:43" ht="15" customHeight="1" x14ac:dyDescent="0.3">
      <c r="A87" s="185">
        <v>106</v>
      </c>
      <c r="B87" s="212" t="s">
        <v>978</v>
      </c>
      <c r="C87" s="212" t="s">
        <v>1616</v>
      </c>
      <c r="D87" s="201" t="s">
        <v>1848</v>
      </c>
      <c r="E87" s="212"/>
      <c r="F87" s="212"/>
      <c r="G87" s="212" t="s">
        <v>1941</v>
      </c>
      <c r="H87" s="212" t="s">
        <v>1041</v>
      </c>
      <c r="I87" s="212">
        <v>2</v>
      </c>
      <c r="J87" s="212">
        <v>13</v>
      </c>
      <c r="K87" s="212">
        <v>9</v>
      </c>
      <c r="L87" s="212">
        <v>1</v>
      </c>
      <c r="M87" s="212">
        <f t="shared" si="11"/>
        <v>25</v>
      </c>
      <c r="N87" s="212">
        <f t="shared" si="12"/>
        <v>16</v>
      </c>
      <c r="O87" s="212">
        <f t="shared" si="13"/>
        <v>52</v>
      </c>
      <c r="P87" s="212">
        <f t="shared" si="14"/>
        <v>60</v>
      </c>
      <c r="Q87" s="212">
        <f t="shared" si="15"/>
        <v>8</v>
      </c>
      <c r="R87" s="212">
        <f t="shared" si="16"/>
        <v>136</v>
      </c>
      <c r="S87" s="229" t="s">
        <v>969</v>
      </c>
      <c r="T87" s="225" t="s">
        <v>992</v>
      </c>
      <c r="U87" s="213">
        <v>7</v>
      </c>
      <c r="V87" s="226">
        <v>9</v>
      </c>
      <c r="W87" s="226">
        <v>9</v>
      </c>
      <c r="X87" s="215">
        <v>43889</v>
      </c>
      <c r="Y87" s="216">
        <v>43917</v>
      </c>
      <c r="Z87" s="205">
        <v>44014</v>
      </c>
      <c r="AA87" s="273">
        <f t="shared" si="17"/>
        <v>2020</v>
      </c>
      <c r="AB87" s="273">
        <f t="shared" si="18"/>
        <v>7</v>
      </c>
      <c r="AC87" s="217" t="s">
        <v>1250</v>
      </c>
      <c r="AD87" s="217" t="s">
        <v>422</v>
      </c>
      <c r="AE87" s="217" t="s">
        <v>422</v>
      </c>
      <c r="AF87" s="217" t="s">
        <v>422</v>
      </c>
      <c r="AG87" s="217" t="s">
        <v>422</v>
      </c>
      <c r="AH87" s="217" t="s">
        <v>422</v>
      </c>
      <c r="AI87" s="217" t="s">
        <v>422</v>
      </c>
      <c r="AJ87" s="217" t="s">
        <v>423</v>
      </c>
      <c r="AK87" s="217" t="s">
        <v>423</v>
      </c>
      <c r="AL87" s="218" t="s">
        <v>698</v>
      </c>
      <c r="AM87" s="209"/>
      <c r="AN87" s="209"/>
    </row>
    <row r="88" spans="1:43" ht="15" customHeight="1" x14ac:dyDescent="0.3">
      <c r="A88" s="185">
        <v>107</v>
      </c>
      <c r="B88" s="212" t="s">
        <v>979</v>
      </c>
      <c r="C88" s="212" t="s">
        <v>1616</v>
      </c>
      <c r="D88" s="201" t="s">
        <v>1848</v>
      </c>
      <c r="E88" s="212"/>
      <c r="F88" s="212" t="s">
        <v>1597</v>
      </c>
      <c r="G88" s="212" t="s">
        <v>1953</v>
      </c>
      <c r="H88" s="212"/>
      <c r="I88" s="212">
        <v>2</v>
      </c>
      <c r="J88" s="212">
        <v>10</v>
      </c>
      <c r="K88" s="357">
        <v>9</v>
      </c>
      <c r="L88" s="212">
        <v>1</v>
      </c>
      <c r="M88" s="212">
        <f t="shared" si="11"/>
        <v>22</v>
      </c>
      <c r="N88" s="212">
        <f t="shared" si="12"/>
        <v>16</v>
      </c>
      <c r="O88" s="212">
        <f t="shared" si="13"/>
        <v>40</v>
      </c>
      <c r="P88" s="212">
        <f t="shared" si="14"/>
        <v>60</v>
      </c>
      <c r="Q88" s="212">
        <f t="shared" si="15"/>
        <v>8</v>
      </c>
      <c r="R88" s="212">
        <f t="shared" si="16"/>
        <v>124</v>
      </c>
      <c r="S88" s="229" t="s">
        <v>970</v>
      </c>
      <c r="T88" s="225" t="s">
        <v>986</v>
      </c>
      <c r="U88" s="213">
        <v>7</v>
      </c>
      <c r="V88" s="226">
        <v>8</v>
      </c>
      <c r="W88" s="226">
        <v>8</v>
      </c>
      <c r="X88" s="215">
        <v>43889</v>
      </c>
      <c r="Y88" s="216">
        <v>43917</v>
      </c>
      <c r="Z88" s="205">
        <v>44014</v>
      </c>
      <c r="AA88" s="273">
        <f t="shared" si="17"/>
        <v>2020</v>
      </c>
      <c r="AB88" s="273">
        <f t="shared" si="18"/>
        <v>7</v>
      </c>
      <c r="AC88" s="217" t="s">
        <v>1250</v>
      </c>
      <c r="AD88" s="217" t="s">
        <v>422</v>
      </c>
      <c r="AE88" s="217" t="s">
        <v>422</v>
      </c>
      <c r="AF88" s="217" t="s">
        <v>422</v>
      </c>
      <c r="AG88" s="217" t="s">
        <v>422</v>
      </c>
      <c r="AH88" s="217" t="s">
        <v>422</v>
      </c>
      <c r="AI88" s="217" t="s">
        <v>422</v>
      </c>
      <c r="AJ88" s="217" t="s">
        <v>423</v>
      </c>
      <c r="AK88" s="217" t="s">
        <v>423</v>
      </c>
      <c r="AL88" s="218" t="s">
        <v>1009</v>
      </c>
      <c r="AM88" s="209"/>
      <c r="AN88" s="209"/>
    </row>
    <row r="89" spans="1:43" ht="15" customHeight="1" x14ac:dyDescent="0.3">
      <c r="A89" s="185">
        <v>108</v>
      </c>
      <c r="B89" s="212" t="s">
        <v>980</v>
      </c>
      <c r="C89" s="212" t="s">
        <v>1616</v>
      </c>
      <c r="D89" s="201" t="s">
        <v>1848</v>
      </c>
      <c r="E89" s="212"/>
      <c r="F89" s="212" t="s">
        <v>1597</v>
      </c>
      <c r="G89" s="212" t="s">
        <v>1953</v>
      </c>
      <c r="H89" s="212"/>
      <c r="I89" s="212">
        <v>2</v>
      </c>
      <c r="J89" s="212">
        <v>10</v>
      </c>
      <c r="K89" s="357">
        <v>9</v>
      </c>
      <c r="L89" s="212">
        <v>1</v>
      </c>
      <c r="M89" s="212">
        <f t="shared" si="11"/>
        <v>22</v>
      </c>
      <c r="N89" s="212">
        <f t="shared" si="12"/>
        <v>16</v>
      </c>
      <c r="O89" s="212">
        <f t="shared" si="13"/>
        <v>40</v>
      </c>
      <c r="P89" s="212">
        <f t="shared" si="14"/>
        <v>60</v>
      </c>
      <c r="Q89" s="212">
        <f t="shared" si="15"/>
        <v>8</v>
      </c>
      <c r="R89" s="212">
        <f t="shared" si="16"/>
        <v>124</v>
      </c>
      <c r="S89" s="229" t="s">
        <v>971</v>
      </c>
      <c r="T89" s="225" t="s">
        <v>994</v>
      </c>
      <c r="U89" s="213">
        <v>6</v>
      </c>
      <c r="V89" s="226">
        <v>7</v>
      </c>
      <c r="W89" s="226">
        <v>7</v>
      </c>
      <c r="X89" s="215">
        <v>43889</v>
      </c>
      <c r="Y89" s="216">
        <v>43917</v>
      </c>
      <c r="Z89" s="205">
        <v>44014</v>
      </c>
      <c r="AA89" s="273">
        <f t="shared" si="17"/>
        <v>2020</v>
      </c>
      <c r="AB89" s="273">
        <f t="shared" si="18"/>
        <v>7</v>
      </c>
      <c r="AC89" s="217" t="s">
        <v>1250</v>
      </c>
      <c r="AD89" s="217" t="s">
        <v>422</v>
      </c>
      <c r="AE89" s="217" t="s">
        <v>422</v>
      </c>
      <c r="AF89" s="217" t="s">
        <v>422</v>
      </c>
      <c r="AG89" s="217" t="s">
        <v>422</v>
      </c>
      <c r="AH89" s="217" t="s">
        <v>422</v>
      </c>
      <c r="AI89" s="217" t="s">
        <v>422</v>
      </c>
      <c r="AJ89" s="217" t="s">
        <v>423</v>
      </c>
      <c r="AK89" s="217" t="s">
        <v>423</v>
      </c>
      <c r="AL89" s="218" t="s">
        <v>1009</v>
      </c>
      <c r="AM89" s="209"/>
      <c r="AN89" s="209"/>
    </row>
    <row r="90" spans="1:43" ht="15" customHeight="1" x14ac:dyDescent="0.3">
      <c r="A90" s="185">
        <v>109</v>
      </c>
      <c r="B90" s="212" t="s">
        <v>981</v>
      </c>
      <c r="C90" s="212" t="s">
        <v>1616</v>
      </c>
      <c r="D90" s="335" t="s">
        <v>1848</v>
      </c>
      <c r="E90" s="212"/>
      <c r="F90" s="212" t="s">
        <v>1597</v>
      </c>
      <c r="G90" s="212" t="s">
        <v>1953</v>
      </c>
      <c r="H90" s="212"/>
      <c r="I90" s="212">
        <v>2</v>
      </c>
      <c r="J90" s="212">
        <v>10</v>
      </c>
      <c r="K90" s="357">
        <v>9</v>
      </c>
      <c r="L90" s="212">
        <v>1</v>
      </c>
      <c r="M90" s="212">
        <f t="shared" si="11"/>
        <v>22</v>
      </c>
      <c r="N90" s="212">
        <f t="shared" si="12"/>
        <v>16</v>
      </c>
      <c r="O90" s="212">
        <f t="shared" si="13"/>
        <v>40</v>
      </c>
      <c r="P90" s="212">
        <f t="shared" si="14"/>
        <v>60</v>
      </c>
      <c r="Q90" s="212">
        <f t="shared" si="15"/>
        <v>8</v>
      </c>
      <c r="R90" s="212">
        <f t="shared" si="16"/>
        <v>124</v>
      </c>
      <c r="S90" s="229" t="s">
        <v>972</v>
      </c>
      <c r="T90" s="225" t="s">
        <v>987</v>
      </c>
      <c r="U90" s="213">
        <v>7</v>
      </c>
      <c r="V90" s="226">
        <v>7</v>
      </c>
      <c r="W90" s="226">
        <v>7</v>
      </c>
      <c r="X90" s="215">
        <v>43889</v>
      </c>
      <c r="Y90" s="216">
        <v>43917</v>
      </c>
      <c r="Z90" s="205">
        <v>44014</v>
      </c>
      <c r="AA90" s="273">
        <f t="shared" si="17"/>
        <v>2020</v>
      </c>
      <c r="AB90" s="273">
        <f t="shared" si="18"/>
        <v>7</v>
      </c>
      <c r="AC90" s="217" t="s">
        <v>1250</v>
      </c>
      <c r="AD90" s="217" t="s">
        <v>422</v>
      </c>
      <c r="AE90" s="217" t="s">
        <v>422</v>
      </c>
      <c r="AF90" s="217" t="s">
        <v>422</v>
      </c>
      <c r="AG90" s="217" t="s">
        <v>422</v>
      </c>
      <c r="AH90" s="217" t="s">
        <v>422</v>
      </c>
      <c r="AI90" s="217" t="s">
        <v>422</v>
      </c>
      <c r="AJ90" s="217" t="s">
        <v>423</v>
      </c>
      <c r="AK90" s="217" t="s">
        <v>423</v>
      </c>
      <c r="AL90" s="218" t="s">
        <v>1009</v>
      </c>
      <c r="AM90" s="209"/>
      <c r="AN90" s="209"/>
    </row>
    <row r="91" spans="1:43" ht="15" customHeight="1" x14ac:dyDescent="0.3">
      <c r="A91" s="185">
        <v>110</v>
      </c>
      <c r="B91" s="212" t="s">
        <v>982</v>
      </c>
      <c r="C91" s="212" t="s">
        <v>1616</v>
      </c>
      <c r="D91" s="335" t="s">
        <v>1848</v>
      </c>
      <c r="E91" s="212"/>
      <c r="F91" s="212" t="s">
        <v>1597</v>
      </c>
      <c r="G91" s="212" t="s">
        <v>1953</v>
      </c>
      <c r="H91" s="212"/>
      <c r="I91" s="212">
        <v>2</v>
      </c>
      <c r="J91" s="212">
        <v>5</v>
      </c>
      <c r="K91" s="357">
        <v>6</v>
      </c>
      <c r="L91" s="212">
        <v>1</v>
      </c>
      <c r="M91" s="212">
        <f t="shared" si="11"/>
        <v>14</v>
      </c>
      <c r="N91" s="212">
        <f t="shared" si="12"/>
        <v>16</v>
      </c>
      <c r="O91" s="212">
        <f t="shared" si="13"/>
        <v>20</v>
      </c>
      <c r="P91" s="212">
        <f t="shared" si="14"/>
        <v>40</v>
      </c>
      <c r="Q91" s="212">
        <f t="shared" si="15"/>
        <v>8</v>
      </c>
      <c r="R91" s="212">
        <f t="shared" si="16"/>
        <v>84</v>
      </c>
      <c r="S91" s="229" t="s">
        <v>973</v>
      </c>
      <c r="T91" s="225" t="s">
        <v>849</v>
      </c>
      <c r="U91" s="213">
        <v>6</v>
      </c>
      <c r="V91" s="226">
        <v>7</v>
      </c>
      <c r="W91" s="226">
        <v>7</v>
      </c>
      <c r="X91" s="215">
        <v>43889</v>
      </c>
      <c r="Y91" s="216">
        <v>43917</v>
      </c>
      <c r="Z91" s="205">
        <v>44014</v>
      </c>
      <c r="AA91" s="273">
        <f t="shared" si="17"/>
        <v>2020</v>
      </c>
      <c r="AB91" s="273">
        <f t="shared" si="18"/>
        <v>7</v>
      </c>
      <c r="AC91" s="217" t="s">
        <v>1250</v>
      </c>
      <c r="AD91" s="217" t="s">
        <v>422</v>
      </c>
      <c r="AE91" s="217" t="s">
        <v>422</v>
      </c>
      <c r="AF91" s="217" t="s">
        <v>422</v>
      </c>
      <c r="AG91" s="217" t="s">
        <v>422</v>
      </c>
      <c r="AH91" s="217" t="s">
        <v>422</v>
      </c>
      <c r="AI91" s="217" t="s">
        <v>422</v>
      </c>
      <c r="AJ91" s="217" t="s">
        <v>423</v>
      </c>
      <c r="AK91" s="217" t="s">
        <v>423</v>
      </c>
      <c r="AL91" s="218" t="s">
        <v>1009</v>
      </c>
      <c r="AM91" s="209"/>
      <c r="AN91" s="209"/>
    </row>
    <row r="92" spans="1:43" ht="15" customHeight="1" x14ac:dyDescent="0.3">
      <c r="A92" s="185">
        <v>111</v>
      </c>
      <c r="B92" s="212" t="s">
        <v>983</v>
      </c>
      <c r="C92" s="212" t="s">
        <v>1616</v>
      </c>
      <c r="D92" s="335" t="s">
        <v>1848</v>
      </c>
      <c r="E92" s="212"/>
      <c r="F92" s="212" t="s">
        <v>1597</v>
      </c>
      <c r="G92" s="212" t="s">
        <v>1953</v>
      </c>
      <c r="H92" s="212"/>
      <c r="I92" s="212">
        <v>2</v>
      </c>
      <c r="J92" s="212">
        <v>3</v>
      </c>
      <c r="K92" s="357">
        <v>4</v>
      </c>
      <c r="L92" s="212">
        <v>0.5</v>
      </c>
      <c r="M92" s="212">
        <f t="shared" si="11"/>
        <v>9.5</v>
      </c>
      <c r="N92" s="212">
        <f t="shared" si="12"/>
        <v>16</v>
      </c>
      <c r="O92" s="212">
        <f t="shared" si="13"/>
        <v>12</v>
      </c>
      <c r="P92" s="212">
        <f t="shared" si="14"/>
        <v>26.666666666666668</v>
      </c>
      <c r="Q92" s="212">
        <f t="shared" si="15"/>
        <v>4</v>
      </c>
      <c r="R92" s="212">
        <f t="shared" si="16"/>
        <v>58.666666666666671</v>
      </c>
      <c r="S92" s="229" t="s">
        <v>974</v>
      </c>
      <c r="T92" s="225" t="s">
        <v>844</v>
      </c>
      <c r="U92" s="213">
        <v>6</v>
      </c>
      <c r="V92" s="226">
        <v>7</v>
      </c>
      <c r="W92" s="226">
        <v>7</v>
      </c>
      <c r="X92" s="215">
        <v>43889</v>
      </c>
      <c r="Y92" s="216">
        <v>43917</v>
      </c>
      <c r="Z92" s="205">
        <v>44014</v>
      </c>
      <c r="AA92" s="273">
        <f t="shared" si="17"/>
        <v>2020</v>
      </c>
      <c r="AB92" s="273">
        <f t="shared" si="18"/>
        <v>7</v>
      </c>
      <c r="AC92" s="217" t="s">
        <v>1250</v>
      </c>
      <c r="AD92" s="217" t="s">
        <v>422</v>
      </c>
      <c r="AE92" s="217" t="s">
        <v>422</v>
      </c>
      <c r="AF92" s="217" t="s">
        <v>422</v>
      </c>
      <c r="AG92" s="217" t="s">
        <v>422</v>
      </c>
      <c r="AH92" s="217" t="s">
        <v>422</v>
      </c>
      <c r="AI92" s="217" t="s">
        <v>422</v>
      </c>
      <c r="AJ92" s="217" t="s">
        <v>423</v>
      </c>
      <c r="AK92" s="217" t="s">
        <v>423</v>
      </c>
      <c r="AL92" s="218" t="s">
        <v>1009</v>
      </c>
      <c r="AM92" s="209"/>
      <c r="AN92" s="209"/>
    </row>
    <row r="93" spans="1:43" ht="15" customHeight="1" x14ac:dyDescent="0.3">
      <c r="A93" s="185">
        <v>112</v>
      </c>
      <c r="B93" s="212" t="s">
        <v>984</v>
      </c>
      <c r="C93" s="212" t="s">
        <v>1616</v>
      </c>
      <c r="D93" s="335" t="s">
        <v>1848</v>
      </c>
      <c r="E93" s="212"/>
      <c r="F93" s="212" t="s">
        <v>1597</v>
      </c>
      <c r="G93" s="212" t="s">
        <v>1953</v>
      </c>
      <c r="H93" s="212"/>
      <c r="I93" s="212">
        <v>2</v>
      </c>
      <c r="J93" s="212">
        <v>3</v>
      </c>
      <c r="K93" s="357">
        <v>4</v>
      </c>
      <c r="L93" s="212">
        <v>0.5</v>
      </c>
      <c r="M93" s="212">
        <f t="shared" si="11"/>
        <v>9.5</v>
      </c>
      <c r="N93" s="212">
        <f t="shared" si="12"/>
        <v>16</v>
      </c>
      <c r="O93" s="212">
        <f t="shared" si="13"/>
        <v>12</v>
      </c>
      <c r="P93" s="212">
        <f t="shared" si="14"/>
        <v>26.666666666666668</v>
      </c>
      <c r="Q93" s="212">
        <f t="shared" si="15"/>
        <v>4</v>
      </c>
      <c r="R93" s="212">
        <f t="shared" si="16"/>
        <v>58.666666666666671</v>
      </c>
      <c r="S93" s="229" t="s">
        <v>975</v>
      </c>
      <c r="T93" s="225" t="s">
        <v>846</v>
      </c>
      <c r="U93" s="213">
        <v>7</v>
      </c>
      <c r="V93" s="226">
        <v>8</v>
      </c>
      <c r="W93" s="226">
        <v>8</v>
      </c>
      <c r="X93" s="215">
        <v>43889</v>
      </c>
      <c r="Y93" s="216">
        <v>43917</v>
      </c>
      <c r="Z93" s="205">
        <v>44014</v>
      </c>
      <c r="AA93" s="273">
        <f t="shared" si="17"/>
        <v>2020</v>
      </c>
      <c r="AB93" s="273">
        <f t="shared" si="18"/>
        <v>7</v>
      </c>
      <c r="AC93" s="217" t="s">
        <v>1250</v>
      </c>
      <c r="AD93" s="217" t="s">
        <v>422</v>
      </c>
      <c r="AE93" s="217" t="s">
        <v>422</v>
      </c>
      <c r="AF93" s="217" t="s">
        <v>422</v>
      </c>
      <c r="AG93" s="217" t="s">
        <v>422</v>
      </c>
      <c r="AH93" s="217" t="s">
        <v>422</v>
      </c>
      <c r="AI93" s="217" t="s">
        <v>422</v>
      </c>
      <c r="AJ93" s="217" t="s">
        <v>423</v>
      </c>
      <c r="AK93" s="217" t="s">
        <v>423</v>
      </c>
      <c r="AL93" s="218" t="s">
        <v>1009</v>
      </c>
      <c r="AM93" s="209"/>
      <c r="AN93" s="209"/>
    </row>
    <row r="94" spans="1:43" ht="15" customHeight="1" x14ac:dyDescent="0.3">
      <c r="A94" s="185">
        <v>113</v>
      </c>
      <c r="B94" s="212" t="s">
        <v>985</v>
      </c>
      <c r="C94" s="212" t="s">
        <v>1616</v>
      </c>
      <c r="D94" s="335" t="s">
        <v>1848</v>
      </c>
      <c r="E94" s="212"/>
      <c r="F94" s="212" t="s">
        <v>1597</v>
      </c>
      <c r="G94" s="212" t="s">
        <v>1941</v>
      </c>
      <c r="H94" s="212"/>
      <c r="I94" s="212">
        <v>2</v>
      </c>
      <c r="J94" s="212">
        <v>5</v>
      </c>
      <c r="K94" s="212">
        <v>5</v>
      </c>
      <c r="L94" s="212">
        <v>0.8</v>
      </c>
      <c r="M94" s="212">
        <f t="shared" si="11"/>
        <v>12.8</v>
      </c>
      <c r="N94" s="212">
        <f t="shared" si="12"/>
        <v>16</v>
      </c>
      <c r="O94" s="212">
        <f t="shared" si="13"/>
        <v>20</v>
      </c>
      <c r="P94" s="212">
        <f t="shared" si="14"/>
        <v>33.333333333333336</v>
      </c>
      <c r="Q94" s="212">
        <f t="shared" si="15"/>
        <v>6.4</v>
      </c>
      <c r="R94" s="212">
        <f t="shared" si="16"/>
        <v>75.733333333333348</v>
      </c>
      <c r="S94" s="229" t="s">
        <v>976</v>
      </c>
      <c r="T94" s="214" t="s">
        <v>995</v>
      </c>
      <c r="U94" s="213">
        <v>6</v>
      </c>
      <c r="V94" s="213">
        <v>7</v>
      </c>
      <c r="W94" s="213">
        <v>7</v>
      </c>
      <c r="X94" s="215">
        <v>43889</v>
      </c>
      <c r="Y94" s="216">
        <v>43917</v>
      </c>
      <c r="Z94" s="205">
        <v>44014</v>
      </c>
      <c r="AA94" s="273">
        <f t="shared" si="17"/>
        <v>2020</v>
      </c>
      <c r="AB94" s="273">
        <f t="shared" si="18"/>
        <v>7</v>
      </c>
      <c r="AC94" s="217" t="s">
        <v>1250</v>
      </c>
      <c r="AD94" s="217" t="s">
        <v>422</v>
      </c>
      <c r="AE94" s="217" t="s">
        <v>422</v>
      </c>
      <c r="AF94" s="217" t="s">
        <v>422</v>
      </c>
      <c r="AG94" s="217" t="s">
        <v>422</v>
      </c>
      <c r="AH94" s="217" t="s">
        <v>422</v>
      </c>
      <c r="AI94" s="217" t="s">
        <v>422</v>
      </c>
      <c r="AJ94" s="217" t="s">
        <v>423</v>
      </c>
      <c r="AK94" s="217" t="s">
        <v>423</v>
      </c>
      <c r="AL94" s="218" t="s">
        <v>1009</v>
      </c>
      <c r="AM94" s="209"/>
      <c r="AN94" s="209"/>
    </row>
    <row r="95" spans="1:43" ht="15" customHeight="1" x14ac:dyDescent="0.3">
      <c r="A95" s="185">
        <v>115</v>
      </c>
      <c r="B95" s="212" t="s">
        <v>1022</v>
      </c>
      <c r="C95" s="212" t="s">
        <v>1621</v>
      </c>
      <c r="D95" s="201" t="s">
        <v>1881</v>
      </c>
      <c r="E95" s="212"/>
      <c r="F95" s="212"/>
      <c r="G95" s="368" t="s">
        <v>1604</v>
      </c>
      <c r="H95" s="212" t="s">
        <v>1944</v>
      </c>
      <c r="I95" s="212">
        <v>2</v>
      </c>
      <c r="J95" s="349">
        <f>4.5+2</f>
        <v>6.5</v>
      </c>
      <c r="K95" s="212">
        <v>0</v>
      </c>
      <c r="L95" s="212">
        <v>1</v>
      </c>
      <c r="M95" s="212">
        <f t="shared" si="11"/>
        <v>9.5</v>
      </c>
      <c r="N95" s="212">
        <f t="shared" si="12"/>
        <v>16</v>
      </c>
      <c r="O95" s="212">
        <f t="shared" si="13"/>
        <v>26</v>
      </c>
      <c r="P95" s="212">
        <f t="shared" si="14"/>
        <v>0</v>
      </c>
      <c r="Q95" s="212">
        <f t="shared" si="15"/>
        <v>8</v>
      </c>
      <c r="R95" s="212">
        <f t="shared" si="16"/>
        <v>50</v>
      </c>
      <c r="S95" s="229" t="s">
        <v>1035</v>
      </c>
      <c r="T95" s="214" t="s">
        <v>1036</v>
      </c>
      <c r="U95" s="213">
        <v>128</v>
      </c>
      <c r="V95" s="213">
        <v>128</v>
      </c>
      <c r="W95" s="213">
        <v>128</v>
      </c>
      <c r="X95" s="215">
        <v>43983</v>
      </c>
      <c r="Y95" s="216">
        <v>44027</v>
      </c>
      <c r="Z95" s="205">
        <v>44042</v>
      </c>
      <c r="AA95" s="273">
        <f t="shared" si="17"/>
        <v>2020</v>
      </c>
      <c r="AB95" s="273">
        <f t="shared" si="18"/>
        <v>7</v>
      </c>
      <c r="AC95" s="217" t="s">
        <v>920</v>
      </c>
      <c r="AD95" s="217" t="s">
        <v>422</v>
      </c>
      <c r="AE95" s="217" t="s">
        <v>422</v>
      </c>
      <c r="AF95" s="217" t="s">
        <v>422</v>
      </c>
      <c r="AG95" s="217" t="s">
        <v>422</v>
      </c>
      <c r="AH95" s="217" t="s">
        <v>422</v>
      </c>
      <c r="AI95" s="217" t="s">
        <v>423</v>
      </c>
      <c r="AJ95" s="217" t="s">
        <v>423</v>
      </c>
      <c r="AK95" s="217" t="s">
        <v>423</v>
      </c>
      <c r="AL95" s="218" t="s">
        <v>138</v>
      </c>
      <c r="AM95" s="218"/>
      <c r="AN95" s="218"/>
    </row>
    <row r="96" spans="1:43" ht="15" customHeight="1" x14ac:dyDescent="0.3">
      <c r="A96" s="185">
        <v>116</v>
      </c>
      <c r="B96" s="212" t="s">
        <v>1023</v>
      </c>
      <c r="C96" s="212" t="s">
        <v>1621</v>
      </c>
      <c r="D96" s="201" t="s">
        <v>1881</v>
      </c>
      <c r="E96" s="212"/>
      <c r="F96" s="212" t="s">
        <v>1597</v>
      </c>
      <c r="G96" s="368" t="s">
        <v>1604</v>
      </c>
      <c r="H96" s="212"/>
      <c r="I96" s="212">
        <v>2</v>
      </c>
      <c r="J96" s="349">
        <f t="shared" ref="J96:J98" si="19">4.5+2</f>
        <v>6.5</v>
      </c>
      <c r="K96" s="212">
        <v>0</v>
      </c>
      <c r="L96" s="212">
        <v>1</v>
      </c>
      <c r="M96" s="212">
        <f t="shared" si="11"/>
        <v>9.5</v>
      </c>
      <c r="N96" s="212">
        <f t="shared" si="12"/>
        <v>16</v>
      </c>
      <c r="O96" s="212">
        <f t="shared" si="13"/>
        <v>26</v>
      </c>
      <c r="P96" s="212">
        <f t="shared" si="14"/>
        <v>0</v>
      </c>
      <c r="Q96" s="212">
        <f t="shared" si="15"/>
        <v>8</v>
      </c>
      <c r="R96" s="212">
        <f t="shared" si="16"/>
        <v>50</v>
      </c>
      <c r="S96" s="229" t="s">
        <v>1035</v>
      </c>
      <c r="T96" s="214" t="s">
        <v>1037</v>
      </c>
      <c r="U96" s="213">
        <v>128</v>
      </c>
      <c r="V96" s="213">
        <v>132</v>
      </c>
      <c r="W96" s="213">
        <v>132</v>
      </c>
      <c r="X96" s="215">
        <v>43983</v>
      </c>
      <c r="Y96" s="216">
        <v>44027</v>
      </c>
      <c r="Z96" s="205">
        <v>44042</v>
      </c>
      <c r="AA96" s="273">
        <f t="shared" si="17"/>
        <v>2020</v>
      </c>
      <c r="AB96" s="273">
        <f t="shared" si="18"/>
        <v>7</v>
      </c>
      <c r="AC96" s="217" t="s">
        <v>920</v>
      </c>
      <c r="AD96" s="217" t="s">
        <v>422</v>
      </c>
      <c r="AE96" s="217" t="s">
        <v>422</v>
      </c>
      <c r="AF96" s="217" t="s">
        <v>422</v>
      </c>
      <c r="AG96" s="217" t="s">
        <v>422</v>
      </c>
      <c r="AH96" s="217" t="s">
        <v>422</v>
      </c>
      <c r="AI96" s="217" t="s">
        <v>423</v>
      </c>
      <c r="AJ96" s="217" t="s">
        <v>423</v>
      </c>
      <c r="AK96" s="217" t="s">
        <v>423</v>
      </c>
      <c r="AL96" s="218" t="s">
        <v>108</v>
      </c>
      <c r="AM96" s="218"/>
      <c r="AN96" s="218"/>
      <c r="AO96" s="188"/>
      <c r="AP96" s="188"/>
      <c r="AQ96" s="188"/>
    </row>
    <row r="97" spans="1:43" ht="15" customHeight="1" x14ac:dyDescent="0.3">
      <c r="A97" s="185">
        <v>117</v>
      </c>
      <c r="B97" s="212" t="s">
        <v>1024</v>
      </c>
      <c r="C97" s="212" t="s">
        <v>1621</v>
      </c>
      <c r="D97" s="201" t="s">
        <v>1881</v>
      </c>
      <c r="E97" s="212"/>
      <c r="F97" s="212" t="s">
        <v>1597</v>
      </c>
      <c r="G97" s="368" t="s">
        <v>1604</v>
      </c>
      <c r="H97" s="212"/>
      <c r="I97" s="212">
        <v>2</v>
      </c>
      <c r="J97" s="349">
        <f t="shared" si="19"/>
        <v>6.5</v>
      </c>
      <c r="K97" s="212">
        <v>0</v>
      </c>
      <c r="L97" s="212">
        <v>1.5</v>
      </c>
      <c r="M97" s="212">
        <f t="shared" si="11"/>
        <v>10</v>
      </c>
      <c r="N97" s="212">
        <f t="shared" si="12"/>
        <v>16</v>
      </c>
      <c r="O97" s="212">
        <f t="shared" si="13"/>
        <v>26</v>
      </c>
      <c r="P97" s="212">
        <f t="shared" si="14"/>
        <v>0</v>
      </c>
      <c r="Q97" s="212">
        <f t="shared" si="15"/>
        <v>12</v>
      </c>
      <c r="R97" s="212">
        <f t="shared" si="16"/>
        <v>54</v>
      </c>
      <c r="S97" s="229" t="s">
        <v>1035</v>
      </c>
      <c r="T97" s="214" t="s">
        <v>1038</v>
      </c>
      <c r="U97" s="213">
        <v>9</v>
      </c>
      <c r="V97" s="213">
        <v>9</v>
      </c>
      <c r="W97" s="213">
        <v>9</v>
      </c>
      <c r="X97" s="215">
        <v>43983</v>
      </c>
      <c r="Y97" s="216">
        <v>44027</v>
      </c>
      <c r="Z97" s="205">
        <v>44042</v>
      </c>
      <c r="AA97" s="273">
        <f t="shared" si="17"/>
        <v>2020</v>
      </c>
      <c r="AB97" s="273">
        <f t="shared" si="18"/>
        <v>7</v>
      </c>
      <c r="AC97" s="217" t="s">
        <v>920</v>
      </c>
      <c r="AD97" s="217" t="s">
        <v>422</v>
      </c>
      <c r="AE97" s="217" t="s">
        <v>422</v>
      </c>
      <c r="AF97" s="217" t="s">
        <v>422</v>
      </c>
      <c r="AG97" s="217" t="s">
        <v>422</v>
      </c>
      <c r="AH97" s="217" t="s">
        <v>422</v>
      </c>
      <c r="AI97" s="217" t="s">
        <v>423</v>
      </c>
      <c r="AJ97" s="217" t="s">
        <v>423</v>
      </c>
      <c r="AK97" s="217" t="s">
        <v>423</v>
      </c>
      <c r="AL97" s="218" t="s">
        <v>108</v>
      </c>
      <c r="AM97" s="218"/>
      <c r="AN97" s="218"/>
      <c r="AO97" s="188"/>
      <c r="AP97" s="188"/>
      <c r="AQ97" s="188"/>
    </row>
    <row r="98" spans="1:43" ht="15" customHeight="1" x14ac:dyDescent="0.3">
      <c r="A98" s="185">
        <v>118</v>
      </c>
      <c r="B98" s="212" t="s">
        <v>1025</v>
      </c>
      <c r="C98" s="212" t="s">
        <v>1621</v>
      </c>
      <c r="D98" s="201" t="s">
        <v>1881</v>
      </c>
      <c r="E98" s="212"/>
      <c r="F98" s="212" t="s">
        <v>1597</v>
      </c>
      <c r="G98" s="368" t="s">
        <v>1604</v>
      </c>
      <c r="H98" s="212"/>
      <c r="I98" s="212">
        <v>2</v>
      </c>
      <c r="J98" s="349">
        <f t="shared" si="19"/>
        <v>6.5</v>
      </c>
      <c r="K98" s="212">
        <v>0</v>
      </c>
      <c r="L98" s="212">
        <v>1.5</v>
      </c>
      <c r="M98" s="212">
        <f t="shared" si="11"/>
        <v>10</v>
      </c>
      <c r="N98" s="212">
        <f t="shared" si="12"/>
        <v>16</v>
      </c>
      <c r="O98" s="212">
        <f t="shared" si="13"/>
        <v>26</v>
      </c>
      <c r="P98" s="212">
        <f t="shared" si="14"/>
        <v>0</v>
      </c>
      <c r="Q98" s="212">
        <f t="shared" si="15"/>
        <v>12</v>
      </c>
      <c r="R98" s="212">
        <f t="shared" si="16"/>
        <v>54</v>
      </c>
      <c r="S98" s="229" t="s">
        <v>1035</v>
      </c>
      <c r="T98" s="214" t="s">
        <v>1039</v>
      </c>
      <c r="U98" s="213">
        <v>6</v>
      </c>
      <c r="V98" s="213">
        <v>6</v>
      </c>
      <c r="W98" s="213">
        <v>6</v>
      </c>
      <c r="X98" s="215">
        <v>43983</v>
      </c>
      <c r="Y98" s="216">
        <v>44027</v>
      </c>
      <c r="Z98" s="205">
        <v>44042</v>
      </c>
      <c r="AA98" s="273">
        <f t="shared" si="17"/>
        <v>2020</v>
      </c>
      <c r="AB98" s="273">
        <f t="shared" si="18"/>
        <v>7</v>
      </c>
      <c r="AC98" s="217" t="s">
        <v>920</v>
      </c>
      <c r="AD98" s="217" t="s">
        <v>422</v>
      </c>
      <c r="AE98" s="217" t="s">
        <v>422</v>
      </c>
      <c r="AF98" s="217" t="s">
        <v>422</v>
      </c>
      <c r="AG98" s="217" t="s">
        <v>422</v>
      </c>
      <c r="AH98" s="217" t="s">
        <v>422</v>
      </c>
      <c r="AI98" s="217" t="s">
        <v>423</v>
      </c>
      <c r="AJ98" s="217" t="s">
        <v>423</v>
      </c>
      <c r="AK98" s="217" t="s">
        <v>423</v>
      </c>
      <c r="AL98" s="218" t="s">
        <v>108</v>
      </c>
      <c r="AM98" s="218"/>
      <c r="AN98" s="218"/>
      <c r="AO98" s="188"/>
      <c r="AP98" s="188"/>
      <c r="AQ98" s="188"/>
    </row>
    <row r="99" spans="1:43" ht="15" customHeight="1" x14ac:dyDescent="0.3">
      <c r="A99" s="185">
        <v>124</v>
      </c>
      <c r="B99" s="247" t="s">
        <v>1262</v>
      </c>
      <c r="C99" s="247" t="s">
        <v>1618</v>
      </c>
      <c r="D99" s="201" t="s">
        <v>1881</v>
      </c>
      <c r="E99" s="247"/>
      <c r="F99" s="247"/>
      <c r="G99" s="368" t="s">
        <v>1604</v>
      </c>
      <c r="H99" s="248" t="s">
        <v>1008</v>
      </c>
      <c r="I99" s="248">
        <v>2</v>
      </c>
      <c r="J99" s="248">
        <v>7.5</v>
      </c>
      <c r="K99" s="248">
        <v>0</v>
      </c>
      <c r="L99" s="212">
        <v>1.5</v>
      </c>
      <c r="M99" s="212">
        <f t="shared" si="11"/>
        <v>11</v>
      </c>
      <c r="N99" s="212">
        <f t="shared" si="12"/>
        <v>16</v>
      </c>
      <c r="O99" s="212">
        <f t="shared" si="13"/>
        <v>30</v>
      </c>
      <c r="P99" s="212">
        <f t="shared" si="14"/>
        <v>0</v>
      </c>
      <c r="Q99" s="212">
        <f t="shared" si="15"/>
        <v>12</v>
      </c>
      <c r="R99" s="212">
        <f t="shared" si="16"/>
        <v>58</v>
      </c>
      <c r="S99" s="369" t="s">
        <v>1043</v>
      </c>
      <c r="T99" s="275" t="s">
        <v>1044</v>
      </c>
      <c r="U99" s="280">
        <v>132</v>
      </c>
      <c r="V99" s="280">
        <v>132</v>
      </c>
      <c r="W99" s="280">
        <v>132</v>
      </c>
      <c r="X99" s="276">
        <v>44029</v>
      </c>
      <c r="Y99" s="277">
        <v>44039</v>
      </c>
      <c r="Z99" s="26">
        <v>44043</v>
      </c>
      <c r="AA99" s="273">
        <f t="shared" si="17"/>
        <v>2020</v>
      </c>
      <c r="AB99" s="273">
        <f t="shared" si="18"/>
        <v>7</v>
      </c>
      <c r="AC99" s="278" t="s">
        <v>920</v>
      </c>
      <c r="AD99" s="278" t="s">
        <v>422</v>
      </c>
      <c r="AE99" s="278" t="s">
        <v>422</v>
      </c>
      <c r="AF99" s="278" t="s">
        <v>422</v>
      </c>
      <c r="AG99" s="278" t="s">
        <v>422</v>
      </c>
      <c r="AH99" s="278" t="s">
        <v>422</v>
      </c>
      <c r="AI99" s="278" t="s">
        <v>423</v>
      </c>
      <c r="AJ99" s="278" t="s">
        <v>423</v>
      </c>
      <c r="AK99" s="278" t="s">
        <v>423</v>
      </c>
      <c r="AL99" s="279" t="s">
        <v>888</v>
      </c>
      <c r="AM99" s="244"/>
      <c r="AN99" s="244"/>
    </row>
    <row r="100" spans="1:43" ht="15" customHeight="1" x14ac:dyDescent="0.3">
      <c r="A100" s="185">
        <v>126</v>
      </c>
      <c r="B100" s="247" t="s">
        <v>1046</v>
      </c>
      <c r="C100" s="212" t="s">
        <v>108</v>
      </c>
      <c r="D100" s="199" t="s">
        <v>1849</v>
      </c>
      <c r="E100" s="247"/>
      <c r="F100" s="247" t="s">
        <v>1597</v>
      </c>
      <c r="G100" s="368" t="s">
        <v>1604</v>
      </c>
      <c r="H100" s="248"/>
      <c r="I100" s="248">
        <v>0.5</v>
      </c>
      <c r="J100" s="248">
        <v>2</v>
      </c>
      <c r="K100" s="248">
        <v>0</v>
      </c>
      <c r="L100" s="212">
        <v>0.3</v>
      </c>
      <c r="M100" s="212">
        <f t="shared" si="11"/>
        <v>2.8</v>
      </c>
      <c r="N100" s="212">
        <f t="shared" si="12"/>
        <v>4</v>
      </c>
      <c r="O100" s="212">
        <f t="shared" si="13"/>
        <v>8</v>
      </c>
      <c r="P100" s="212">
        <f t="shared" si="14"/>
        <v>0</v>
      </c>
      <c r="Q100" s="212">
        <f t="shared" si="15"/>
        <v>2.4</v>
      </c>
      <c r="R100" s="212">
        <f t="shared" si="16"/>
        <v>14.4</v>
      </c>
      <c r="S100" s="369" t="s">
        <v>1047</v>
      </c>
      <c r="T100" s="275" t="s">
        <v>1049</v>
      </c>
      <c r="U100" s="280">
        <v>40</v>
      </c>
      <c r="V100" s="280">
        <v>40</v>
      </c>
      <c r="W100" s="280">
        <v>40</v>
      </c>
      <c r="X100" s="276">
        <v>43981</v>
      </c>
      <c r="Y100" s="277">
        <v>44042</v>
      </c>
      <c r="Z100" s="26">
        <v>44042</v>
      </c>
      <c r="AA100" s="273">
        <f t="shared" si="17"/>
        <v>2020</v>
      </c>
      <c r="AB100" s="273">
        <f t="shared" si="18"/>
        <v>7</v>
      </c>
      <c r="AC100" s="278" t="s">
        <v>920</v>
      </c>
      <c r="AD100" s="278" t="s">
        <v>422</v>
      </c>
      <c r="AE100" s="278" t="s">
        <v>422</v>
      </c>
      <c r="AF100" s="278" t="s">
        <v>422</v>
      </c>
      <c r="AG100" s="278" t="s">
        <v>422</v>
      </c>
      <c r="AH100" s="278" t="s">
        <v>422</v>
      </c>
      <c r="AI100" s="278" t="s">
        <v>423</v>
      </c>
      <c r="AJ100" s="278" t="s">
        <v>423</v>
      </c>
      <c r="AK100" s="278" t="s">
        <v>423</v>
      </c>
      <c r="AL100" s="279" t="s">
        <v>108</v>
      </c>
      <c r="AM100" s="244"/>
      <c r="AN100" s="244"/>
    </row>
    <row r="101" spans="1:43" ht="15" customHeight="1" x14ac:dyDescent="0.3">
      <c r="A101" s="185">
        <v>51</v>
      </c>
      <c r="B101" s="212" t="s">
        <v>821</v>
      </c>
      <c r="C101" s="247" t="s">
        <v>1616</v>
      </c>
      <c r="D101" s="201" t="s">
        <v>1848</v>
      </c>
      <c r="E101" s="212"/>
      <c r="F101" s="212"/>
      <c r="G101" s="212" t="s">
        <v>1954</v>
      </c>
      <c r="H101" s="212" t="s">
        <v>1040</v>
      </c>
      <c r="I101" s="357">
        <v>1</v>
      </c>
      <c r="J101" s="212">
        <v>2.5</v>
      </c>
      <c r="K101" s="212">
        <f>3.5+3.8</f>
        <v>7.3</v>
      </c>
      <c r="L101" s="212">
        <v>0.5</v>
      </c>
      <c r="M101" s="212">
        <f t="shared" si="11"/>
        <v>11.3</v>
      </c>
      <c r="N101" s="212">
        <f t="shared" si="12"/>
        <v>8</v>
      </c>
      <c r="O101" s="212">
        <f t="shared" si="13"/>
        <v>10</v>
      </c>
      <c r="P101" s="212">
        <f t="shared" si="14"/>
        <v>48.666666666666664</v>
      </c>
      <c r="Q101" s="212">
        <f t="shared" si="15"/>
        <v>4</v>
      </c>
      <c r="R101" s="212">
        <f t="shared" si="16"/>
        <v>70.666666666666657</v>
      </c>
      <c r="S101" s="202" t="s">
        <v>845</v>
      </c>
      <c r="T101" s="211" t="s">
        <v>844</v>
      </c>
      <c r="U101" s="202">
        <v>24</v>
      </c>
      <c r="V101" s="202">
        <v>25</v>
      </c>
      <c r="W101" s="202">
        <v>25</v>
      </c>
      <c r="X101" s="367">
        <v>43866</v>
      </c>
      <c r="Y101" s="205">
        <v>43956</v>
      </c>
      <c r="Z101" s="205">
        <v>44072</v>
      </c>
      <c r="AA101" s="273">
        <f t="shared" si="17"/>
        <v>2020</v>
      </c>
      <c r="AB101" s="273">
        <f t="shared" si="18"/>
        <v>8</v>
      </c>
      <c r="AC101" s="211" t="s">
        <v>920</v>
      </c>
      <c r="AD101" s="217" t="s">
        <v>422</v>
      </c>
      <c r="AE101" s="217" t="s">
        <v>422</v>
      </c>
      <c r="AF101" s="217" t="s">
        <v>422</v>
      </c>
      <c r="AG101" s="217" t="s">
        <v>422</v>
      </c>
      <c r="AH101" s="217" t="s">
        <v>422</v>
      </c>
      <c r="AI101" s="217" t="s">
        <v>422</v>
      </c>
      <c r="AJ101" s="217" t="s">
        <v>423</v>
      </c>
      <c r="AK101" s="217" t="s">
        <v>423</v>
      </c>
      <c r="AL101" s="222" t="s">
        <v>254</v>
      </c>
      <c r="AM101" s="209"/>
      <c r="AN101" s="209"/>
    </row>
    <row r="102" spans="1:43" ht="15" customHeight="1" x14ac:dyDescent="0.3">
      <c r="A102" s="185">
        <v>52</v>
      </c>
      <c r="B102" s="212" t="s">
        <v>822</v>
      </c>
      <c r="C102" s="247" t="s">
        <v>1616</v>
      </c>
      <c r="D102" s="201" t="s">
        <v>1848</v>
      </c>
      <c r="E102" s="212"/>
      <c r="F102" s="212"/>
      <c r="G102" s="212" t="s">
        <v>1941</v>
      </c>
      <c r="H102" s="212" t="s">
        <v>1040</v>
      </c>
      <c r="I102" s="357">
        <v>1</v>
      </c>
      <c r="J102" s="212">
        <v>2.5</v>
      </c>
      <c r="K102" s="212">
        <f>2.5+2.8</f>
        <v>5.3</v>
      </c>
      <c r="L102" s="212">
        <v>0.5</v>
      </c>
      <c r="M102" s="212">
        <f t="shared" si="11"/>
        <v>9.3000000000000007</v>
      </c>
      <c r="N102" s="212">
        <f t="shared" si="12"/>
        <v>8</v>
      </c>
      <c r="O102" s="212">
        <f t="shared" si="13"/>
        <v>10</v>
      </c>
      <c r="P102" s="212">
        <f t="shared" si="14"/>
        <v>35.333333333333336</v>
      </c>
      <c r="Q102" s="212">
        <f t="shared" si="15"/>
        <v>4</v>
      </c>
      <c r="R102" s="212">
        <f t="shared" si="16"/>
        <v>57.333333333333336</v>
      </c>
      <c r="S102" s="202" t="s">
        <v>847</v>
      </c>
      <c r="T102" s="211" t="s">
        <v>846</v>
      </c>
      <c r="U102" s="202">
        <v>84</v>
      </c>
      <c r="V102" s="202">
        <v>86</v>
      </c>
      <c r="W102" s="202">
        <v>86</v>
      </c>
      <c r="X102" s="367">
        <v>43866</v>
      </c>
      <c r="Y102" s="205">
        <v>43956</v>
      </c>
      <c r="Z102" s="205">
        <v>44072</v>
      </c>
      <c r="AA102" s="273">
        <f t="shared" si="17"/>
        <v>2020</v>
      </c>
      <c r="AB102" s="273">
        <f t="shared" si="18"/>
        <v>8</v>
      </c>
      <c r="AC102" s="211" t="s">
        <v>920</v>
      </c>
      <c r="AD102" s="217" t="s">
        <v>422</v>
      </c>
      <c r="AE102" s="217" t="s">
        <v>422</v>
      </c>
      <c r="AF102" s="217" t="s">
        <v>422</v>
      </c>
      <c r="AG102" s="217" t="s">
        <v>422</v>
      </c>
      <c r="AH102" s="217" t="s">
        <v>422</v>
      </c>
      <c r="AI102" s="217" t="s">
        <v>422</v>
      </c>
      <c r="AJ102" s="217" t="s">
        <v>423</v>
      </c>
      <c r="AK102" s="217" t="s">
        <v>423</v>
      </c>
      <c r="AL102" s="222" t="s">
        <v>254</v>
      </c>
      <c r="AM102" s="209"/>
      <c r="AN102" s="209"/>
    </row>
    <row r="103" spans="1:43" ht="15" customHeight="1" x14ac:dyDescent="0.3">
      <c r="A103" s="185">
        <v>53</v>
      </c>
      <c r="B103" s="212" t="s">
        <v>823</v>
      </c>
      <c r="C103" s="247" t="s">
        <v>1616</v>
      </c>
      <c r="D103" s="201" t="s">
        <v>1848</v>
      </c>
      <c r="E103" s="212"/>
      <c r="F103" s="212"/>
      <c r="G103" s="212" t="s">
        <v>1941</v>
      </c>
      <c r="H103" s="212" t="s">
        <v>1040</v>
      </c>
      <c r="I103" s="357">
        <v>2</v>
      </c>
      <c r="J103" s="212">
        <v>4.7</v>
      </c>
      <c r="K103" s="212">
        <f>4.5+5.5</f>
        <v>10</v>
      </c>
      <c r="L103" s="212">
        <v>1</v>
      </c>
      <c r="M103" s="212">
        <f t="shared" si="11"/>
        <v>17.7</v>
      </c>
      <c r="N103" s="212">
        <f t="shared" si="12"/>
        <v>16</v>
      </c>
      <c r="O103" s="212">
        <f t="shared" si="13"/>
        <v>18.8</v>
      </c>
      <c r="P103" s="212">
        <f t="shared" si="14"/>
        <v>66.666666666666671</v>
      </c>
      <c r="Q103" s="212">
        <f t="shared" si="15"/>
        <v>8</v>
      </c>
      <c r="R103" s="212">
        <f t="shared" si="16"/>
        <v>109.46666666666667</v>
      </c>
      <c r="S103" s="202" t="s">
        <v>848</v>
      </c>
      <c r="T103" s="211" t="s">
        <v>849</v>
      </c>
      <c r="U103" s="202">
        <v>58</v>
      </c>
      <c r="V103" s="202">
        <v>59</v>
      </c>
      <c r="W103" s="202">
        <v>59</v>
      </c>
      <c r="X103" s="367">
        <v>43866</v>
      </c>
      <c r="Y103" s="205">
        <v>43956</v>
      </c>
      <c r="Z103" s="205">
        <v>44072</v>
      </c>
      <c r="AA103" s="273">
        <f t="shared" si="17"/>
        <v>2020</v>
      </c>
      <c r="AB103" s="273">
        <f t="shared" si="18"/>
        <v>8</v>
      </c>
      <c r="AC103" s="211" t="s">
        <v>920</v>
      </c>
      <c r="AD103" s="217" t="s">
        <v>422</v>
      </c>
      <c r="AE103" s="217" t="s">
        <v>422</v>
      </c>
      <c r="AF103" s="217" t="s">
        <v>422</v>
      </c>
      <c r="AG103" s="217" t="s">
        <v>422</v>
      </c>
      <c r="AH103" s="217" t="s">
        <v>422</v>
      </c>
      <c r="AI103" s="217" t="s">
        <v>422</v>
      </c>
      <c r="AJ103" s="217" t="s">
        <v>423</v>
      </c>
      <c r="AK103" s="217" t="s">
        <v>423</v>
      </c>
      <c r="AL103" s="222" t="s">
        <v>254</v>
      </c>
      <c r="AM103" s="209"/>
      <c r="AN103" s="209"/>
    </row>
    <row r="104" spans="1:43" ht="15" customHeight="1" x14ac:dyDescent="0.3">
      <c r="A104" s="185">
        <v>54</v>
      </c>
      <c r="B104" s="212" t="s">
        <v>824</v>
      </c>
      <c r="C104" s="247" t="s">
        <v>1616</v>
      </c>
      <c r="D104" s="201" t="s">
        <v>1848</v>
      </c>
      <c r="E104" s="212"/>
      <c r="F104" s="212" t="s">
        <v>1597</v>
      </c>
      <c r="G104" s="212" t="s">
        <v>1941</v>
      </c>
      <c r="H104" s="212"/>
      <c r="I104" s="212">
        <v>2</v>
      </c>
      <c r="J104" s="212">
        <v>9</v>
      </c>
      <c r="K104" s="212">
        <f>11+5.5</f>
        <v>16.5</v>
      </c>
      <c r="L104" s="212">
        <v>1</v>
      </c>
      <c r="M104" s="212">
        <f t="shared" si="11"/>
        <v>28.5</v>
      </c>
      <c r="N104" s="212">
        <f t="shared" si="12"/>
        <v>16</v>
      </c>
      <c r="O104" s="212">
        <f t="shared" si="13"/>
        <v>36</v>
      </c>
      <c r="P104" s="212">
        <f t="shared" si="14"/>
        <v>110</v>
      </c>
      <c r="Q104" s="212">
        <f t="shared" si="15"/>
        <v>8</v>
      </c>
      <c r="R104" s="212">
        <f t="shared" si="16"/>
        <v>170</v>
      </c>
      <c r="S104" s="202" t="s">
        <v>851</v>
      </c>
      <c r="T104" s="211" t="s">
        <v>850</v>
      </c>
      <c r="U104" s="202">
        <v>88</v>
      </c>
      <c r="V104" s="202">
        <v>93</v>
      </c>
      <c r="W104" s="202">
        <v>93</v>
      </c>
      <c r="X104" s="367">
        <v>43866</v>
      </c>
      <c r="Y104" s="205">
        <v>43956</v>
      </c>
      <c r="Z104" s="205">
        <v>44072</v>
      </c>
      <c r="AA104" s="273">
        <f t="shared" si="17"/>
        <v>2020</v>
      </c>
      <c r="AB104" s="273">
        <f t="shared" si="18"/>
        <v>8</v>
      </c>
      <c r="AC104" s="211" t="s">
        <v>920</v>
      </c>
      <c r="AD104" s="217" t="s">
        <v>422</v>
      </c>
      <c r="AE104" s="217" t="s">
        <v>422</v>
      </c>
      <c r="AF104" s="217" t="s">
        <v>422</v>
      </c>
      <c r="AG104" s="217" t="s">
        <v>422</v>
      </c>
      <c r="AH104" s="217" t="s">
        <v>422</v>
      </c>
      <c r="AI104" s="217" t="s">
        <v>422</v>
      </c>
      <c r="AJ104" s="217" t="s">
        <v>423</v>
      </c>
      <c r="AK104" s="217" t="s">
        <v>423</v>
      </c>
      <c r="AL104" s="222" t="s">
        <v>108</v>
      </c>
      <c r="AM104" s="209"/>
      <c r="AN104" s="209"/>
    </row>
    <row r="105" spans="1:43" ht="15" customHeight="1" x14ac:dyDescent="0.3">
      <c r="A105" s="185">
        <v>55</v>
      </c>
      <c r="B105" s="212" t="s">
        <v>825</v>
      </c>
      <c r="C105" s="247" t="s">
        <v>1616</v>
      </c>
      <c r="D105" s="201" t="s">
        <v>1848</v>
      </c>
      <c r="E105" s="212"/>
      <c r="F105" s="212"/>
      <c r="G105" s="212" t="s">
        <v>1941</v>
      </c>
      <c r="H105" s="212" t="s">
        <v>1040</v>
      </c>
      <c r="I105" s="357">
        <v>2</v>
      </c>
      <c r="J105" s="212">
        <v>9</v>
      </c>
      <c r="K105" s="212">
        <f>5.5+5.5</f>
        <v>11</v>
      </c>
      <c r="L105" s="212">
        <v>1</v>
      </c>
      <c r="M105" s="212">
        <f t="shared" si="11"/>
        <v>23</v>
      </c>
      <c r="N105" s="212">
        <f t="shared" si="12"/>
        <v>16</v>
      </c>
      <c r="O105" s="212">
        <f t="shared" si="13"/>
        <v>36</v>
      </c>
      <c r="P105" s="212">
        <f t="shared" si="14"/>
        <v>73.333333333333343</v>
      </c>
      <c r="Q105" s="212">
        <f t="shared" si="15"/>
        <v>8</v>
      </c>
      <c r="R105" s="212">
        <f t="shared" si="16"/>
        <v>133.33333333333334</v>
      </c>
      <c r="S105" s="202" t="s">
        <v>845</v>
      </c>
      <c r="T105" s="211" t="s">
        <v>852</v>
      </c>
      <c r="U105" s="202">
        <v>142</v>
      </c>
      <c r="V105" s="202">
        <v>147</v>
      </c>
      <c r="W105" s="202">
        <v>147</v>
      </c>
      <c r="X105" s="367">
        <v>43866</v>
      </c>
      <c r="Y105" s="205">
        <v>43956</v>
      </c>
      <c r="Z105" s="205">
        <v>44072</v>
      </c>
      <c r="AA105" s="273">
        <f t="shared" si="17"/>
        <v>2020</v>
      </c>
      <c r="AB105" s="273">
        <f t="shared" si="18"/>
        <v>8</v>
      </c>
      <c r="AC105" s="211" t="s">
        <v>920</v>
      </c>
      <c r="AD105" s="217" t="s">
        <v>422</v>
      </c>
      <c r="AE105" s="217" t="s">
        <v>422</v>
      </c>
      <c r="AF105" s="217" t="s">
        <v>422</v>
      </c>
      <c r="AG105" s="217" t="s">
        <v>422</v>
      </c>
      <c r="AH105" s="217" t="s">
        <v>422</v>
      </c>
      <c r="AI105" s="217" t="s">
        <v>422</v>
      </c>
      <c r="AJ105" s="217" t="s">
        <v>423</v>
      </c>
      <c r="AK105" s="217" t="s">
        <v>423</v>
      </c>
      <c r="AL105" s="222" t="s">
        <v>254</v>
      </c>
      <c r="AM105" s="209"/>
      <c r="AN105" s="209"/>
    </row>
    <row r="106" spans="1:43" ht="15" customHeight="1" x14ac:dyDescent="0.3">
      <c r="A106" s="185">
        <v>56</v>
      </c>
      <c r="B106" s="212" t="s">
        <v>826</v>
      </c>
      <c r="C106" s="247" t="s">
        <v>1616</v>
      </c>
      <c r="D106" s="201" t="s">
        <v>1848</v>
      </c>
      <c r="E106" s="212"/>
      <c r="F106" s="212" t="s">
        <v>1597</v>
      </c>
      <c r="G106" s="212" t="s">
        <v>1941</v>
      </c>
      <c r="H106" s="212"/>
      <c r="I106" s="212">
        <v>2</v>
      </c>
      <c r="J106" s="212">
        <v>10</v>
      </c>
      <c r="K106" s="212">
        <f>11+5.5</f>
        <v>16.5</v>
      </c>
      <c r="L106" s="212">
        <v>1</v>
      </c>
      <c r="M106" s="212">
        <f t="shared" si="11"/>
        <v>29.5</v>
      </c>
      <c r="N106" s="212">
        <f t="shared" si="12"/>
        <v>16</v>
      </c>
      <c r="O106" s="212">
        <f t="shared" si="13"/>
        <v>40</v>
      </c>
      <c r="P106" s="212">
        <f t="shared" si="14"/>
        <v>110</v>
      </c>
      <c r="Q106" s="212">
        <f t="shared" si="15"/>
        <v>8</v>
      </c>
      <c r="R106" s="212">
        <f t="shared" si="16"/>
        <v>174</v>
      </c>
      <c r="S106" s="202" t="s">
        <v>854</v>
      </c>
      <c r="T106" s="211" t="s">
        <v>853</v>
      </c>
      <c r="U106" s="202">
        <v>38</v>
      </c>
      <c r="V106" s="202">
        <f>42+3</f>
        <v>45</v>
      </c>
      <c r="W106" s="202">
        <f>42+3</f>
        <v>45</v>
      </c>
      <c r="X106" s="367">
        <v>43866</v>
      </c>
      <c r="Y106" s="205">
        <v>43956</v>
      </c>
      <c r="Z106" s="205">
        <v>44072</v>
      </c>
      <c r="AA106" s="273">
        <f t="shared" si="17"/>
        <v>2020</v>
      </c>
      <c r="AB106" s="273">
        <f t="shared" si="18"/>
        <v>8</v>
      </c>
      <c r="AC106" s="211" t="s">
        <v>920</v>
      </c>
      <c r="AD106" s="217" t="s">
        <v>422</v>
      </c>
      <c r="AE106" s="217" t="s">
        <v>422</v>
      </c>
      <c r="AF106" s="217" t="s">
        <v>422</v>
      </c>
      <c r="AG106" s="217" t="s">
        <v>422</v>
      </c>
      <c r="AH106" s="217" t="s">
        <v>422</v>
      </c>
      <c r="AI106" s="217" t="s">
        <v>422</v>
      </c>
      <c r="AJ106" s="217" t="s">
        <v>423</v>
      </c>
      <c r="AK106" s="217" t="s">
        <v>423</v>
      </c>
      <c r="AL106" s="222" t="s">
        <v>108</v>
      </c>
      <c r="AM106" s="209"/>
      <c r="AN106" s="209"/>
    </row>
    <row r="107" spans="1:43" ht="15" customHeight="1" x14ac:dyDescent="0.3">
      <c r="A107" s="185">
        <v>57</v>
      </c>
      <c r="B107" s="212" t="s">
        <v>827</v>
      </c>
      <c r="C107" s="247" t="s">
        <v>1616</v>
      </c>
      <c r="D107" s="201" t="s">
        <v>1848</v>
      </c>
      <c r="E107" s="212"/>
      <c r="F107" s="212"/>
      <c r="G107" s="212" t="s">
        <v>1941</v>
      </c>
      <c r="H107" s="212" t="s">
        <v>1041</v>
      </c>
      <c r="I107" s="357">
        <v>2</v>
      </c>
      <c r="J107" s="212">
        <v>8</v>
      </c>
      <c r="K107" s="212">
        <f>11+5.5</f>
        <v>16.5</v>
      </c>
      <c r="L107" s="212">
        <v>1</v>
      </c>
      <c r="M107" s="212">
        <f t="shared" si="11"/>
        <v>27.5</v>
      </c>
      <c r="N107" s="212">
        <f t="shared" si="12"/>
        <v>16</v>
      </c>
      <c r="O107" s="212">
        <f t="shared" si="13"/>
        <v>32</v>
      </c>
      <c r="P107" s="212">
        <f t="shared" si="14"/>
        <v>110</v>
      </c>
      <c r="Q107" s="212">
        <f t="shared" si="15"/>
        <v>8</v>
      </c>
      <c r="R107" s="212">
        <f t="shared" si="16"/>
        <v>166</v>
      </c>
      <c r="S107" s="202" t="s">
        <v>856</v>
      </c>
      <c r="T107" s="211" t="s">
        <v>855</v>
      </c>
      <c r="U107" s="202">
        <v>52</v>
      </c>
      <c r="V107" s="202">
        <v>55</v>
      </c>
      <c r="W107" s="202">
        <v>55</v>
      </c>
      <c r="X107" s="367">
        <v>43866</v>
      </c>
      <c r="Y107" s="205">
        <v>43956</v>
      </c>
      <c r="Z107" s="205">
        <v>44072</v>
      </c>
      <c r="AA107" s="273">
        <f t="shared" si="17"/>
        <v>2020</v>
      </c>
      <c r="AB107" s="273">
        <f t="shared" si="18"/>
        <v>8</v>
      </c>
      <c r="AC107" s="211" t="s">
        <v>920</v>
      </c>
      <c r="AD107" s="217" t="s">
        <v>422</v>
      </c>
      <c r="AE107" s="217" t="s">
        <v>422</v>
      </c>
      <c r="AF107" s="217" t="s">
        <v>422</v>
      </c>
      <c r="AG107" s="217" t="s">
        <v>422</v>
      </c>
      <c r="AH107" s="217" t="s">
        <v>422</v>
      </c>
      <c r="AI107" s="217" t="s">
        <v>422</v>
      </c>
      <c r="AJ107" s="217" t="s">
        <v>423</v>
      </c>
      <c r="AK107" s="217" t="s">
        <v>423</v>
      </c>
      <c r="AL107" s="222" t="s">
        <v>698</v>
      </c>
      <c r="AM107" s="209"/>
      <c r="AN107" s="209"/>
    </row>
    <row r="108" spans="1:43" ht="15" customHeight="1" x14ac:dyDescent="0.3">
      <c r="A108" s="185">
        <v>58</v>
      </c>
      <c r="B108" s="212" t="s">
        <v>828</v>
      </c>
      <c r="C108" s="247" t="s">
        <v>1616</v>
      </c>
      <c r="D108" s="201" t="s">
        <v>1848</v>
      </c>
      <c r="E108" s="212"/>
      <c r="F108" s="212"/>
      <c r="G108" s="212" t="s">
        <v>1941</v>
      </c>
      <c r="H108" s="212" t="s">
        <v>1040</v>
      </c>
      <c r="I108" s="357">
        <v>1</v>
      </c>
      <c r="J108" s="212">
        <v>2.5</v>
      </c>
      <c r="K108" s="212">
        <f>3.5+3.8</f>
        <v>7.3</v>
      </c>
      <c r="L108" s="212">
        <v>0.5</v>
      </c>
      <c r="M108" s="212">
        <f t="shared" si="11"/>
        <v>11.3</v>
      </c>
      <c r="N108" s="212">
        <f t="shared" si="12"/>
        <v>8</v>
      </c>
      <c r="O108" s="212">
        <f t="shared" si="13"/>
        <v>10</v>
      </c>
      <c r="P108" s="212">
        <f t="shared" si="14"/>
        <v>48.666666666666664</v>
      </c>
      <c r="Q108" s="212">
        <f t="shared" si="15"/>
        <v>4</v>
      </c>
      <c r="R108" s="212">
        <f t="shared" si="16"/>
        <v>70.666666666666657</v>
      </c>
      <c r="S108" s="202" t="s">
        <v>860</v>
      </c>
      <c r="T108" s="211" t="s">
        <v>857</v>
      </c>
      <c r="U108" s="202">
        <v>24</v>
      </c>
      <c r="V108" s="202">
        <v>25</v>
      </c>
      <c r="W108" s="202">
        <v>25</v>
      </c>
      <c r="X108" s="367">
        <v>43866</v>
      </c>
      <c r="Y108" s="205">
        <v>43956</v>
      </c>
      <c r="Z108" s="205">
        <v>44072</v>
      </c>
      <c r="AA108" s="273">
        <f t="shared" si="17"/>
        <v>2020</v>
      </c>
      <c r="AB108" s="273">
        <f t="shared" si="18"/>
        <v>8</v>
      </c>
      <c r="AC108" s="211" t="s">
        <v>920</v>
      </c>
      <c r="AD108" s="217" t="s">
        <v>422</v>
      </c>
      <c r="AE108" s="217" t="s">
        <v>422</v>
      </c>
      <c r="AF108" s="217" t="s">
        <v>422</v>
      </c>
      <c r="AG108" s="217" t="s">
        <v>422</v>
      </c>
      <c r="AH108" s="217" t="s">
        <v>422</v>
      </c>
      <c r="AI108" s="217" t="s">
        <v>422</v>
      </c>
      <c r="AJ108" s="217" t="s">
        <v>423</v>
      </c>
      <c r="AK108" s="217" t="s">
        <v>423</v>
      </c>
      <c r="AL108" s="222" t="s">
        <v>254</v>
      </c>
      <c r="AM108" s="209"/>
      <c r="AN108" s="209"/>
    </row>
    <row r="109" spans="1:43" ht="15" customHeight="1" x14ac:dyDescent="0.3">
      <c r="A109" s="185">
        <v>59</v>
      </c>
      <c r="B109" s="212" t="s">
        <v>829</v>
      </c>
      <c r="C109" s="247" t="s">
        <v>1616</v>
      </c>
      <c r="D109" s="201" t="s">
        <v>1848</v>
      </c>
      <c r="E109" s="212"/>
      <c r="F109" s="212"/>
      <c r="G109" s="212" t="s">
        <v>1941</v>
      </c>
      <c r="H109" s="212" t="s">
        <v>1040</v>
      </c>
      <c r="I109" s="357">
        <v>1</v>
      </c>
      <c r="J109" s="212">
        <v>2.5</v>
      </c>
      <c r="K109" s="212">
        <f>2.5+3.5</f>
        <v>6</v>
      </c>
      <c r="L109" s="212">
        <v>5</v>
      </c>
      <c r="M109" s="212">
        <f t="shared" si="11"/>
        <v>14.5</v>
      </c>
      <c r="N109" s="212">
        <f t="shared" si="12"/>
        <v>8</v>
      </c>
      <c r="O109" s="212">
        <f t="shared" si="13"/>
        <v>10</v>
      </c>
      <c r="P109" s="212">
        <f t="shared" si="14"/>
        <v>40</v>
      </c>
      <c r="Q109" s="212">
        <f t="shared" si="15"/>
        <v>40</v>
      </c>
      <c r="R109" s="212">
        <f t="shared" si="16"/>
        <v>98</v>
      </c>
      <c r="S109" s="202" t="s">
        <v>861</v>
      </c>
      <c r="T109" s="211" t="s">
        <v>858</v>
      </c>
      <c r="U109" s="202">
        <v>104</v>
      </c>
      <c r="V109" s="202">
        <v>106</v>
      </c>
      <c r="W109" s="202">
        <v>106</v>
      </c>
      <c r="X109" s="367">
        <v>43866</v>
      </c>
      <c r="Y109" s="205">
        <v>43956</v>
      </c>
      <c r="Z109" s="205">
        <v>44072</v>
      </c>
      <c r="AA109" s="273">
        <f t="shared" si="17"/>
        <v>2020</v>
      </c>
      <c r="AB109" s="273">
        <f t="shared" si="18"/>
        <v>8</v>
      </c>
      <c r="AC109" s="211" t="s">
        <v>920</v>
      </c>
      <c r="AD109" s="217" t="s">
        <v>422</v>
      </c>
      <c r="AE109" s="217" t="s">
        <v>422</v>
      </c>
      <c r="AF109" s="217" t="s">
        <v>422</v>
      </c>
      <c r="AG109" s="217" t="s">
        <v>422</v>
      </c>
      <c r="AH109" s="217" t="s">
        <v>422</v>
      </c>
      <c r="AI109" s="217" t="s">
        <v>422</v>
      </c>
      <c r="AJ109" s="217" t="s">
        <v>423</v>
      </c>
      <c r="AK109" s="217" t="s">
        <v>423</v>
      </c>
      <c r="AL109" s="222" t="s">
        <v>254</v>
      </c>
      <c r="AM109" s="209"/>
      <c r="AN109" s="209"/>
    </row>
    <row r="110" spans="1:43" ht="15" customHeight="1" x14ac:dyDescent="0.3">
      <c r="A110" s="185">
        <v>60</v>
      </c>
      <c r="B110" s="212" t="s">
        <v>830</v>
      </c>
      <c r="C110" s="247" t="s">
        <v>1616</v>
      </c>
      <c r="D110" s="201" t="s">
        <v>1848</v>
      </c>
      <c r="E110" s="212"/>
      <c r="F110" s="212"/>
      <c r="G110" s="212" t="s">
        <v>1941</v>
      </c>
      <c r="H110" s="212" t="s">
        <v>1040</v>
      </c>
      <c r="I110" s="357">
        <v>2</v>
      </c>
      <c r="J110" s="212">
        <v>4.7</v>
      </c>
      <c r="K110" s="212">
        <f>4.5+7.5</f>
        <v>12</v>
      </c>
      <c r="L110" s="212">
        <v>1</v>
      </c>
      <c r="M110" s="212">
        <f t="shared" si="11"/>
        <v>19.7</v>
      </c>
      <c r="N110" s="212">
        <f t="shared" si="12"/>
        <v>16</v>
      </c>
      <c r="O110" s="212">
        <f t="shared" si="13"/>
        <v>18.8</v>
      </c>
      <c r="P110" s="212">
        <f t="shared" si="14"/>
        <v>80</v>
      </c>
      <c r="Q110" s="212">
        <f t="shared" si="15"/>
        <v>8</v>
      </c>
      <c r="R110" s="212">
        <f t="shared" si="16"/>
        <v>122.8</v>
      </c>
      <c r="S110" s="202" t="s">
        <v>862</v>
      </c>
      <c r="T110" s="211" t="s">
        <v>859</v>
      </c>
      <c r="U110" s="202">
        <v>80</v>
      </c>
      <c r="V110" s="202">
        <v>81</v>
      </c>
      <c r="W110" s="202">
        <v>81</v>
      </c>
      <c r="X110" s="367">
        <v>43866</v>
      </c>
      <c r="Y110" s="205">
        <v>43956</v>
      </c>
      <c r="Z110" s="205">
        <v>44072</v>
      </c>
      <c r="AA110" s="273">
        <f t="shared" si="17"/>
        <v>2020</v>
      </c>
      <c r="AB110" s="273">
        <f t="shared" si="18"/>
        <v>8</v>
      </c>
      <c r="AC110" s="211" t="s">
        <v>920</v>
      </c>
      <c r="AD110" s="217" t="s">
        <v>422</v>
      </c>
      <c r="AE110" s="217" t="s">
        <v>422</v>
      </c>
      <c r="AF110" s="217" t="s">
        <v>422</v>
      </c>
      <c r="AG110" s="217" t="s">
        <v>422</v>
      </c>
      <c r="AH110" s="217" t="s">
        <v>422</v>
      </c>
      <c r="AI110" s="217" t="s">
        <v>422</v>
      </c>
      <c r="AJ110" s="217" t="s">
        <v>423</v>
      </c>
      <c r="AK110" s="217" t="s">
        <v>423</v>
      </c>
      <c r="AL110" s="222" t="s">
        <v>254</v>
      </c>
      <c r="AM110" s="209"/>
      <c r="AN110" s="209"/>
    </row>
    <row r="111" spans="1:43" ht="15" customHeight="1" x14ac:dyDescent="0.3">
      <c r="A111" s="185">
        <v>61</v>
      </c>
      <c r="B111" s="212" t="s">
        <v>831</v>
      </c>
      <c r="C111" s="247" t="s">
        <v>1616</v>
      </c>
      <c r="D111" s="201" t="s">
        <v>1848</v>
      </c>
      <c r="E111" s="212"/>
      <c r="F111" s="212"/>
      <c r="G111" s="212" t="s">
        <v>1941</v>
      </c>
      <c r="H111" s="212" t="s">
        <v>1041</v>
      </c>
      <c r="I111" s="357">
        <v>2</v>
      </c>
      <c r="J111" s="212">
        <v>9</v>
      </c>
      <c r="K111" s="212">
        <f>5.5+7.5</f>
        <v>13</v>
      </c>
      <c r="L111" s="212">
        <v>1</v>
      </c>
      <c r="M111" s="212">
        <f t="shared" si="11"/>
        <v>25</v>
      </c>
      <c r="N111" s="212">
        <f t="shared" si="12"/>
        <v>16</v>
      </c>
      <c r="O111" s="212">
        <f t="shared" si="13"/>
        <v>36</v>
      </c>
      <c r="P111" s="212">
        <f t="shared" si="14"/>
        <v>86.666666666666671</v>
      </c>
      <c r="Q111" s="212">
        <f t="shared" si="15"/>
        <v>8</v>
      </c>
      <c r="R111" s="212">
        <f t="shared" si="16"/>
        <v>146.66666666666669</v>
      </c>
      <c r="S111" s="202" t="s">
        <v>864</v>
      </c>
      <c r="T111" s="211" t="s">
        <v>863</v>
      </c>
      <c r="U111" s="202">
        <v>104</v>
      </c>
      <c r="V111" s="202">
        <v>110</v>
      </c>
      <c r="W111" s="202">
        <v>110</v>
      </c>
      <c r="X111" s="367">
        <v>43866</v>
      </c>
      <c r="Y111" s="205">
        <v>43956</v>
      </c>
      <c r="Z111" s="205">
        <v>44072</v>
      </c>
      <c r="AA111" s="273">
        <f t="shared" si="17"/>
        <v>2020</v>
      </c>
      <c r="AB111" s="273">
        <f t="shared" si="18"/>
        <v>8</v>
      </c>
      <c r="AC111" s="211" t="s">
        <v>920</v>
      </c>
      <c r="AD111" s="217" t="s">
        <v>422</v>
      </c>
      <c r="AE111" s="217" t="s">
        <v>422</v>
      </c>
      <c r="AF111" s="217" t="s">
        <v>422</v>
      </c>
      <c r="AG111" s="217" t="s">
        <v>422</v>
      </c>
      <c r="AH111" s="217" t="s">
        <v>422</v>
      </c>
      <c r="AI111" s="217" t="s">
        <v>422</v>
      </c>
      <c r="AJ111" s="217" t="s">
        <v>423</v>
      </c>
      <c r="AK111" s="217" t="s">
        <v>423</v>
      </c>
      <c r="AL111" s="222" t="s">
        <v>698</v>
      </c>
      <c r="AM111" s="209"/>
      <c r="AN111" s="209"/>
    </row>
    <row r="112" spans="1:43" ht="15" customHeight="1" x14ac:dyDescent="0.3">
      <c r="A112" s="185">
        <v>62</v>
      </c>
      <c r="B112" s="212" t="s">
        <v>832</v>
      </c>
      <c r="C112" s="247" t="s">
        <v>1616</v>
      </c>
      <c r="D112" s="201" t="s">
        <v>1848</v>
      </c>
      <c r="E112" s="212"/>
      <c r="F112" s="212"/>
      <c r="G112" s="212" t="s">
        <v>1941</v>
      </c>
      <c r="H112" s="212" t="s">
        <v>1010</v>
      </c>
      <c r="I112" s="357">
        <v>2</v>
      </c>
      <c r="J112" s="212">
        <v>8.5</v>
      </c>
      <c r="K112" s="212">
        <f>11+7.5</f>
        <v>18.5</v>
      </c>
      <c r="L112" s="212">
        <v>1</v>
      </c>
      <c r="M112" s="212">
        <f t="shared" si="11"/>
        <v>30</v>
      </c>
      <c r="N112" s="212">
        <f t="shared" si="12"/>
        <v>16</v>
      </c>
      <c r="O112" s="212">
        <f t="shared" si="13"/>
        <v>34</v>
      </c>
      <c r="P112" s="212">
        <f t="shared" si="14"/>
        <v>123.33333333333334</v>
      </c>
      <c r="Q112" s="212">
        <f t="shared" si="15"/>
        <v>8</v>
      </c>
      <c r="R112" s="212">
        <f t="shared" si="16"/>
        <v>181.33333333333334</v>
      </c>
      <c r="S112" s="202" t="s">
        <v>866</v>
      </c>
      <c r="T112" s="211" t="s">
        <v>870</v>
      </c>
      <c r="U112" s="202">
        <v>78</v>
      </c>
      <c r="V112" s="202">
        <v>82</v>
      </c>
      <c r="W112" s="202">
        <v>82</v>
      </c>
      <c r="X112" s="367">
        <v>43866</v>
      </c>
      <c r="Y112" s="205">
        <v>43956</v>
      </c>
      <c r="Z112" s="205">
        <v>44072</v>
      </c>
      <c r="AA112" s="273">
        <f t="shared" si="17"/>
        <v>2020</v>
      </c>
      <c r="AB112" s="273">
        <f t="shared" si="18"/>
        <v>8</v>
      </c>
      <c r="AC112" s="211" t="s">
        <v>920</v>
      </c>
      <c r="AD112" s="217" t="s">
        <v>422</v>
      </c>
      <c r="AE112" s="217" t="s">
        <v>422</v>
      </c>
      <c r="AF112" s="217" t="s">
        <v>422</v>
      </c>
      <c r="AG112" s="217" t="s">
        <v>422</v>
      </c>
      <c r="AH112" s="217" t="s">
        <v>422</v>
      </c>
      <c r="AI112" s="217" t="s">
        <v>422</v>
      </c>
      <c r="AJ112" s="217" t="s">
        <v>423</v>
      </c>
      <c r="AK112" s="217" t="s">
        <v>423</v>
      </c>
      <c r="AL112" s="222" t="s">
        <v>140</v>
      </c>
      <c r="AM112" s="209"/>
      <c r="AN112" s="209"/>
    </row>
    <row r="113" spans="1:40" ht="15" customHeight="1" x14ac:dyDescent="0.3">
      <c r="A113" s="185">
        <v>63</v>
      </c>
      <c r="B113" s="212" t="s">
        <v>833</v>
      </c>
      <c r="C113" s="247" t="s">
        <v>1616</v>
      </c>
      <c r="D113" s="201" t="s">
        <v>1848</v>
      </c>
      <c r="E113" s="212"/>
      <c r="F113" s="212"/>
      <c r="G113" s="212" t="s">
        <v>1953</v>
      </c>
      <c r="H113" s="212" t="s">
        <v>1010</v>
      </c>
      <c r="I113" s="357">
        <v>2</v>
      </c>
      <c r="J113" s="212">
        <v>9</v>
      </c>
      <c r="K113" s="212">
        <f>5.5+7.5</f>
        <v>13</v>
      </c>
      <c r="L113" s="212">
        <v>1</v>
      </c>
      <c r="M113" s="212">
        <f t="shared" si="11"/>
        <v>25</v>
      </c>
      <c r="N113" s="212">
        <f t="shared" si="12"/>
        <v>16</v>
      </c>
      <c r="O113" s="212">
        <f t="shared" si="13"/>
        <v>36</v>
      </c>
      <c r="P113" s="212">
        <f t="shared" si="14"/>
        <v>86.666666666666671</v>
      </c>
      <c r="Q113" s="212">
        <f t="shared" si="15"/>
        <v>8</v>
      </c>
      <c r="R113" s="212">
        <f t="shared" si="16"/>
        <v>146.66666666666669</v>
      </c>
      <c r="S113" s="202" t="s">
        <v>867</v>
      </c>
      <c r="T113" s="211" t="s">
        <v>871</v>
      </c>
      <c r="U113" s="202">
        <v>179</v>
      </c>
      <c r="V113" s="202">
        <v>183</v>
      </c>
      <c r="W113" s="202">
        <v>183</v>
      </c>
      <c r="X113" s="367">
        <v>43866</v>
      </c>
      <c r="Y113" s="205">
        <v>43956</v>
      </c>
      <c r="Z113" s="205">
        <v>44072</v>
      </c>
      <c r="AA113" s="273">
        <f t="shared" si="17"/>
        <v>2020</v>
      </c>
      <c r="AB113" s="273">
        <f t="shared" si="18"/>
        <v>8</v>
      </c>
      <c r="AC113" s="211" t="s">
        <v>920</v>
      </c>
      <c r="AD113" s="217" t="s">
        <v>422</v>
      </c>
      <c r="AE113" s="217" t="s">
        <v>422</v>
      </c>
      <c r="AF113" s="217" t="s">
        <v>422</v>
      </c>
      <c r="AG113" s="217" t="s">
        <v>422</v>
      </c>
      <c r="AH113" s="217" t="s">
        <v>422</v>
      </c>
      <c r="AI113" s="217" t="s">
        <v>422</v>
      </c>
      <c r="AJ113" s="217" t="s">
        <v>423</v>
      </c>
      <c r="AK113" s="217" t="s">
        <v>423</v>
      </c>
      <c r="AL113" s="222" t="s">
        <v>140</v>
      </c>
      <c r="AM113" s="209"/>
      <c r="AN113" s="209"/>
    </row>
    <row r="114" spans="1:40" ht="15" customHeight="1" x14ac:dyDescent="0.3">
      <c r="A114" s="185">
        <v>64</v>
      </c>
      <c r="B114" s="212" t="s">
        <v>834</v>
      </c>
      <c r="C114" s="247" t="s">
        <v>1616</v>
      </c>
      <c r="D114" s="201" t="s">
        <v>1848</v>
      </c>
      <c r="E114" s="212"/>
      <c r="F114" s="212"/>
      <c r="G114" s="212" t="s">
        <v>1941</v>
      </c>
      <c r="H114" s="212"/>
      <c r="I114" s="357">
        <v>2</v>
      </c>
      <c r="J114" s="357">
        <v>9</v>
      </c>
      <c r="K114" s="212">
        <f>11+7.5</f>
        <v>18.5</v>
      </c>
      <c r="L114" s="212">
        <v>1</v>
      </c>
      <c r="M114" s="212">
        <f t="shared" si="11"/>
        <v>30.5</v>
      </c>
      <c r="N114" s="212">
        <f t="shared" si="12"/>
        <v>16</v>
      </c>
      <c r="O114" s="212">
        <f t="shared" si="13"/>
        <v>36</v>
      </c>
      <c r="P114" s="212">
        <f t="shared" si="14"/>
        <v>123.33333333333334</v>
      </c>
      <c r="Q114" s="212">
        <f t="shared" si="15"/>
        <v>8</v>
      </c>
      <c r="R114" s="212">
        <f t="shared" si="16"/>
        <v>183.33333333333334</v>
      </c>
      <c r="S114" s="202" t="s">
        <v>868</v>
      </c>
      <c r="T114" s="211" t="s">
        <v>869</v>
      </c>
      <c r="U114" s="202">
        <v>82</v>
      </c>
      <c r="V114" s="202">
        <v>84</v>
      </c>
      <c r="W114" s="202">
        <v>84</v>
      </c>
      <c r="X114" s="367">
        <v>43866</v>
      </c>
      <c r="Y114" s="205">
        <v>43956</v>
      </c>
      <c r="Z114" s="205">
        <v>44072</v>
      </c>
      <c r="AA114" s="273">
        <f t="shared" si="17"/>
        <v>2020</v>
      </c>
      <c r="AB114" s="273">
        <f t="shared" si="18"/>
        <v>8</v>
      </c>
      <c r="AC114" s="211" t="s">
        <v>920</v>
      </c>
      <c r="AD114" s="217" t="s">
        <v>422</v>
      </c>
      <c r="AE114" s="217" t="s">
        <v>422</v>
      </c>
      <c r="AF114" s="217" t="s">
        <v>422</v>
      </c>
      <c r="AG114" s="217" t="s">
        <v>422</v>
      </c>
      <c r="AH114" s="217" t="s">
        <v>422</v>
      </c>
      <c r="AI114" s="217" t="s">
        <v>422</v>
      </c>
      <c r="AJ114" s="217" t="s">
        <v>423</v>
      </c>
      <c r="AK114" s="217" t="s">
        <v>423</v>
      </c>
      <c r="AL114" s="222" t="s">
        <v>698</v>
      </c>
      <c r="AM114" s="209"/>
      <c r="AN114" s="209"/>
    </row>
    <row r="115" spans="1:40" ht="15" customHeight="1" x14ac:dyDescent="0.3">
      <c r="A115" s="185">
        <v>65</v>
      </c>
      <c r="B115" s="212" t="s">
        <v>835</v>
      </c>
      <c r="C115" s="247" t="s">
        <v>1616</v>
      </c>
      <c r="D115" s="201" t="s">
        <v>1848</v>
      </c>
      <c r="E115" s="212"/>
      <c r="F115" s="212"/>
      <c r="G115" s="212" t="s">
        <v>1941</v>
      </c>
      <c r="H115" s="212"/>
      <c r="I115" s="357">
        <v>2</v>
      </c>
      <c r="J115" s="357">
        <v>12</v>
      </c>
      <c r="K115" s="212">
        <f>11+7.5+2.5+3.5</f>
        <v>24.5</v>
      </c>
      <c r="L115" s="212">
        <v>1.2</v>
      </c>
      <c r="M115" s="212">
        <f t="shared" si="11"/>
        <v>39.700000000000003</v>
      </c>
      <c r="N115" s="212">
        <f t="shared" si="12"/>
        <v>16</v>
      </c>
      <c r="O115" s="212">
        <f t="shared" si="13"/>
        <v>48</v>
      </c>
      <c r="P115" s="212">
        <f t="shared" si="14"/>
        <v>163.33333333333334</v>
      </c>
      <c r="Q115" s="212">
        <f t="shared" si="15"/>
        <v>9.6</v>
      </c>
      <c r="R115" s="212">
        <f t="shared" si="16"/>
        <v>236.93333333333334</v>
      </c>
      <c r="S115" s="202" t="s">
        <v>866</v>
      </c>
      <c r="T115" s="211" t="s">
        <v>872</v>
      </c>
      <c r="U115" s="202">
        <v>72</v>
      </c>
      <c r="V115" s="202">
        <v>75</v>
      </c>
      <c r="W115" s="202">
        <v>75</v>
      </c>
      <c r="X115" s="367">
        <v>43866</v>
      </c>
      <c r="Y115" s="205">
        <v>43956</v>
      </c>
      <c r="Z115" s="205">
        <v>44072</v>
      </c>
      <c r="AA115" s="273">
        <f t="shared" si="17"/>
        <v>2020</v>
      </c>
      <c r="AB115" s="273">
        <f t="shared" si="18"/>
        <v>8</v>
      </c>
      <c r="AC115" s="211" t="s">
        <v>920</v>
      </c>
      <c r="AD115" s="217" t="s">
        <v>422</v>
      </c>
      <c r="AE115" s="217" t="s">
        <v>422</v>
      </c>
      <c r="AF115" s="217" t="s">
        <v>422</v>
      </c>
      <c r="AG115" s="217" t="s">
        <v>422</v>
      </c>
      <c r="AH115" s="217" t="s">
        <v>422</v>
      </c>
      <c r="AI115" s="217" t="s">
        <v>422</v>
      </c>
      <c r="AJ115" s="217" t="s">
        <v>423</v>
      </c>
      <c r="AK115" s="217" t="s">
        <v>423</v>
      </c>
      <c r="AL115" s="222" t="s">
        <v>1196</v>
      </c>
      <c r="AM115" s="209"/>
      <c r="AN115" s="224" t="s">
        <v>1197</v>
      </c>
    </row>
    <row r="116" spans="1:40" ht="15" customHeight="1" x14ac:dyDescent="0.3">
      <c r="A116" s="185">
        <v>14</v>
      </c>
      <c r="B116" s="247" t="s">
        <v>762</v>
      </c>
      <c r="C116" s="247" t="s">
        <v>1615</v>
      </c>
      <c r="D116" s="199" t="s">
        <v>1881</v>
      </c>
      <c r="E116" s="247"/>
      <c r="F116" s="247"/>
      <c r="G116" s="368" t="s">
        <v>1604</v>
      </c>
      <c r="H116" s="247" t="s">
        <v>1428</v>
      </c>
      <c r="I116" s="357">
        <v>2</v>
      </c>
      <c r="J116" s="247">
        <v>7</v>
      </c>
      <c r="K116" s="247">
        <v>0</v>
      </c>
      <c r="L116" s="212">
        <v>1.5</v>
      </c>
      <c r="M116" s="212">
        <f t="shared" si="11"/>
        <v>10.5</v>
      </c>
      <c r="N116" s="212">
        <f t="shared" si="12"/>
        <v>16</v>
      </c>
      <c r="O116" s="212">
        <f t="shared" si="13"/>
        <v>28</v>
      </c>
      <c r="P116" s="212">
        <f t="shared" si="14"/>
        <v>0</v>
      </c>
      <c r="Q116" s="212">
        <f t="shared" si="15"/>
        <v>12</v>
      </c>
      <c r="R116" s="212">
        <f t="shared" si="16"/>
        <v>56</v>
      </c>
      <c r="S116" s="273" t="s">
        <v>778</v>
      </c>
      <c r="T116" s="275" t="s">
        <v>761</v>
      </c>
      <c r="U116" s="273">
        <v>62</v>
      </c>
      <c r="V116" s="273">
        <f>36+26</f>
        <v>62</v>
      </c>
      <c r="W116" s="273">
        <f>36+26</f>
        <v>62</v>
      </c>
      <c r="X116" s="276">
        <v>43713</v>
      </c>
      <c r="Y116" s="277">
        <v>43862</v>
      </c>
      <c r="Z116" s="26">
        <v>44082</v>
      </c>
      <c r="AA116" s="273">
        <f t="shared" si="17"/>
        <v>2020</v>
      </c>
      <c r="AB116" s="273">
        <f t="shared" si="18"/>
        <v>9</v>
      </c>
      <c r="AC116" s="217" t="s">
        <v>920</v>
      </c>
      <c r="AD116" s="217" t="s">
        <v>422</v>
      </c>
      <c r="AE116" s="217" t="s">
        <v>422</v>
      </c>
      <c r="AF116" s="211" t="s">
        <v>422</v>
      </c>
      <c r="AG116" s="211" t="s">
        <v>422</v>
      </c>
      <c r="AH116" s="211" t="s">
        <v>422</v>
      </c>
      <c r="AI116" s="217" t="s">
        <v>423</v>
      </c>
      <c r="AJ116" s="217" t="s">
        <v>422</v>
      </c>
      <c r="AK116" s="217" t="s">
        <v>423</v>
      </c>
      <c r="AL116" s="210" t="s">
        <v>138</v>
      </c>
      <c r="AM116" s="218"/>
      <c r="AN116" s="209"/>
    </row>
    <row r="117" spans="1:40" ht="15" customHeight="1" x14ac:dyDescent="0.3">
      <c r="A117" s="185">
        <v>16</v>
      </c>
      <c r="B117" s="247" t="s">
        <v>766</v>
      </c>
      <c r="C117" s="247" t="s">
        <v>1615</v>
      </c>
      <c r="D117" s="199" t="s">
        <v>1881</v>
      </c>
      <c r="E117" s="247"/>
      <c r="F117" s="247"/>
      <c r="G117" s="368" t="s">
        <v>1604</v>
      </c>
      <c r="H117" s="247" t="s">
        <v>1428</v>
      </c>
      <c r="I117" s="357">
        <v>2</v>
      </c>
      <c r="J117" s="247">
        <v>4.5</v>
      </c>
      <c r="K117" s="247">
        <v>0</v>
      </c>
      <c r="L117" s="212">
        <v>1</v>
      </c>
      <c r="M117" s="212">
        <f t="shared" si="11"/>
        <v>7.5</v>
      </c>
      <c r="N117" s="212">
        <f t="shared" si="12"/>
        <v>16</v>
      </c>
      <c r="O117" s="212">
        <f t="shared" si="13"/>
        <v>18</v>
      </c>
      <c r="P117" s="212">
        <f t="shared" si="14"/>
        <v>0</v>
      </c>
      <c r="Q117" s="212">
        <f t="shared" si="15"/>
        <v>8</v>
      </c>
      <c r="R117" s="212">
        <f t="shared" si="16"/>
        <v>42</v>
      </c>
      <c r="S117" s="273" t="s">
        <v>779</v>
      </c>
      <c r="T117" s="275" t="s">
        <v>765</v>
      </c>
      <c r="U117" s="273">
        <v>30</v>
      </c>
      <c r="V117" s="273">
        <v>16</v>
      </c>
      <c r="W117" s="273">
        <v>16</v>
      </c>
      <c r="X117" s="276">
        <v>43713</v>
      </c>
      <c r="Y117" s="277">
        <v>43800</v>
      </c>
      <c r="Z117" s="26">
        <v>44082</v>
      </c>
      <c r="AA117" s="273">
        <f t="shared" si="17"/>
        <v>2020</v>
      </c>
      <c r="AB117" s="273">
        <f t="shared" si="18"/>
        <v>9</v>
      </c>
      <c r="AC117" s="217" t="s">
        <v>920</v>
      </c>
      <c r="AD117" s="217" t="s">
        <v>422</v>
      </c>
      <c r="AE117" s="217" t="s">
        <v>422</v>
      </c>
      <c r="AF117" s="217" t="s">
        <v>422</v>
      </c>
      <c r="AG117" s="217" t="s">
        <v>422</v>
      </c>
      <c r="AH117" s="217" t="s">
        <v>422</v>
      </c>
      <c r="AI117" s="217" t="s">
        <v>423</v>
      </c>
      <c r="AJ117" s="217" t="s">
        <v>422</v>
      </c>
      <c r="AK117" s="217" t="s">
        <v>423</v>
      </c>
      <c r="AL117" s="210" t="s">
        <v>138</v>
      </c>
      <c r="AM117" s="218"/>
      <c r="AN117" s="209"/>
    </row>
    <row r="118" spans="1:40" ht="15" customHeight="1" x14ac:dyDescent="0.3">
      <c r="A118" s="185">
        <v>17</v>
      </c>
      <c r="B118" s="247" t="s">
        <v>768</v>
      </c>
      <c r="C118" s="247" t="s">
        <v>1615</v>
      </c>
      <c r="D118" s="199" t="s">
        <v>1881</v>
      </c>
      <c r="E118" s="247"/>
      <c r="F118" s="247"/>
      <c r="G118" s="368" t="s">
        <v>1604</v>
      </c>
      <c r="H118" s="247" t="s">
        <v>1428</v>
      </c>
      <c r="I118" s="357">
        <v>2</v>
      </c>
      <c r="J118" s="247">
        <v>11</v>
      </c>
      <c r="K118" s="247">
        <v>0</v>
      </c>
      <c r="L118" s="212">
        <v>1</v>
      </c>
      <c r="M118" s="212">
        <f t="shared" si="11"/>
        <v>14</v>
      </c>
      <c r="N118" s="212">
        <f t="shared" si="12"/>
        <v>16</v>
      </c>
      <c r="O118" s="212">
        <f t="shared" si="13"/>
        <v>44</v>
      </c>
      <c r="P118" s="212">
        <f t="shared" si="14"/>
        <v>0</v>
      </c>
      <c r="Q118" s="212">
        <f t="shared" si="15"/>
        <v>8</v>
      </c>
      <c r="R118" s="212">
        <f t="shared" si="16"/>
        <v>68</v>
      </c>
      <c r="S118" s="273" t="s">
        <v>780</v>
      </c>
      <c r="T118" s="275" t="s">
        <v>767</v>
      </c>
      <c r="U118" s="273">
        <v>30</v>
      </c>
      <c r="V118" s="273">
        <v>17</v>
      </c>
      <c r="W118" s="273">
        <v>17</v>
      </c>
      <c r="X118" s="276">
        <v>43713</v>
      </c>
      <c r="Y118" s="277">
        <v>43800</v>
      </c>
      <c r="Z118" s="26">
        <v>44082</v>
      </c>
      <c r="AA118" s="273">
        <f t="shared" si="17"/>
        <v>2020</v>
      </c>
      <c r="AB118" s="273">
        <f t="shared" si="18"/>
        <v>9</v>
      </c>
      <c r="AC118" s="217" t="s">
        <v>920</v>
      </c>
      <c r="AD118" s="217" t="s">
        <v>422</v>
      </c>
      <c r="AE118" s="217" t="s">
        <v>422</v>
      </c>
      <c r="AF118" s="217" t="s">
        <v>422</v>
      </c>
      <c r="AG118" s="217" t="s">
        <v>422</v>
      </c>
      <c r="AH118" s="217" t="s">
        <v>422</v>
      </c>
      <c r="AI118" s="217" t="s">
        <v>423</v>
      </c>
      <c r="AJ118" s="217" t="s">
        <v>422</v>
      </c>
      <c r="AK118" s="217" t="s">
        <v>423</v>
      </c>
      <c r="AL118" s="210" t="s">
        <v>138</v>
      </c>
      <c r="AM118" s="218"/>
      <c r="AN118" s="209"/>
    </row>
    <row r="119" spans="1:40" ht="15" customHeight="1" x14ac:dyDescent="0.3">
      <c r="A119" s="185">
        <v>41</v>
      </c>
      <c r="B119" s="247" t="s">
        <v>997</v>
      </c>
      <c r="C119" s="247" t="s">
        <v>1615</v>
      </c>
      <c r="D119" s="199" t="s">
        <v>1881</v>
      </c>
      <c r="E119" s="247"/>
      <c r="F119" s="247"/>
      <c r="G119" s="247" t="s">
        <v>1941</v>
      </c>
      <c r="H119" s="247" t="s">
        <v>1040</v>
      </c>
      <c r="I119" s="357">
        <v>2</v>
      </c>
      <c r="J119" s="247">
        <v>6</v>
      </c>
      <c r="K119" s="247">
        <v>5</v>
      </c>
      <c r="L119" s="212">
        <v>1</v>
      </c>
      <c r="M119" s="212">
        <f t="shared" si="11"/>
        <v>14</v>
      </c>
      <c r="N119" s="212">
        <f t="shared" si="12"/>
        <v>16</v>
      </c>
      <c r="O119" s="212">
        <f t="shared" si="13"/>
        <v>24</v>
      </c>
      <c r="P119" s="212">
        <f t="shared" si="14"/>
        <v>33.333333333333336</v>
      </c>
      <c r="Q119" s="212">
        <f t="shared" si="15"/>
        <v>8</v>
      </c>
      <c r="R119" s="212">
        <f t="shared" si="16"/>
        <v>81.333333333333343</v>
      </c>
      <c r="S119" s="370" t="s">
        <v>1001</v>
      </c>
      <c r="T119" s="371" t="s">
        <v>1005</v>
      </c>
      <c r="U119" s="370">
        <v>45</v>
      </c>
      <c r="V119" s="370">
        <v>46</v>
      </c>
      <c r="W119" s="370">
        <v>46</v>
      </c>
      <c r="X119" s="3">
        <v>43781</v>
      </c>
      <c r="Y119" s="26">
        <v>43905</v>
      </c>
      <c r="Z119" s="26">
        <v>44097</v>
      </c>
      <c r="AA119" s="273">
        <f t="shared" si="17"/>
        <v>2020</v>
      </c>
      <c r="AB119" s="273">
        <f t="shared" si="18"/>
        <v>9</v>
      </c>
      <c r="AC119" s="211" t="s">
        <v>920</v>
      </c>
      <c r="AD119" s="217" t="s">
        <v>422</v>
      </c>
      <c r="AE119" s="217" t="s">
        <v>422</v>
      </c>
      <c r="AF119" s="217" t="s">
        <v>422</v>
      </c>
      <c r="AG119" s="217" t="s">
        <v>422</v>
      </c>
      <c r="AH119" s="217" t="s">
        <v>423</v>
      </c>
      <c r="AI119" s="217" t="s">
        <v>422</v>
      </c>
      <c r="AJ119" s="217" t="s">
        <v>423</v>
      </c>
      <c r="AK119" s="217" t="s">
        <v>423</v>
      </c>
      <c r="AL119" s="222" t="s">
        <v>254</v>
      </c>
      <c r="AM119" s="209"/>
      <c r="AN119" s="209"/>
    </row>
    <row r="120" spans="1:40" ht="15" customHeight="1" x14ac:dyDescent="0.3">
      <c r="A120" s="185">
        <v>87</v>
      </c>
      <c r="B120" s="247" t="s">
        <v>907</v>
      </c>
      <c r="C120" s="247" t="s">
        <v>1615</v>
      </c>
      <c r="D120" s="199" t="s">
        <v>1881</v>
      </c>
      <c r="E120" s="247"/>
      <c r="F120" s="247" t="s">
        <v>1597</v>
      </c>
      <c r="G120" s="368" t="s">
        <v>1604</v>
      </c>
      <c r="H120" s="247"/>
      <c r="I120" s="247">
        <v>2</v>
      </c>
      <c r="J120" s="357">
        <v>4.5</v>
      </c>
      <c r="K120" s="247">
        <v>0</v>
      </c>
      <c r="L120" s="212">
        <v>1</v>
      </c>
      <c r="M120" s="212">
        <f t="shared" si="11"/>
        <v>7.5</v>
      </c>
      <c r="N120" s="212">
        <f t="shared" si="12"/>
        <v>16</v>
      </c>
      <c r="O120" s="212">
        <f t="shared" si="13"/>
        <v>18</v>
      </c>
      <c r="P120" s="212">
        <f t="shared" si="14"/>
        <v>0</v>
      </c>
      <c r="Q120" s="212">
        <f t="shared" si="15"/>
        <v>8</v>
      </c>
      <c r="R120" s="212">
        <f t="shared" si="16"/>
        <v>42</v>
      </c>
      <c r="S120" s="273" t="s">
        <v>941</v>
      </c>
      <c r="T120" s="275" t="s">
        <v>926</v>
      </c>
      <c r="U120" s="273">
        <v>24</v>
      </c>
      <c r="V120" s="273">
        <v>25</v>
      </c>
      <c r="W120" s="273">
        <v>25</v>
      </c>
      <c r="X120" s="276">
        <v>43875</v>
      </c>
      <c r="Y120" s="277">
        <v>43905</v>
      </c>
      <c r="Z120" s="26">
        <v>44082</v>
      </c>
      <c r="AA120" s="273">
        <f t="shared" si="17"/>
        <v>2020</v>
      </c>
      <c r="AB120" s="273">
        <f t="shared" si="18"/>
        <v>9</v>
      </c>
      <c r="AC120" s="217" t="s">
        <v>920</v>
      </c>
      <c r="AD120" s="217" t="s">
        <v>422</v>
      </c>
      <c r="AE120" s="217" t="s">
        <v>422</v>
      </c>
      <c r="AF120" s="217" t="s">
        <v>422</v>
      </c>
      <c r="AG120" s="217" t="s">
        <v>422</v>
      </c>
      <c r="AH120" s="217" t="s">
        <v>422</v>
      </c>
      <c r="AI120" s="217" t="s">
        <v>422</v>
      </c>
      <c r="AJ120" s="190" t="s">
        <v>423</v>
      </c>
      <c r="AK120" s="190" t="s">
        <v>423</v>
      </c>
      <c r="AL120" s="192" t="s">
        <v>108</v>
      </c>
      <c r="AM120" s="241"/>
      <c r="AN120" s="241"/>
    </row>
    <row r="121" spans="1:40" ht="15" customHeight="1" x14ac:dyDescent="0.3">
      <c r="A121" s="185">
        <v>92</v>
      </c>
      <c r="B121" s="247" t="s">
        <v>912</v>
      </c>
      <c r="C121" s="247" t="s">
        <v>1615</v>
      </c>
      <c r="D121" s="199" t="s">
        <v>1881</v>
      </c>
      <c r="E121" s="247"/>
      <c r="F121" s="247" t="s">
        <v>1597</v>
      </c>
      <c r="G121" s="247" t="s">
        <v>1940</v>
      </c>
      <c r="H121" s="247"/>
      <c r="I121" s="247">
        <v>2</v>
      </c>
      <c r="J121" s="357">
        <v>7</v>
      </c>
      <c r="K121" s="247">
        <v>9</v>
      </c>
      <c r="L121" s="212">
        <v>1</v>
      </c>
      <c r="M121" s="212">
        <f t="shared" si="11"/>
        <v>19</v>
      </c>
      <c r="N121" s="212">
        <f t="shared" si="12"/>
        <v>16</v>
      </c>
      <c r="O121" s="212">
        <f t="shared" si="13"/>
        <v>28</v>
      </c>
      <c r="P121" s="212">
        <f t="shared" si="14"/>
        <v>60</v>
      </c>
      <c r="Q121" s="212">
        <f t="shared" si="15"/>
        <v>8</v>
      </c>
      <c r="R121" s="212">
        <f t="shared" si="16"/>
        <v>112</v>
      </c>
      <c r="S121" s="273" t="s">
        <v>928</v>
      </c>
      <c r="T121" s="275" t="s">
        <v>923</v>
      </c>
      <c r="U121" s="273">
        <v>69</v>
      </c>
      <c r="V121" s="273">
        <v>72</v>
      </c>
      <c r="W121" s="273">
        <v>72</v>
      </c>
      <c r="X121" s="276">
        <v>43875</v>
      </c>
      <c r="Y121" s="277">
        <v>43936</v>
      </c>
      <c r="Z121" s="26">
        <v>44097</v>
      </c>
      <c r="AA121" s="273">
        <f t="shared" si="17"/>
        <v>2020</v>
      </c>
      <c r="AB121" s="273">
        <f t="shared" si="18"/>
        <v>9</v>
      </c>
      <c r="AC121" s="217" t="s">
        <v>920</v>
      </c>
      <c r="AD121" s="217" t="s">
        <v>422</v>
      </c>
      <c r="AE121" s="217" t="s">
        <v>422</v>
      </c>
      <c r="AF121" s="217" t="s">
        <v>422</v>
      </c>
      <c r="AG121" s="217" t="s">
        <v>422</v>
      </c>
      <c r="AH121" s="217" t="s">
        <v>422</v>
      </c>
      <c r="AI121" s="217" t="s">
        <v>449</v>
      </c>
      <c r="AJ121" s="217" t="s">
        <v>423</v>
      </c>
      <c r="AK121" s="217" t="s">
        <v>423</v>
      </c>
      <c r="AL121" s="218" t="s">
        <v>139</v>
      </c>
      <c r="AM121" s="209"/>
      <c r="AN121" s="209"/>
    </row>
    <row r="122" spans="1:40" ht="15" customHeight="1" x14ac:dyDescent="0.3">
      <c r="A122" s="185">
        <v>119</v>
      </c>
      <c r="B122" s="247" t="s">
        <v>1026</v>
      </c>
      <c r="C122" s="247" t="s">
        <v>1615</v>
      </c>
      <c r="D122" s="200" t="s">
        <v>1881</v>
      </c>
      <c r="E122" s="247"/>
      <c r="F122" s="247" t="s">
        <v>1598</v>
      </c>
      <c r="G122" s="368" t="s">
        <v>1604</v>
      </c>
      <c r="H122" s="247" t="s">
        <v>1956</v>
      </c>
      <c r="I122" s="247">
        <v>1.5</v>
      </c>
      <c r="J122" s="247">
        <v>6.3</v>
      </c>
      <c r="K122" s="247">
        <v>0</v>
      </c>
      <c r="L122" s="212">
        <v>1</v>
      </c>
      <c r="M122" s="212">
        <f t="shared" si="11"/>
        <v>8.8000000000000007</v>
      </c>
      <c r="N122" s="212">
        <f t="shared" si="12"/>
        <v>12</v>
      </c>
      <c r="O122" s="212">
        <f t="shared" si="13"/>
        <v>25.2</v>
      </c>
      <c r="P122" s="212">
        <f t="shared" si="14"/>
        <v>0</v>
      </c>
      <c r="Q122" s="212">
        <f t="shared" si="15"/>
        <v>8</v>
      </c>
      <c r="R122" s="212">
        <f t="shared" si="16"/>
        <v>45.2</v>
      </c>
      <c r="S122" s="369" t="s">
        <v>1031</v>
      </c>
      <c r="T122" s="275" t="s">
        <v>1034</v>
      </c>
      <c r="U122" s="273">
        <v>179</v>
      </c>
      <c r="V122" s="273">
        <v>179</v>
      </c>
      <c r="W122" s="273">
        <v>179</v>
      </c>
      <c r="X122" s="276">
        <v>44022</v>
      </c>
      <c r="Y122" s="277">
        <v>44042</v>
      </c>
      <c r="Z122" s="26">
        <v>44082</v>
      </c>
      <c r="AA122" s="273">
        <f t="shared" si="17"/>
        <v>2020</v>
      </c>
      <c r="AB122" s="273">
        <f t="shared" si="18"/>
        <v>9</v>
      </c>
      <c r="AC122" s="278" t="s">
        <v>920</v>
      </c>
      <c r="AD122" s="278" t="s">
        <v>422</v>
      </c>
      <c r="AE122" s="278" t="s">
        <v>422</v>
      </c>
      <c r="AF122" s="278" t="s">
        <v>422</v>
      </c>
      <c r="AG122" s="278" t="s">
        <v>422</v>
      </c>
      <c r="AH122" s="278" t="s">
        <v>422</v>
      </c>
      <c r="AI122" s="278" t="s">
        <v>423</v>
      </c>
      <c r="AJ122" s="278" t="s">
        <v>423</v>
      </c>
      <c r="AK122" s="278" t="s">
        <v>423</v>
      </c>
      <c r="AL122" s="279" t="s">
        <v>138</v>
      </c>
      <c r="AM122" s="218"/>
      <c r="AN122" s="218"/>
    </row>
    <row r="123" spans="1:40" ht="15" customHeight="1" x14ac:dyDescent="0.3">
      <c r="A123" s="185">
        <v>120</v>
      </c>
      <c r="B123" s="247" t="s">
        <v>1027</v>
      </c>
      <c r="C123" s="247" t="s">
        <v>1615</v>
      </c>
      <c r="D123" s="200" t="s">
        <v>1881</v>
      </c>
      <c r="E123" s="247"/>
      <c r="F123" s="247"/>
      <c r="G123" s="247" t="s">
        <v>1008</v>
      </c>
      <c r="H123" s="247"/>
      <c r="I123" s="357">
        <v>2</v>
      </c>
      <c r="J123" s="247">
        <v>7</v>
      </c>
      <c r="K123" s="247">
        <v>0</v>
      </c>
      <c r="L123" s="212">
        <v>1</v>
      </c>
      <c r="M123" s="212">
        <f t="shared" si="11"/>
        <v>10</v>
      </c>
      <c r="N123" s="212">
        <f t="shared" si="12"/>
        <v>16</v>
      </c>
      <c r="O123" s="212">
        <f t="shared" si="13"/>
        <v>28</v>
      </c>
      <c r="P123" s="212">
        <f t="shared" si="14"/>
        <v>0</v>
      </c>
      <c r="Q123" s="212">
        <f t="shared" si="15"/>
        <v>8</v>
      </c>
      <c r="R123" s="212">
        <f t="shared" si="16"/>
        <v>52</v>
      </c>
      <c r="S123" s="369" t="s">
        <v>1030</v>
      </c>
      <c r="T123" s="275" t="s">
        <v>1033</v>
      </c>
      <c r="U123" s="273">
        <v>126</v>
      </c>
      <c r="V123" s="273">
        <v>132</v>
      </c>
      <c r="W123" s="273">
        <v>132</v>
      </c>
      <c r="X123" s="276">
        <v>44022</v>
      </c>
      <c r="Y123" s="277">
        <v>44042</v>
      </c>
      <c r="Z123" s="26">
        <v>44082</v>
      </c>
      <c r="AA123" s="273">
        <f t="shared" si="17"/>
        <v>2020</v>
      </c>
      <c r="AB123" s="273">
        <f t="shared" si="18"/>
        <v>9</v>
      </c>
      <c r="AC123" s="278" t="s">
        <v>920</v>
      </c>
      <c r="AD123" s="278" t="s">
        <v>422</v>
      </c>
      <c r="AE123" s="278" t="s">
        <v>422</v>
      </c>
      <c r="AF123" s="278" t="s">
        <v>422</v>
      </c>
      <c r="AG123" s="278" t="s">
        <v>422</v>
      </c>
      <c r="AH123" s="278" t="s">
        <v>422</v>
      </c>
      <c r="AI123" s="278" t="s">
        <v>423</v>
      </c>
      <c r="AJ123" s="278" t="s">
        <v>423</v>
      </c>
      <c r="AK123" s="278" t="s">
        <v>423</v>
      </c>
      <c r="AL123" s="279" t="s">
        <v>888</v>
      </c>
      <c r="AM123" s="218"/>
      <c r="AN123" s="218"/>
    </row>
    <row r="124" spans="1:40" ht="15" customHeight="1" x14ac:dyDescent="0.3">
      <c r="A124" s="185">
        <v>121</v>
      </c>
      <c r="B124" s="212" t="s">
        <v>1028</v>
      </c>
      <c r="C124" s="247" t="s">
        <v>1615</v>
      </c>
      <c r="D124" s="201" t="s">
        <v>1881</v>
      </c>
      <c r="E124" s="212"/>
      <c r="F124" s="212" t="s">
        <v>1598</v>
      </c>
      <c r="G124" s="368" t="s">
        <v>1604</v>
      </c>
      <c r="H124" s="247" t="s">
        <v>1428</v>
      </c>
      <c r="I124" s="212">
        <v>1.8</v>
      </c>
      <c r="J124" s="212">
        <v>10</v>
      </c>
      <c r="K124" s="247">
        <v>0</v>
      </c>
      <c r="L124" s="212">
        <v>1.5</v>
      </c>
      <c r="M124" s="212">
        <f t="shared" si="11"/>
        <v>13.3</v>
      </c>
      <c r="N124" s="212">
        <f t="shared" si="12"/>
        <v>14.4</v>
      </c>
      <c r="O124" s="212">
        <f t="shared" si="13"/>
        <v>40</v>
      </c>
      <c r="P124" s="212">
        <f t="shared" si="14"/>
        <v>0</v>
      </c>
      <c r="Q124" s="212">
        <f t="shared" si="15"/>
        <v>12</v>
      </c>
      <c r="R124" s="212">
        <f t="shared" si="16"/>
        <v>66.400000000000006</v>
      </c>
      <c r="S124" s="229" t="s">
        <v>1029</v>
      </c>
      <c r="T124" s="214" t="s">
        <v>1032</v>
      </c>
      <c r="U124" s="213">
        <f>213-57</f>
        <v>156</v>
      </c>
      <c r="V124" s="213">
        <v>159</v>
      </c>
      <c r="W124" s="213">
        <v>159</v>
      </c>
      <c r="X124" s="215">
        <v>44026</v>
      </c>
      <c r="Y124" s="216">
        <v>44042</v>
      </c>
      <c r="Z124" s="205">
        <v>44082</v>
      </c>
      <c r="AA124" s="273">
        <f t="shared" si="17"/>
        <v>2020</v>
      </c>
      <c r="AB124" s="273">
        <f t="shared" si="18"/>
        <v>9</v>
      </c>
      <c r="AC124" s="217" t="s">
        <v>920</v>
      </c>
      <c r="AD124" s="217" t="s">
        <v>422</v>
      </c>
      <c r="AE124" s="217" t="s">
        <v>422</v>
      </c>
      <c r="AF124" s="278" t="s">
        <v>422</v>
      </c>
      <c r="AG124" s="278" t="s">
        <v>422</v>
      </c>
      <c r="AH124" s="278" t="s">
        <v>422</v>
      </c>
      <c r="AI124" s="217" t="s">
        <v>423</v>
      </c>
      <c r="AJ124" s="217" t="s">
        <v>423</v>
      </c>
      <c r="AK124" s="217" t="s">
        <v>423</v>
      </c>
      <c r="AL124" s="218" t="s">
        <v>138</v>
      </c>
      <c r="AM124" s="218"/>
      <c r="AN124" s="218"/>
    </row>
    <row r="125" spans="1:40" ht="15" customHeight="1" x14ac:dyDescent="0.3">
      <c r="A125" s="185">
        <v>127</v>
      </c>
      <c r="B125" s="247" t="s">
        <v>1055</v>
      </c>
      <c r="C125" s="247" t="s">
        <v>1615</v>
      </c>
      <c r="D125" s="199" t="s">
        <v>1881</v>
      </c>
      <c r="E125" s="247"/>
      <c r="F125" s="247"/>
      <c r="G125" s="368" t="s">
        <v>1604</v>
      </c>
      <c r="H125" s="248" t="s">
        <v>1040</v>
      </c>
      <c r="I125" s="357">
        <v>2</v>
      </c>
      <c r="J125" s="248">
        <v>5</v>
      </c>
      <c r="K125" s="247">
        <v>0</v>
      </c>
      <c r="L125" s="212">
        <v>1</v>
      </c>
      <c r="M125" s="212">
        <f t="shared" si="11"/>
        <v>8</v>
      </c>
      <c r="N125" s="212">
        <f t="shared" si="12"/>
        <v>16</v>
      </c>
      <c r="O125" s="212">
        <f t="shared" si="13"/>
        <v>20</v>
      </c>
      <c r="P125" s="212">
        <f t="shared" si="14"/>
        <v>0</v>
      </c>
      <c r="Q125" s="212">
        <f t="shared" si="15"/>
        <v>8</v>
      </c>
      <c r="R125" s="212">
        <f t="shared" si="16"/>
        <v>44</v>
      </c>
      <c r="S125" s="369" t="s">
        <v>1064</v>
      </c>
      <c r="T125" s="275" t="s">
        <v>1078</v>
      </c>
      <c r="U125" s="280">
        <v>45</v>
      </c>
      <c r="V125" s="280">
        <v>48</v>
      </c>
      <c r="W125" s="280">
        <v>48</v>
      </c>
      <c r="X125" s="276">
        <v>44039</v>
      </c>
      <c r="Y125" s="277">
        <v>44075</v>
      </c>
      <c r="Z125" s="26">
        <v>44082</v>
      </c>
      <c r="AA125" s="273">
        <f t="shared" si="17"/>
        <v>2020</v>
      </c>
      <c r="AB125" s="273">
        <f t="shared" si="18"/>
        <v>9</v>
      </c>
      <c r="AC125" s="278" t="s">
        <v>920</v>
      </c>
      <c r="AD125" s="278" t="s">
        <v>422</v>
      </c>
      <c r="AE125" s="278" t="s">
        <v>422</v>
      </c>
      <c r="AF125" s="278" t="s">
        <v>422</v>
      </c>
      <c r="AG125" s="278" t="s">
        <v>422</v>
      </c>
      <c r="AH125" s="278" t="s">
        <v>422</v>
      </c>
      <c r="AI125" s="278" t="s">
        <v>423</v>
      </c>
      <c r="AJ125" s="278" t="s">
        <v>423</v>
      </c>
      <c r="AK125" s="278" t="s">
        <v>423</v>
      </c>
      <c r="AL125" s="279" t="s">
        <v>254</v>
      </c>
      <c r="AM125" s="241"/>
      <c r="AN125" s="241"/>
    </row>
    <row r="126" spans="1:40" ht="15" customHeight="1" x14ac:dyDescent="0.3">
      <c r="A126" s="185">
        <v>128</v>
      </c>
      <c r="B126" s="247" t="s">
        <v>1054</v>
      </c>
      <c r="C126" s="247" t="s">
        <v>1615</v>
      </c>
      <c r="D126" s="199" t="s">
        <v>1881</v>
      </c>
      <c r="E126" s="247"/>
      <c r="F126" s="247"/>
      <c r="G126" s="368" t="s">
        <v>1604</v>
      </c>
      <c r="H126" s="248" t="s">
        <v>1010</v>
      </c>
      <c r="I126" s="357">
        <v>2</v>
      </c>
      <c r="J126" s="248">
        <v>13.5</v>
      </c>
      <c r="K126" s="247">
        <v>0</v>
      </c>
      <c r="L126" s="212">
        <v>1.5</v>
      </c>
      <c r="M126" s="212">
        <f t="shared" si="11"/>
        <v>17</v>
      </c>
      <c r="N126" s="212">
        <f t="shared" si="12"/>
        <v>16</v>
      </c>
      <c r="O126" s="212">
        <f t="shared" si="13"/>
        <v>54</v>
      </c>
      <c r="P126" s="212">
        <f t="shared" si="14"/>
        <v>0</v>
      </c>
      <c r="Q126" s="212">
        <f t="shared" si="15"/>
        <v>12</v>
      </c>
      <c r="R126" s="212">
        <f t="shared" si="16"/>
        <v>82</v>
      </c>
      <c r="S126" s="369" t="s">
        <v>1065</v>
      </c>
      <c r="T126" s="275" t="s">
        <v>1077</v>
      </c>
      <c r="U126" s="280">
        <v>158</v>
      </c>
      <c r="V126" s="280">
        <v>160</v>
      </c>
      <c r="W126" s="280">
        <v>160</v>
      </c>
      <c r="X126" s="276">
        <v>44039</v>
      </c>
      <c r="Y126" s="277">
        <v>44075</v>
      </c>
      <c r="Z126" s="26">
        <v>44097</v>
      </c>
      <c r="AA126" s="273">
        <f t="shared" si="17"/>
        <v>2020</v>
      </c>
      <c r="AB126" s="273">
        <f t="shared" si="18"/>
        <v>9</v>
      </c>
      <c r="AC126" s="278" t="s">
        <v>920</v>
      </c>
      <c r="AD126" s="278" t="s">
        <v>422</v>
      </c>
      <c r="AE126" s="278" t="s">
        <v>422</v>
      </c>
      <c r="AF126" s="278" t="s">
        <v>422</v>
      </c>
      <c r="AG126" s="278" t="s">
        <v>422</v>
      </c>
      <c r="AH126" s="278" t="s">
        <v>422</v>
      </c>
      <c r="AI126" s="278" t="s">
        <v>423</v>
      </c>
      <c r="AJ126" s="278" t="s">
        <v>423</v>
      </c>
      <c r="AK126" s="278" t="s">
        <v>423</v>
      </c>
      <c r="AL126" s="279" t="s">
        <v>140</v>
      </c>
      <c r="AM126" s="241"/>
      <c r="AN126" s="241"/>
    </row>
    <row r="127" spans="1:40" ht="15" customHeight="1" x14ac:dyDescent="0.3">
      <c r="A127" s="185">
        <v>130</v>
      </c>
      <c r="B127" s="247" t="s">
        <v>1052</v>
      </c>
      <c r="C127" s="247" t="s">
        <v>1615</v>
      </c>
      <c r="D127" s="199" t="s">
        <v>1881</v>
      </c>
      <c r="E127" s="247"/>
      <c r="F127" s="247"/>
      <c r="G127" s="368" t="s">
        <v>1604</v>
      </c>
      <c r="H127" s="248" t="s">
        <v>1956</v>
      </c>
      <c r="I127" s="357">
        <v>2</v>
      </c>
      <c r="J127" s="248">
        <v>7</v>
      </c>
      <c r="K127" s="247">
        <v>0</v>
      </c>
      <c r="L127" s="212">
        <v>1</v>
      </c>
      <c r="M127" s="212">
        <f t="shared" si="11"/>
        <v>10</v>
      </c>
      <c r="N127" s="212">
        <f t="shared" si="12"/>
        <v>16</v>
      </c>
      <c r="O127" s="212">
        <f t="shared" si="13"/>
        <v>28</v>
      </c>
      <c r="P127" s="212">
        <f t="shared" si="14"/>
        <v>0</v>
      </c>
      <c r="Q127" s="212">
        <f t="shared" si="15"/>
        <v>8</v>
      </c>
      <c r="R127" s="212">
        <f t="shared" si="16"/>
        <v>52</v>
      </c>
      <c r="S127" s="369" t="s">
        <v>1067</v>
      </c>
      <c r="T127" s="275" t="s">
        <v>1080</v>
      </c>
      <c r="U127" s="280">
        <v>137</v>
      </c>
      <c r="V127" s="280">
        <f>113+24</f>
        <v>137</v>
      </c>
      <c r="W127" s="280">
        <f>113+24</f>
        <v>137</v>
      </c>
      <c r="X127" s="276">
        <v>44039</v>
      </c>
      <c r="Y127" s="277">
        <v>44075</v>
      </c>
      <c r="Z127" s="277">
        <v>44097</v>
      </c>
      <c r="AA127" s="273">
        <f t="shared" si="17"/>
        <v>2020</v>
      </c>
      <c r="AB127" s="273">
        <f t="shared" si="18"/>
        <v>9</v>
      </c>
      <c r="AC127" s="278" t="s">
        <v>920</v>
      </c>
      <c r="AD127" s="278" t="s">
        <v>422</v>
      </c>
      <c r="AE127" s="278" t="s">
        <v>422</v>
      </c>
      <c r="AF127" s="278" t="s">
        <v>422</v>
      </c>
      <c r="AG127" s="278" t="s">
        <v>422</v>
      </c>
      <c r="AH127" s="278" t="s">
        <v>422</v>
      </c>
      <c r="AI127" s="278" t="s">
        <v>423</v>
      </c>
      <c r="AJ127" s="278" t="s">
        <v>423</v>
      </c>
      <c r="AK127" s="278" t="s">
        <v>423</v>
      </c>
      <c r="AL127" s="279" t="s">
        <v>1240</v>
      </c>
      <c r="AM127" s="241"/>
      <c r="AN127" s="241"/>
    </row>
    <row r="128" spans="1:40" ht="15" customHeight="1" x14ac:dyDescent="0.3">
      <c r="A128" s="185">
        <v>140</v>
      </c>
      <c r="B128" s="247" t="s">
        <v>1090</v>
      </c>
      <c r="C128" s="247" t="s">
        <v>1615</v>
      </c>
      <c r="D128" s="199" t="s">
        <v>1881</v>
      </c>
      <c r="E128" s="247"/>
      <c r="F128" s="247"/>
      <c r="G128" s="368" t="s">
        <v>1604</v>
      </c>
      <c r="H128" s="247" t="s">
        <v>1942</v>
      </c>
      <c r="I128" s="357">
        <v>2</v>
      </c>
      <c r="J128" s="247">
        <v>11.5</v>
      </c>
      <c r="K128" s="247">
        <v>0</v>
      </c>
      <c r="L128" s="212">
        <v>1.5</v>
      </c>
      <c r="M128" s="212">
        <f t="shared" si="11"/>
        <v>15</v>
      </c>
      <c r="N128" s="212">
        <f t="shared" si="12"/>
        <v>16</v>
      </c>
      <c r="O128" s="212">
        <f t="shared" si="13"/>
        <v>46</v>
      </c>
      <c r="P128" s="212">
        <f t="shared" si="14"/>
        <v>0</v>
      </c>
      <c r="Q128" s="212">
        <f t="shared" si="15"/>
        <v>12</v>
      </c>
      <c r="R128" s="212">
        <f t="shared" si="16"/>
        <v>74</v>
      </c>
      <c r="S128" s="369" t="s">
        <v>1127</v>
      </c>
      <c r="T128" s="275" t="s">
        <v>1018</v>
      </c>
      <c r="U128" s="280">
        <v>122</v>
      </c>
      <c r="V128" s="280">
        <v>125</v>
      </c>
      <c r="W128" s="280">
        <v>125</v>
      </c>
      <c r="X128" s="276">
        <v>44050</v>
      </c>
      <c r="Y128" s="277">
        <v>44119</v>
      </c>
      <c r="Z128" s="277">
        <v>44097</v>
      </c>
      <c r="AA128" s="273">
        <f t="shared" si="17"/>
        <v>2020</v>
      </c>
      <c r="AB128" s="273">
        <f t="shared" si="18"/>
        <v>9</v>
      </c>
      <c r="AC128" s="278" t="s">
        <v>920</v>
      </c>
      <c r="AD128" s="278" t="s">
        <v>422</v>
      </c>
      <c r="AE128" s="278" t="s">
        <v>422</v>
      </c>
      <c r="AF128" s="278" t="s">
        <v>422</v>
      </c>
      <c r="AG128" s="278" t="s">
        <v>422</v>
      </c>
      <c r="AH128" s="278" t="s">
        <v>422</v>
      </c>
      <c r="AI128" s="278" t="s">
        <v>423</v>
      </c>
      <c r="AJ128" s="278" t="s">
        <v>422</v>
      </c>
      <c r="AK128" s="278" t="s">
        <v>423</v>
      </c>
      <c r="AL128" s="279" t="s">
        <v>546</v>
      </c>
      <c r="AM128" s="241"/>
      <c r="AN128" s="241"/>
    </row>
    <row r="129" spans="1:40" ht="15" customHeight="1" x14ac:dyDescent="0.3">
      <c r="A129" s="185">
        <v>141</v>
      </c>
      <c r="B129" s="247" t="s">
        <v>1091</v>
      </c>
      <c r="C129" s="247" t="s">
        <v>1615</v>
      </c>
      <c r="D129" s="199" t="s">
        <v>1881</v>
      </c>
      <c r="E129" s="247"/>
      <c r="F129" s="247"/>
      <c r="G129" s="368" t="s">
        <v>1604</v>
      </c>
      <c r="H129" s="247" t="s">
        <v>1942</v>
      </c>
      <c r="I129" s="357">
        <v>2</v>
      </c>
      <c r="J129" s="247">
        <v>10.3</v>
      </c>
      <c r="K129" s="247">
        <v>0</v>
      </c>
      <c r="L129" s="212">
        <v>1</v>
      </c>
      <c r="M129" s="212">
        <f t="shared" si="11"/>
        <v>13.3</v>
      </c>
      <c r="N129" s="212">
        <f t="shared" si="12"/>
        <v>16</v>
      </c>
      <c r="O129" s="212">
        <f t="shared" si="13"/>
        <v>41.2</v>
      </c>
      <c r="P129" s="212">
        <f t="shared" si="14"/>
        <v>0</v>
      </c>
      <c r="Q129" s="212">
        <f t="shared" si="15"/>
        <v>8</v>
      </c>
      <c r="R129" s="212">
        <f t="shared" si="16"/>
        <v>65.2</v>
      </c>
      <c r="S129" s="369" t="s">
        <v>1126</v>
      </c>
      <c r="T129" s="275" t="s">
        <v>1017</v>
      </c>
      <c r="U129" s="280">
        <v>72</v>
      </c>
      <c r="V129" s="280">
        <v>74</v>
      </c>
      <c r="W129" s="280">
        <v>74</v>
      </c>
      <c r="X129" s="276">
        <v>44050</v>
      </c>
      <c r="Y129" s="277">
        <v>44119</v>
      </c>
      <c r="Z129" s="277">
        <v>44097</v>
      </c>
      <c r="AA129" s="273">
        <f t="shared" si="17"/>
        <v>2020</v>
      </c>
      <c r="AB129" s="273">
        <f t="shared" si="18"/>
        <v>9</v>
      </c>
      <c r="AC129" s="278" t="s">
        <v>920</v>
      </c>
      <c r="AD129" s="278" t="s">
        <v>422</v>
      </c>
      <c r="AE129" s="278" t="s">
        <v>422</v>
      </c>
      <c r="AF129" s="278" t="s">
        <v>422</v>
      </c>
      <c r="AG129" s="278" t="s">
        <v>422</v>
      </c>
      <c r="AH129" s="278" t="s">
        <v>422</v>
      </c>
      <c r="AI129" s="278" t="s">
        <v>423</v>
      </c>
      <c r="AJ129" s="278" t="s">
        <v>422</v>
      </c>
      <c r="AK129" s="278" t="s">
        <v>423</v>
      </c>
      <c r="AL129" s="279" t="s">
        <v>546</v>
      </c>
      <c r="AM129" s="241"/>
      <c r="AN129" s="241"/>
    </row>
    <row r="130" spans="1:40" ht="15" customHeight="1" x14ac:dyDescent="0.3">
      <c r="A130" s="185">
        <v>186</v>
      </c>
      <c r="B130" s="247" t="s">
        <v>1186</v>
      </c>
      <c r="C130" s="247" t="s">
        <v>1615</v>
      </c>
      <c r="D130" s="200" t="s">
        <v>1881</v>
      </c>
      <c r="E130" s="247"/>
      <c r="F130" s="247"/>
      <c r="G130" s="368" t="s">
        <v>1604</v>
      </c>
      <c r="H130" s="247" t="s">
        <v>1942</v>
      </c>
      <c r="I130" s="357">
        <v>2</v>
      </c>
      <c r="J130" s="247">
        <v>103</v>
      </c>
      <c r="K130" s="247">
        <v>0</v>
      </c>
      <c r="L130" s="212">
        <v>1</v>
      </c>
      <c r="M130" s="212">
        <f t="shared" si="11"/>
        <v>106</v>
      </c>
      <c r="N130" s="212">
        <f t="shared" si="12"/>
        <v>16</v>
      </c>
      <c r="O130" s="212">
        <f t="shared" si="13"/>
        <v>412</v>
      </c>
      <c r="P130" s="212">
        <f t="shared" si="14"/>
        <v>0</v>
      </c>
      <c r="Q130" s="212">
        <f t="shared" si="15"/>
        <v>8</v>
      </c>
      <c r="R130" s="212">
        <f t="shared" si="16"/>
        <v>436</v>
      </c>
      <c r="S130" s="369" t="s">
        <v>1193</v>
      </c>
      <c r="T130" s="275" t="s">
        <v>1017</v>
      </c>
      <c r="U130" s="280">
        <v>17</v>
      </c>
      <c r="V130" s="280">
        <v>18</v>
      </c>
      <c r="W130" s="280">
        <v>18</v>
      </c>
      <c r="X130" s="276">
        <v>44085</v>
      </c>
      <c r="Y130" s="276">
        <v>44092</v>
      </c>
      <c r="Z130" s="277">
        <v>44094</v>
      </c>
      <c r="AA130" s="273">
        <f t="shared" si="17"/>
        <v>2020</v>
      </c>
      <c r="AB130" s="273">
        <f t="shared" si="18"/>
        <v>9</v>
      </c>
      <c r="AC130" s="278" t="s">
        <v>920</v>
      </c>
      <c r="AD130" s="278" t="s">
        <v>422</v>
      </c>
      <c r="AE130" s="278" t="s">
        <v>423</v>
      </c>
      <c r="AF130" s="278" t="s">
        <v>422</v>
      </c>
      <c r="AG130" s="278" t="s">
        <v>422</v>
      </c>
      <c r="AH130" s="278" t="s">
        <v>423</v>
      </c>
      <c r="AI130" s="278" t="s">
        <v>422</v>
      </c>
      <c r="AJ130" s="278" t="s">
        <v>423</v>
      </c>
      <c r="AK130" s="278" t="s">
        <v>423</v>
      </c>
      <c r="AL130" s="279" t="s">
        <v>546</v>
      </c>
      <c r="AM130" s="241"/>
      <c r="AN130" s="242" t="s">
        <v>1263</v>
      </c>
    </row>
    <row r="131" spans="1:40" ht="15" customHeight="1" x14ac:dyDescent="0.3">
      <c r="A131" s="185">
        <v>42</v>
      </c>
      <c r="B131" s="247" t="s">
        <v>998</v>
      </c>
      <c r="C131" s="247" t="s">
        <v>1615</v>
      </c>
      <c r="D131" s="200" t="s">
        <v>1881</v>
      </c>
      <c r="E131" s="247"/>
      <c r="F131" s="247"/>
      <c r="G131" s="247" t="s">
        <v>1940</v>
      </c>
      <c r="H131" s="247" t="s">
        <v>1957</v>
      </c>
      <c r="I131" s="357">
        <v>2</v>
      </c>
      <c r="J131" s="247">
        <v>5.5</v>
      </c>
      <c r="K131" s="247">
        <v>8</v>
      </c>
      <c r="L131" s="212">
        <v>1</v>
      </c>
      <c r="M131" s="212">
        <f t="shared" si="11"/>
        <v>16.5</v>
      </c>
      <c r="N131" s="212">
        <f t="shared" si="12"/>
        <v>16</v>
      </c>
      <c r="O131" s="212">
        <f t="shared" si="13"/>
        <v>22</v>
      </c>
      <c r="P131" s="212">
        <f t="shared" si="14"/>
        <v>53.333333333333336</v>
      </c>
      <c r="Q131" s="212">
        <f t="shared" si="15"/>
        <v>8</v>
      </c>
      <c r="R131" s="212">
        <f t="shared" si="16"/>
        <v>99.333333333333343</v>
      </c>
      <c r="S131" s="370" t="s">
        <v>1002</v>
      </c>
      <c r="T131" s="371" t="s">
        <v>1006</v>
      </c>
      <c r="U131" s="370">
        <v>28</v>
      </c>
      <c r="V131" s="370">
        <v>29</v>
      </c>
      <c r="W131" s="370">
        <v>29</v>
      </c>
      <c r="X131" s="3">
        <v>43781</v>
      </c>
      <c r="Y131" s="26">
        <v>43905</v>
      </c>
      <c r="Z131" s="26">
        <v>44134</v>
      </c>
      <c r="AA131" s="273">
        <f t="shared" si="17"/>
        <v>2020</v>
      </c>
      <c r="AB131" s="273">
        <f t="shared" si="18"/>
        <v>10</v>
      </c>
      <c r="AC131" s="211" t="s">
        <v>920</v>
      </c>
      <c r="AD131" s="194" t="s">
        <v>422</v>
      </c>
      <c r="AE131" s="194" t="s">
        <v>422</v>
      </c>
      <c r="AF131" s="194" t="s">
        <v>422</v>
      </c>
      <c r="AG131" s="194" t="s">
        <v>422</v>
      </c>
      <c r="AH131" s="194" t="s">
        <v>423</v>
      </c>
      <c r="AI131" s="194" t="s">
        <v>422</v>
      </c>
      <c r="AJ131" s="194" t="s">
        <v>423</v>
      </c>
      <c r="AK131" s="194" t="s">
        <v>423</v>
      </c>
      <c r="AL131" s="232" t="s">
        <v>1249</v>
      </c>
      <c r="AM131" s="209"/>
      <c r="AN131" s="209"/>
    </row>
    <row r="132" spans="1:40" ht="15" customHeight="1" x14ac:dyDescent="0.3">
      <c r="A132" s="185">
        <v>88</v>
      </c>
      <c r="B132" s="247" t="s">
        <v>908</v>
      </c>
      <c r="C132" s="247" t="s">
        <v>1615</v>
      </c>
      <c r="D132" s="200" t="s">
        <v>1881</v>
      </c>
      <c r="E132" s="247"/>
      <c r="F132" s="247"/>
      <c r="G132" s="368" t="s">
        <v>1604</v>
      </c>
      <c r="H132" s="247" t="s">
        <v>1428</v>
      </c>
      <c r="I132" s="357">
        <v>2</v>
      </c>
      <c r="J132" s="247">
        <v>6</v>
      </c>
      <c r="K132" s="247">
        <v>0</v>
      </c>
      <c r="L132" s="212">
        <v>1</v>
      </c>
      <c r="M132" s="212">
        <f t="shared" si="11"/>
        <v>9</v>
      </c>
      <c r="N132" s="212">
        <f t="shared" si="12"/>
        <v>16</v>
      </c>
      <c r="O132" s="212">
        <f t="shared" si="13"/>
        <v>24</v>
      </c>
      <c r="P132" s="212">
        <f t="shared" si="14"/>
        <v>0</v>
      </c>
      <c r="Q132" s="212">
        <f t="shared" si="15"/>
        <v>8</v>
      </c>
      <c r="R132" s="212">
        <f t="shared" si="16"/>
        <v>48</v>
      </c>
      <c r="S132" s="273" t="s">
        <v>942</v>
      </c>
      <c r="T132" s="275" t="s">
        <v>946</v>
      </c>
      <c r="U132" s="273">
        <v>50</v>
      </c>
      <c r="V132" s="273">
        <v>52</v>
      </c>
      <c r="W132" s="273">
        <v>52</v>
      </c>
      <c r="X132" s="276">
        <v>43875</v>
      </c>
      <c r="Y132" s="277">
        <v>43936</v>
      </c>
      <c r="Z132" s="26">
        <v>44134</v>
      </c>
      <c r="AA132" s="273">
        <f t="shared" si="17"/>
        <v>2020</v>
      </c>
      <c r="AB132" s="273">
        <f t="shared" si="18"/>
        <v>10</v>
      </c>
      <c r="AC132" s="217" t="s">
        <v>920</v>
      </c>
      <c r="AD132" s="194" t="s">
        <v>422</v>
      </c>
      <c r="AE132" s="194" t="s">
        <v>422</v>
      </c>
      <c r="AF132" s="194" t="s">
        <v>422</v>
      </c>
      <c r="AG132" s="194" t="s">
        <v>422</v>
      </c>
      <c r="AH132" s="194" t="s">
        <v>422</v>
      </c>
      <c r="AI132" s="194" t="s">
        <v>422</v>
      </c>
      <c r="AJ132" s="194" t="s">
        <v>423</v>
      </c>
      <c r="AK132" s="194" t="s">
        <v>423</v>
      </c>
      <c r="AL132" s="227" t="s">
        <v>138</v>
      </c>
      <c r="AM132" s="223"/>
      <c r="AN132" s="223"/>
    </row>
    <row r="133" spans="1:40" ht="15" customHeight="1" x14ac:dyDescent="0.3">
      <c r="A133" s="185">
        <v>89</v>
      </c>
      <c r="B133" s="247" t="s">
        <v>909</v>
      </c>
      <c r="C133" s="247" t="s">
        <v>1615</v>
      </c>
      <c r="D133" s="200" t="s">
        <v>1881</v>
      </c>
      <c r="E133" s="247"/>
      <c r="F133" s="247"/>
      <c r="G133" s="368" t="s">
        <v>1604</v>
      </c>
      <c r="H133" s="247" t="s">
        <v>1428</v>
      </c>
      <c r="I133" s="357">
        <v>2</v>
      </c>
      <c r="J133" s="247">
        <v>6.4</v>
      </c>
      <c r="K133" s="247">
        <v>0</v>
      </c>
      <c r="L133" s="212">
        <v>1</v>
      </c>
      <c r="M133" s="212">
        <f t="shared" si="11"/>
        <v>9.4</v>
      </c>
      <c r="N133" s="212">
        <f t="shared" si="12"/>
        <v>16</v>
      </c>
      <c r="O133" s="212">
        <f t="shared" si="13"/>
        <v>25.6</v>
      </c>
      <c r="P133" s="212">
        <f t="shared" si="14"/>
        <v>0</v>
      </c>
      <c r="Q133" s="212">
        <f t="shared" si="15"/>
        <v>8</v>
      </c>
      <c r="R133" s="212">
        <f t="shared" si="16"/>
        <v>49.6</v>
      </c>
      <c r="S133" s="273" t="s">
        <v>943</v>
      </c>
      <c r="T133" s="275" t="s">
        <v>945</v>
      </c>
      <c r="U133" s="273">
        <v>72</v>
      </c>
      <c r="V133" s="273">
        <v>74</v>
      </c>
      <c r="W133" s="273">
        <v>74</v>
      </c>
      <c r="X133" s="276">
        <v>43875</v>
      </c>
      <c r="Y133" s="277">
        <v>43936</v>
      </c>
      <c r="Z133" s="26">
        <v>44134</v>
      </c>
      <c r="AA133" s="273">
        <f t="shared" si="17"/>
        <v>2020</v>
      </c>
      <c r="AB133" s="273">
        <f t="shared" si="18"/>
        <v>10</v>
      </c>
      <c r="AC133" s="217" t="s">
        <v>920</v>
      </c>
      <c r="AD133" s="194" t="s">
        <v>422</v>
      </c>
      <c r="AE133" s="194" t="s">
        <v>422</v>
      </c>
      <c r="AF133" s="194" t="s">
        <v>422</v>
      </c>
      <c r="AG133" s="194" t="s">
        <v>422</v>
      </c>
      <c r="AH133" s="194" t="s">
        <v>422</v>
      </c>
      <c r="AI133" s="194" t="s">
        <v>422</v>
      </c>
      <c r="AJ133" s="194" t="s">
        <v>423</v>
      </c>
      <c r="AK133" s="194" t="s">
        <v>423</v>
      </c>
      <c r="AL133" s="227" t="s">
        <v>138</v>
      </c>
      <c r="AM133" s="223"/>
      <c r="AN133" s="223"/>
    </row>
    <row r="134" spans="1:40" ht="15" customHeight="1" x14ac:dyDescent="0.3">
      <c r="A134" s="185">
        <v>90</v>
      </c>
      <c r="B134" s="247" t="s">
        <v>910</v>
      </c>
      <c r="C134" s="247" t="s">
        <v>1615</v>
      </c>
      <c r="D134" s="200" t="s">
        <v>1881</v>
      </c>
      <c r="E134" s="247"/>
      <c r="F134" s="247"/>
      <c r="G134" s="247" t="s">
        <v>1940</v>
      </c>
      <c r="H134" s="247"/>
      <c r="I134" s="357">
        <v>2</v>
      </c>
      <c r="J134" s="358">
        <v>7.5</v>
      </c>
      <c r="K134" s="247">
        <v>32</v>
      </c>
      <c r="L134" s="212">
        <v>1</v>
      </c>
      <c r="M134" s="212">
        <f t="shared" si="11"/>
        <v>42.5</v>
      </c>
      <c r="N134" s="212">
        <f t="shared" si="12"/>
        <v>16</v>
      </c>
      <c r="O134" s="212">
        <f t="shared" si="13"/>
        <v>30</v>
      </c>
      <c r="P134" s="212">
        <f t="shared" si="14"/>
        <v>213.33333333333334</v>
      </c>
      <c r="Q134" s="212">
        <f t="shared" si="15"/>
        <v>8</v>
      </c>
      <c r="R134" s="212">
        <f t="shared" si="16"/>
        <v>267.33333333333337</v>
      </c>
      <c r="S134" s="273" t="s">
        <v>944</v>
      </c>
      <c r="T134" s="275" t="s">
        <v>947</v>
      </c>
      <c r="U134" s="273">
        <v>24</v>
      </c>
      <c r="V134" s="273">
        <v>26</v>
      </c>
      <c r="W134" s="273">
        <v>26</v>
      </c>
      <c r="X134" s="276">
        <v>43875</v>
      </c>
      <c r="Y134" s="277">
        <v>43936</v>
      </c>
      <c r="Z134" s="26">
        <v>44134</v>
      </c>
      <c r="AA134" s="273">
        <f t="shared" si="17"/>
        <v>2020</v>
      </c>
      <c r="AB134" s="273">
        <f t="shared" si="18"/>
        <v>10</v>
      </c>
      <c r="AC134" s="217" t="s">
        <v>920</v>
      </c>
      <c r="AD134" s="194" t="s">
        <v>422</v>
      </c>
      <c r="AE134" s="194" t="s">
        <v>422</v>
      </c>
      <c r="AF134" s="194" t="s">
        <v>422</v>
      </c>
      <c r="AG134" s="194" t="s">
        <v>422</v>
      </c>
      <c r="AH134" s="194" t="s">
        <v>422</v>
      </c>
      <c r="AI134" s="194" t="s">
        <v>422</v>
      </c>
      <c r="AJ134" s="194" t="s">
        <v>423</v>
      </c>
      <c r="AK134" s="194" t="s">
        <v>423</v>
      </c>
      <c r="AL134" s="227" t="s">
        <v>1249</v>
      </c>
      <c r="AM134" s="223"/>
      <c r="AN134" s="223"/>
    </row>
    <row r="135" spans="1:40" ht="15" customHeight="1" x14ac:dyDescent="0.3">
      <c r="A135" s="185">
        <v>125</v>
      </c>
      <c r="B135" s="247" t="s">
        <v>1050</v>
      </c>
      <c r="C135" s="247" t="s">
        <v>1618</v>
      </c>
      <c r="D135" s="200" t="s">
        <v>1849</v>
      </c>
      <c r="E135" s="247"/>
      <c r="F135" s="247" t="s">
        <v>1597</v>
      </c>
      <c r="G135" s="368" t="s">
        <v>1604</v>
      </c>
      <c r="H135" s="248"/>
      <c r="I135" s="248">
        <v>2</v>
      </c>
      <c r="J135" s="248">
        <v>2</v>
      </c>
      <c r="K135" s="248">
        <v>0</v>
      </c>
      <c r="L135" s="212">
        <v>0.3</v>
      </c>
      <c r="M135" s="212">
        <f t="shared" ref="M135:M198" si="20">SUM((I135:L135))</f>
        <v>4.3</v>
      </c>
      <c r="N135" s="212">
        <f t="shared" ref="N135:N198" si="21">+I135/0.125</f>
        <v>16</v>
      </c>
      <c r="O135" s="212">
        <f t="shared" ref="O135:O198" si="22">+J135/0.25</f>
        <v>8</v>
      </c>
      <c r="P135" s="212">
        <f t="shared" ref="P135:P198" si="23">+K135/0.15</f>
        <v>0</v>
      </c>
      <c r="Q135" s="212">
        <f t="shared" ref="Q135:Q198" si="24">+L135/0.125</f>
        <v>2.4</v>
      </c>
      <c r="R135" s="212">
        <f t="shared" ref="R135:R198" si="25">SUM(N135:Q135)</f>
        <v>26.4</v>
      </c>
      <c r="S135" s="369" t="s">
        <v>1047</v>
      </c>
      <c r="T135" s="275" t="s">
        <v>1048</v>
      </c>
      <c r="U135" s="280">
        <v>247</v>
      </c>
      <c r="V135" s="280">
        <v>247</v>
      </c>
      <c r="W135" s="280">
        <v>247</v>
      </c>
      <c r="X135" s="276">
        <v>43981</v>
      </c>
      <c r="Y135" s="277">
        <v>44051</v>
      </c>
      <c r="Z135" s="26">
        <v>44111</v>
      </c>
      <c r="AA135" s="273">
        <f t="shared" ref="AA135:AA198" si="26">IF(YEAR(Z135)&gt;2000,YEAR(Z135),YEAR(Y135))</f>
        <v>2020</v>
      </c>
      <c r="AB135" s="273">
        <f t="shared" ref="AB135:AB198" si="27">MONTH(Z135)</f>
        <v>10</v>
      </c>
      <c r="AC135" s="278" t="s">
        <v>920</v>
      </c>
      <c r="AD135" s="278" t="s">
        <v>422</v>
      </c>
      <c r="AE135" s="278" t="s">
        <v>422</v>
      </c>
      <c r="AF135" s="278" t="s">
        <v>422</v>
      </c>
      <c r="AG135" s="278" t="s">
        <v>422</v>
      </c>
      <c r="AH135" s="278" t="s">
        <v>422</v>
      </c>
      <c r="AI135" s="278" t="s">
        <v>423</v>
      </c>
      <c r="AJ135" s="278" t="s">
        <v>423</v>
      </c>
      <c r="AK135" s="278" t="s">
        <v>423</v>
      </c>
      <c r="AL135" s="279" t="s">
        <v>108</v>
      </c>
      <c r="AM135" s="244"/>
      <c r="AN135" s="244"/>
    </row>
    <row r="136" spans="1:40" ht="15" customHeight="1" x14ac:dyDescent="0.3">
      <c r="A136" s="185">
        <v>129</v>
      </c>
      <c r="B136" s="247" t="s">
        <v>1053</v>
      </c>
      <c r="C136" s="247" t="s">
        <v>1615</v>
      </c>
      <c r="D136" s="200" t="s">
        <v>1881</v>
      </c>
      <c r="E136" s="247"/>
      <c r="F136" s="247" t="s">
        <v>1597</v>
      </c>
      <c r="G136" s="368" t="s">
        <v>1604</v>
      </c>
      <c r="H136" s="248" t="s">
        <v>1956</v>
      </c>
      <c r="I136" s="359">
        <v>2</v>
      </c>
      <c r="J136" s="248">
        <v>13</v>
      </c>
      <c r="K136" s="248">
        <v>0</v>
      </c>
      <c r="L136" s="212">
        <v>1</v>
      </c>
      <c r="M136" s="212">
        <f t="shared" si="20"/>
        <v>16</v>
      </c>
      <c r="N136" s="212">
        <f t="shared" si="21"/>
        <v>16</v>
      </c>
      <c r="O136" s="212">
        <f t="shared" si="22"/>
        <v>52</v>
      </c>
      <c r="P136" s="212">
        <f t="shared" si="23"/>
        <v>0</v>
      </c>
      <c r="Q136" s="212">
        <f t="shared" si="24"/>
        <v>8</v>
      </c>
      <c r="R136" s="212">
        <f t="shared" si="25"/>
        <v>76</v>
      </c>
      <c r="S136" s="369" t="s">
        <v>1066</v>
      </c>
      <c r="T136" s="275" t="s">
        <v>1079</v>
      </c>
      <c r="U136" s="280">
        <v>137</v>
      </c>
      <c r="V136" s="280">
        <v>139</v>
      </c>
      <c r="W136" s="280">
        <v>139</v>
      </c>
      <c r="X136" s="276">
        <v>44039</v>
      </c>
      <c r="Y136" s="277">
        <v>44075</v>
      </c>
      <c r="Z136" s="277">
        <v>44134</v>
      </c>
      <c r="AA136" s="273">
        <f t="shared" si="26"/>
        <v>2020</v>
      </c>
      <c r="AB136" s="273">
        <f t="shared" si="27"/>
        <v>10</v>
      </c>
      <c r="AC136" s="278" t="s">
        <v>920</v>
      </c>
      <c r="AD136" s="278" t="s">
        <v>422</v>
      </c>
      <c r="AE136" s="278" t="s">
        <v>422</v>
      </c>
      <c r="AF136" s="278" t="s">
        <v>422</v>
      </c>
      <c r="AG136" s="278" t="s">
        <v>422</v>
      </c>
      <c r="AH136" s="278" t="s">
        <v>422</v>
      </c>
      <c r="AI136" s="278" t="s">
        <v>423</v>
      </c>
      <c r="AJ136" s="278" t="s">
        <v>423</v>
      </c>
      <c r="AK136" s="278" t="s">
        <v>423</v>
      </c>
      <c r="AL136" s="279" t="s">
        <v>1241</v>
      </c>
      <c r="AM136" s="241"/>
      <c r="AN136" s="241"/>
    </row>
    <row r="137" spans="1:40" ht="15" customHeight="1" x14ac:dyDescent="0.3">
      <c r="A137" s="185">
        <v>131</v>
      </c>
      <c r="B137" s="247" t="s">
        <v>1051</v>
      </c>
      <c r="C137" s="247" t="s">
        <v>1615</v>
      </c>
      <c r="D137" s="200" t="s">
        <v>1881</v>
      </c>
      <c r="E137" s="247"/>
      <c r="F137" s="247"/>
      <c r="G137" s="368" t="s">
        <v>1604</v>
      </c>
      <c r="H137" s="248" t="s">
        <v>1956</v>
      </c>
      <c r="I137" s="359">
        <v>2</v>
      </c>
      <c r="J137" s="248">
        <v>12.5</v>
      </c>
      <c r="K137" s="248">
        <v>0</v>
      </c>
      <c r="L137" s="212">
        <v>1</v>
      </c>
      <c r="M137" s="212">
        <f t="shared" si="20"/>
        <v>15.5</v>
      </c>
      <c r="N137" s="212">
        <f t="shared" si="21"/>
        <v>16</v>
      </c>
      <c r="O137" s="212">
        <f t="shared" si="22"/>
        <v>50</v>
      </c>
      <c r="P137" s="212">
        <f t="shared" si="23"/>
        <v>0</v>
      </c>
      <c r="Q137" s="212">
        <f t="shared" si="24"/>
        <v>8</v>
      </c>
      <c r="R137" s="212">
        <f t="shared" si="25"/>
        <v>74</v>
      </c>
      <c r="S137" s="369" t="s">
        <v>1068</v>
      </c>
      <c r="T137" s="275" t="s">
        <v>1081</v>
      </c>
      <c r="U137" s="280">
        <v>204</v>
      </c>
      <c r="V137" s="280">
        <v>206</v>
      </c>
      <c r="W137" s="280">
        <v>206</v>
      </c>
      <c r="X137" s="276">
        <v>44039</v>
      </c>
      <c r="Y137" s="277">
        <v>44075</v>
      </c>
      <c r="Z137" s="277">
        <v>44134</v>
      </c>
      <c r="AA137" s="273">
        <f t="shared" si="26"/>
        <v>2020</v>
      </c>
      <c r="AB137" s="273">
        <f t="shared" si="27"/>
        <v>10</v>
      </c>
      <c r="AC137" s="278" t="s">
        <v>920</v>
      </c>
      <c r="AD137" s="278" t="s">
        <v>422</v>
      </c>
      <c r="AE137" s="278" t="s">
        <v>422</v>
      </c>
      <c r="AF137" s="278" t="s">
        <v>422</v>
      </c>
      <c r="AG137" s="278" t="s">
        <v>422</v>
      </c>
      <c r="AH137" s="278" t="s">
        <v>422</v>
      </c>
      <c r="AI137" s="278" t="s">
        <v>423</v>
      </c>
      <c r="AJ137" s="278" t="s">
        <v>423</v>
      </c>
      <c r="AK137" s="278" t="s">
        <v>423</v>
      </c>
      <c r="AL137" s="279" t="s">
        <v>1242</v>
      </c>
      <c r="AM137" s="241"/>
      <c r="AN137" s="241"/>
    </row>
    <row r="138" spans="1:40" ht="15" customHeight="1" x14ac:dyDescent="0.3">
      <c r="A138" s="185">
        <v>132</v>
      </c>
      <c r="B138" s="247" t="s">
        <v>1056</v>
      </c>
      <c r="C138" s="247" t="s">
        <v>1615</v>
      </c>
      <c r="D138" s="200" t="s">
        <v>1881</v>
      </c>
      <c r="E138" s="247"/>
      <c r="F138" s="247"/>
      <c r="G138" s="368" t="s">
        <v>1604</v>
      </c>
      <c r="H138" s="248" t="s">
        <v>1010</v>
      </c>
      <c r="I138" s="359">
        <v>2</v>
      </c>
      <c r="J138" s="248">
        <v>15</v>
      </c>
      <c r="K138" s="248">
        <v>0</v>
      </c>
      <c r="L138" s="212">
        <v>1</v>
      </c>
      <c r="M138" s="212">
        <f t="shared" si="20"/>
        <v>18</v>
      </c>
      <c r="N138" s="212">
        <f t="shared" si="21"/>
        <v>16</v>
      </c>
      <c r="O138" s="212">
        <f t="shared" si="22"/>
        <v>60</v>
      </c>
      <c r="P138" s="212">
        <f t="shared" si="23"/>
        <v>0</v>
      </c>
      <c r="Q138" s="212">
        <f t="shared" si="24"/>
        <v>8</v>
      </c>
      <c r="R138" s="212">
        <f t="shared" si="25"/>
        <v>84</v>
      </c>
      <c r="S138" s="369" t="s">
        <v>1069</v>
      </c>
      <c r="T138" s="275" t="s">
        <v>1082</v>
      </c>
      <c r="U138" s="280">
        <v>86</v>
      </c>
      <c r="V138" s="280">
        <v>88</v>
      </c>
      <c r="W138" s="280">
        <v>88</v>
      </c>
      <c r="X138" s="276">
        <v>44039</v>
      </c>
      <c r="Y138" s="277">
        <v>44075</v>
      </c>
      <c r="Z138" s="277">
        <v>44134</v>
      </c>
      <c r="AA138" s="273">
        <f t="shared" si="26"/>
        <v>2020</v>
      </c>
      <c r="AB138" s="273">
        <f t="shared" si="27"/>
        <v>10</v>
      </c>
      <c r="AC138" s="278" t="s">
        <v>920</v>
      </c>
      <c r="AD138" s="278" t="s">
        <v>422</v>
      </c>
      <c r="AE138" s="278" t="s">
        <v>422</v>
      </c>
      <c r="AF138" s="278" t="s">
        <v>422</v>
      </c>
      <c r="AG138" s="278" t="s">
        <v>422</v>
      </c>
      <c r="AH138" s="278" t="s">
        <v>422</v>
      </c>
      <c r="AI138" s="278" t="s">
        <v>423</v>
      </c>
      <c r="AJ138" s="278" t="s">
        <v>423</v>
      </c>
      <c r="AK138" s="278" t="s">
        <v>423</v>
      </c>
      <c r="AL138" s="279" t="s">
        <v>140</v>
      </c>
      <c r="AM138" s="241"/>
      <c r="AN138" s="241"/>
    </row>
    <row r="139" spans="1:40" ht="15" customHeight="1" x14ac:dyDescent="0.3">
      <c r="A139" s="185">
        <v>133</v>
      </c>
      <c r="B139" s="247" t="s">
        <v>1057</v>
      </c>
      <c r="C139" s="247" t="s">
        <v>1615</v>
      </c>
      <c r="D139" s="200" t="s">
        <v>1881</v>
      </c>
      <c r="E139" s="247"/>
      <c r="F139" s="247"/>
      <c r="G139" s="368" t="s">
        <v>1604</v>
      </c>
      <c r="H139" s="248" t="s">
        <v>1943</v>
      </c>
      <c r="I139" s="359">
        <v>2</v>
      </c>
      <c r="J139" s="248">
        <v>9</v>
      </c>
      <c r="K139" s="248">
        <v>0</v>
      </c>
      <c r="L139" s="212">
        <v>1.5</v>
      </c>
      <c r="M139" s="212">
        <f t="shared" si="20"/>
        <v>12.5</v>
      </c>
      <c r="N139" s="212">
        <f t="shared" si="21"/>
        <v>16</v>
      </c>
      <c r="O139" s="212">
        <f t="shared" si="22"/>
        <v>36</v>
      </c>
      <c r="P139" s="212">
        <f t="shared" si="23"/>
        <v>0</v>
      </c>
      <c r="Q139" s="212">
        <f t="shared" si="24"/>
        <v>12</v>
      </c>
      <c r="R139" s="212">
        <f t="shared" si="25"/>
        <v>64</v>
      </c>
      <c r="S139" s="369" t="s">
        <v>1070</v>
      </c>
      <c r="T139" s="275" t="s">
        <v>1083</v>
      </c>
      <c r="U139" s="280">
        <v>102</v>
      </c>
      <c r="V139" s="280">
        <v>103</v>
      </c>
      <c r="W139" s="280">
        <v>103</v>
      </c>
      <c r="X139" s="276">
        <v>44039</v>
      </c>
      <c r="Y139" s="277">
        <v>44075</v>
      </c>
      <c r="Z139" s="277">
        <v>44134</v>
      </c>
      <c r="AA139" s="273">
        <f t="shared" si="26"/>
        <v>2020</v>
      </c>
      <c r="AB139" s="273">
        <f t="shared" si="27"/>
        <v>10</v>
      </c>
      <c r="AC139" s="278" t="s">
        <v>920</v>
      </c>
      <c r="AD139" s="278" t="s">
        <v>422</v>
      </c>
      <c r="AE139" s="278" t="s">
        <v>422</v>
      </c>
      <c r="AF139" s="278" t="s">
        <v>422</v>
      </c>
      <c r="AG139" s="278" t="s">
        <v>422</v>
      </c>
      <c r="AH139" s="278" t="s">
        <v>422</v>
      </c>
      <c r="AI139" s="278" t="s">
        <v>423</v>
      </c>
      <c r="AJ139" s="278" t="s">
        <v>422</v>
      </c>
      <c r="AK139" s="278" t="s">
        <v>423</v>
      </c>
      <c r="AL139" s="279" t="s">
        <v>1372</v>
      </c>
      <c r="AM139" s="241"/>
      <c r="AN139" s="241"/>
    </row>
    <row r="140" spans="1:40" ht="15" customHeight="1" x14ac:dyDescent="0.3">
      <c r="A140" s="185">
        <v>142</v>
      </c>
      <c r="B140" s="247" t="s">
        <v>1094</v>
      </c>
      <c r="C140" s="247" t="s">
        <v>1618</v>
      </c>
      <c r="D140" s="200" t="s">
        <v>1881</v>
      </c>
      <c r="E140" s="247"/>
      <c r="F140" s="247"/>
      <c r="G140" s="368" t="s">
        <v>1604</v>
      </c>
      <c r="H140" s="247" t="s">
        <v>1956</v>
      </c>
      <c r="I140" s="359">
        <v>2</v>
      </c>
      <c r="J140" s="247">
        <v>13</v>
      </c>
      <c r="K140" s="248">
        <v>0</v>
      </c>
      <c r="L140" s="212">
        <v>1</v>
      </c>
      <c r="M140" s="212">
        <f t="shared" si="20"/>
        <v>16</v>
      </c>
      <c r="N140" s="212">
        <f t="shared" si="21"/>
        <v>16</v>
      </c>
      <c r="O140" s="212">
        <f t="shared" si="22"/>
        <v>52</v>
      </c>
      <c r="P140" s="212">
        <f t="shared" si="23"/>
        <v>0</v>
      </c>
      <c r="Q140" s="212">
        <f t="shared" si="24"/>
        <v>8</v>
      </c>
      <c r="R140" s="212">
        <f t="shared" si="25"/>
        <v>76</v>
      </c>
      <c r="S140" s="369" t="s">
        <v>1139</v>
      </c>
      <c r="T140" s="372" t="s">
        <v>1138</v>
      </c>
      <c r="U140" s="280">
        <v>90</v>
      </c>
      <c r="V140" s="280">
        <v>92</v>
      </c>
      <c r="W140" s="280">
        <v>92</v>
      </c>
      <c r="X140" s="276">
        <v>44061</v>
      </c>
      <c r="Y140" s="276">
        <v>44061</v>
      </c>
      <c r="Z140" s="276">
        <v>44134</v>
      </c>
      <c r="AA140" s="273">
        <f t="shared" si="26"/>
        <v>2020</v>
      </c>
      <c r="AB140" s="273">
        <f t="shared" si="27"/>
        <v>10</v>
      </c>
      <c r="AC140" s="278" t="s">
        <v>920</v>
      </c>
      <c r="AD140" s="278" t="s">
        <v>422</v>
      </c>
      <c r="AE140" s="278" t="s">
        <v>422</v>
      </c>
      <c r="AF140" s="278" t="s">
        <v>422</v>
      </c>
      <c r="AG140" s="278" t="s">
        <v>422</v>
      </c>
      <c r="AH140" s="278" t="s">
        <v>422</v>
      </c>
      <c r="AI140" s="278" t="s">
        <v>423</v>
      </c>
      <c r="AJ140" s="278" t="s">
        <v>423</v>
      </c>
      <c r="AK140" s="278" t="s">
        <v>423</v>
      </c>
      <c r="AL140" s="279" t="s">
        <v>1240</v>
      </c>
      <c r="AM140" s="241"/>
      <c r="AN140" s="241"/>
    </row>
    <row r="141" spans="1:40" ht="15" customHeight="1" x14ac:dyDescent="0.3">
      <c r="A141" s="185">
        <v>143</v>
      </c>
      <c r="B141" s="247" t="s">
        <v>1095</v>
      </c>
      <c r="C141" s="247" t="s">
        <v>1618</v>
      </c>
      <c r="D141" s="200" t="s">
        <v>1881</v>
      </c>
      <c r="E141" s="247"/>
      <c r="F141" s="247"/>
      <c r="G141" s="368" t="s">
        <v>1604</v>
      </c>
      <c r="H141" s="247" t="s">
        <v>1010</v>
      </c>
      <c r="I141" s="359">
        <v>2</v>
      </c>
      <c r="J141" s="247">
        <v>12</v>
      </c>
      <c r="K141" s="248">
        <v>0</v>
      </c>
      <c r="L141" s="212">
        <v>1.5</v>
      </c>
      <c r="M141" s="212">
        <f t="shared" si="20"/>
        <v>15.5</v>
      </c>
      <c r="N141" s="212">
        <f t="shared" si="21"/>
        <v>16</v>
      </c>
      <c r="O141" s="212">
        <f t="shared" si="22"/>
        <v>48</v>
      </c>
      <c r="P141" s="212">
        <f t="shared" si="23"/>
        <v>0</v>
      </c>
      <c r="Q141" s="212">
        <f t="shared" si="24"/>
        <v>12</v>
      </c>
      <c r="R141" s="212">
        <f t="shared" si="25"/>
        <v>76</v>
      </c>
      <c r="S141" s="369" t="s">
        <v>1142</v>
      </c>
      <c r="T141" s="372" t="s">
        <v>1143</v>
      </c>
      <c r="U141" s="280">
        <v>120</v>
      </c>
      <c r="V141" s="280">
        <v>120</v>
      </c>
      <c r="W141" s="280">
        <v>120</v>
      </c>
      <c r="X141" s="276">
        <v>44061</v>
      </c>
      <c r="Y141" s="276">
        <v>44061</v>
      </c>
      <c r="Z141" s="276">
        <v>44134</v>
      </c>
      <c r="AA141" s="273">
        <f t="shared" si="26"/>
        <v>2020</v>
      </c>
      <c r="AB141" s="273">
        <f t="shared" si="27"/>
        <v>10</v>
      </c>
      <c r="AC141" s="278" t="s">
        <v>920</v>
      </c>
      <c r="AD141" s="278" t="s">
        <v>422</v>
      </c>
      <c r="AE141" s="278" t="s">
        <v>422</v>
      </c>
      <c r="AF141" s="278" t="s">
        <v>422</v>
      </c>
      <c r="AG141" s="278" t="s">
        <v>422</v>
      </c>
      <c r="AH141" s="278" t="s">
        <v>422</v>
      </c>
      <c r="AI141" s="278" t="s">
        <v>423</v>
      </c>
      <c r="AJ141" s="278" t="s">
        <v>422</v>
      </c>
      <c r="AK141" s="278" t="s">
        <v>423</v>
      </c>
      <c r="AL141" s="279" t="s">
        <v>140</v>
      </c>
      <c r="AM141" s="241"/>
      <c r="AN141" s="241"/>
    </row>
    <row r="142" spans="1:40" ht="15" customHeight="1" x14ac:dyDescent="0.3">
      <c r="A142" s="185">
        <v>144</v>
      </c>
      <c r="B142" s="247" t="s">
        <v>1096</v>
      </c>
      <c r="C142" s="247" t="s">
        <v>1618</v>
      </c>
      <c r="D142" s="200" t="s">
        <v>1881</v>
      </c>
      <c r="E142" s="247"/>
      <c r="F142" s="247"/>
      <c r="G142" s="368" t="s">
        <v>1604</v>
      </c>
      <c r="H142" s="247" t="s">
        <v>1943</v>
      </c>
      <c r="I142" s="359">
        <v>2</v>
      </c>
      <c r="J142" s="247">
        <v>7.5</v>
      </c>
      <c r="K142" s="248">
        <v>0</v>
      </c>
      <c r="L142" s="212">
        <v>1</v>
      </c>
      <c r="M142" s="212">
        <f t="shared" si="20"/>
        <v>10.5</v>
      </c>
      <c r="N142" s="212">
        <f t="shared" si="21"/>
        <v>16</v>
      </c>
      <c r="O142" s="212">
        <f t="shared" si="22"/>
        <v>30</v>
      </c>
      <c r="P142" s="212">
        <f t="shared" si="23"/>
        <v>0</v>
      </c>
      <c r="Q142" s="212">
        <f t="shared" si="24"/>
        <v>8</v>
      </c>
      <c r="R142" s="212">
        <f t="shared" si="25"/>
        <v>54</v>
      </c>
      <c r="S142" s="369" t="s">
        <v>1144</v>
      </c>
      <c r="T142" s="372" t="s">
        <v>1145</v>
      </c>
      <c r="U142" s="280">
        <v>69</v>
      </c>
      <c r="V142" s="280">
        <v>69</v>
      </c>
      <c r="W142" s="280">
        <v>69</v>
      </c>
      <c r="X142" s="276">
        <v>44061</v>
      </c>
      <c r="Y142" s="276">
        <v>44061</v>
      </c>
      <c r="Z142" s="276">
        <v>44134</v>
      </c>
      <c r="AA142" s="273">
        <f t="shared" si="26"/>
        <v>2020</v>
      </c>
      <c r="AB142" s="273">
        <f t="shared" si="27"/>
        <v>10</v>
      </c>
      <c r="AC142" s="278" t="s">
        <v>920</v>
      </c>
      <c r="AD142" s="278" t="s">
        <v>422</v>
      </c>
      <c r="AE142" s="278" t="s">
        <v>422</v>
      </c>
      <c r="AF142" s="278" t="s">
        <v>422</v>
      </c>
      <c r="AG142" s="278" t="s">
        <v>422</v>
      </c>
      <c r="AH142" s="278" t="s">
        <v>422</v>
      </c>
      <c r="AI142" s="278" t="s">
        <v>423</v>
      </c>
      <c r="AJ142" s="278" t="s">
        <v>422</v>
      </c>
      <c r="AK142" s="278" t="s">
        <v>423</v>
      </c>
      <c r="AL142" s="279" t="s">
        <v>1372</v>
      </c>
      <c r="AM142" s="241"/>
      <c r="AN142" s="241"/>
    </row>
    <row r="143" spans="1:40" ht="15" customHeight="1" x14ac:dyDescent="0.3">
      <c r="A143" s="185">
        <v>145</v>
      </c>
      <c r="B143" s="247" t="s">
        <v>1092</v>
      </c>
      <c r="C143" s="247" t="s">
        <v>1618</v>
      </c>
      <c r="D143" s="200" t="s">
        <v>1881</v>
      </c>
      <c r="E143" s="247"/>
      <c r="F143" s="247"/>
      <c r="G143" s="368" t="s">
        <v>1604</v>
      </c>
      <c r="H143" s="247" t="s">
        <v>1956</v>
      </c>
      <c r="I143" s="359">
        <v>2</v>
      </c>
      <c r="J143" s="247">
        <v>8.5</v>
      </c>
      <c r="K143" s="248">
        <v>0</v>
      </c>
      <c r="L143" s="212">
        <v>1.5</v>
      </c>
      <c r="M143" s="212">
        <f t="shared" si="20"/>
        <v>12</v>
      </c>
      <c r="N143" s="212">
        <f t="shared" si="21"/>
        <v>16</v>
      </c>
      <c r="O143" s="212">
        <f t="shared" si="22"/>
        <v>34</v>
      </c>
      <c r="P143" s="212">
        <f t="shared" si="23"/>
        <v>0</v>
      </c>
      <c r="Q143" s="212">
        <f t="shared" si="24"/>
        <v>12</v>
      </c>
      <c r="R143" s="212">
        <f t="shared" si="25"/>
        <v>62</v>
      </c>
      <c r="S143" s="369" t="s">
        <v>1097</v>
      </c>
      <c r="T143" s="372" t="s">
        <v>1146</v>
      </c>
      <c r="U143" s="280">
        <v>110</v>
      </c>
      <c r="V143" s="280">
        <v>112</v>
      </c>
      <c r="W143" s="280">
        <v>112</v>
      </c>
      <c r="X143" s="276">
        <v>44064</v>
      </c>
      <c r="Y143" s="276">
        <v>44089</v>
      </c>
      <c r="Z143" s="276">
        <v>44134</v>
      </c>
      <c r="AA143" s="273">
        <f t="shared" si="26"/>
        <v>2020</v>
      </c>
      <c r="AB143" s="273">
        <f t="shared" si="27"/>
        <v>10</v>
      </c>
      <c r="AC143" s="278" t="s">
        <v>920</v>
      </c>
      <c r="AD143" s="278" t="s">
        <v>422</v>
      </c>
      <c r="AE143" s="278" t="s">
        <v>422</v>
      </c>
      <c r="AF143" s="278" t="s">
        <v>422</v>
      </c>
      <c r="AG143" s="278" t="s">
        <v>422</v>
      </c>
      <c r="AH143" s="278" t="s">
        <v>422</v>
      </c>
      <c r="AI143" s="278" t="s">
        <v>423</v>
      </c>
      <c r="AJ143" s="278" t="s">
        <v>423</v>
      </c>
      <c r="AK143" s="278" t="s">
        <v>423</v>
      </c>
      <c r="AL143" s="279" t="s">
        <v>1240</v>
      </c>
      <c r="AM143" s="241"/>
      <c r="AN143" s="241"/>
    </row>
    <row r="144" spans="1:40" ht="15" customHeight="1" x14ac:dyDescent="0.3">
      <c r="A144" s="185">
        <v>146</v>
      </c>
      <c r="B144" s="247" t="s">
        <v>1373</v>
      </c>
      <c r="C144" s="247" t="s">
        <v>1618</v>
      </c>
      <c r="D144" s="200" t="s">
        <v>1881</v>
      </c>
      <c r="E144" s="247"/>
      <c r="F144" s="247"/>
      <c r="G144" s="368" t="s">
        <v>1604</v>
      </c>
      <c r="H144" s="247" t="s">
        <v>1956</v>
      </c>
      <c r="I144" s="359">
        <v>2</v>
      </c>
      <c r="J144" s="247">
        <v>6.5</v>
      </c>
      <c r="K144" s="248">
        <v>0</v>
      </c>
      <c r="L144" s="212">
        <v>1</v>
      </c>
      <c r="M144" s="212">
        <f t="shared" si="20"/>
        <v>9.5</v>
      </c>
      <c r="N144" s="212">
        <f t="shared" si="21"/>
        <v>16</v>
      </c>
      <c r="O144" s="212">
        <f t="shared" si="22"/>
        <v>26</v>
      </c>
      <c r="P144" s="212">
        <f t="shared" si="23"/>
        <v>0</v>
      </c>
      <c r="Q144" s="212">
        <f t="shared" si="24"/>
        <v>8</v>
      </c>
      <c r="R144" s="212">
        <f t="shared" si="25"/>
        <v>50</v>
      </c>
      <c r="S144" s="369" t="s">
        <v>1098</v>
      </c>
      <c r="T144" s="372" t="s">
        <v>1147</v>
      </c>
      <c r="U144" s="280">
        <v>100</v>
      </c>
      <c r="V144" s="280">
        <v>102</v>
      </c>
      <c r="W144" s="280">
        <v>102</v>
      </c>
      <c r="X144" s="276">
        <v>44064</v>
      </c>
      <c r="Y144" s="276">
        <v>44089</v>
      </c>
      <c r="Z144" s="276">
        <v>44134</v>
      </c>
      <c r="AA144" s="273">
        <f t="shared" si="26"/>
        <v>2020</v>
      </c>
      <c r="AB144" s="273">
        <f t="shared" si="27"/>
        <v>10</v>
      </c>
      <c r="AC144" s="278" t="s">
        <v>920</v>
      </c>
      <c r="AD144" s="278" t="s">
        <v>422</v>
      </c>
      <c r="AE144" s="278" t="s">
        <v>422</v>
      </c>
      <c r="AF144" s="278" t="s">
        <v>422</v>
      </c>
      <c r="AG144" s="278" t="s">
        <v>422</v>
      </c>
      <c r="AH144" s="278" t="s">
        <v>422</v>
      </c>
      <c r="AI144" s="278" t="s">
        <v>423</v>
      </c>
      <c r="AJ144" s="278" t="s">
        <v>423</v>
      </c>
      <c r="AK144" s="278" t="s">
        <v>423</v>
      </c>
      <c r="AL144" s="279" t="s">
        <v>1240</v>
      </c>
      <c r="AM144" s="241"/>
      <c r="AN144" s="241"/>
    </row>
    <row r="145" spans="1:40" ht="15" customHeight="1" x14ac:dyDescent="0.3">
      <c r="A145" s="185">
        <v>147</v>
      </c>
      <c r="B145" s="247" t="s">
        <v>1093</v>
      </c>
      <c r="C145" s="247" t="s">
        <v>1618</v>
      </c>
      <c r="D145" s="200" t="s">
        <v>1881</v>
      </c>
      <c r="E145" s="247"/>
      <c r="F145" s="247" t="s">
        <v>1598</v>
      </c>
      <c r="G145" s="368" t="s">
        <v>1604</v>
      </c>
      <c r="H145" s="247"/>
      <c r="I145" s="359">
        <v>2</v>
      </c>
      <c r="J145" s="247">
        <v>7.5</v>
      </c>
      <c r="K145" s="248">
        <v>0</v>
      </c>
      <c r="L145" s="212">
        <v>1.5</v>
      </c>
      <c r="M145" s="212">
        <f t="shared" si="20"/>
        <v>11</v>
      </c>
      <c r="N145" s="212">
        <f t="shared" si="21"/>
        <v>16</v>
      </c>
      <c r="O145" s="212">
        <f t="shared" si="22"/>
        <v>30</v>
      </c>
      <c r="P145" s="212">
        <f t="shared" si="23"/>
        <v>0</v>
      </c>
      <c r="Q145" s="212">
        <f t="shared" si="24"/>
        <v>12</v>
      </c>
      <c r="R145" s="212">
        <f t="shared" si="25"/>
        <v>58</v>
      </c>
      <c r="S145" s="369" t="s">
        <v>813</v>
      </c>
      <c r="T145" s="372" t="s">
        <v>1148</v>
      </c>
      <c r="U145" s="280">
        <v>135</v>
      </c>
      <c r="V145" s="280">
        <v>138</v>
      </c>
      <c r="W145" s="280">
        <v>138</v>
      </c>
      <c r="X145" s="276">
        <v>44064</v>
      </c>
      <c r="Y145" s="276">
        <v>44089</v>
      </c>
      <c r="Z145" s="276">
        <v>44134</v>
      </c>
      <c r="AA145" s="273">
        <f t="shared" si="26"/>
        <v>2020</v>
      </c>
      <c r="AB145" s="273">
        <f t="shared" si="27"/>
        <v>10</v>
      </c>
      <c r="AC145" s="278" t="s">
        <v>920</v>
      </c>
      <c r="AD145" s="278" t="s">
        <v>422</v>
      </c>
      <c r="AE145" s="278" t="s">
        <v>422</v>
      </c>
      <c r="AF145" s="278" t="s">
        <v>422</v>
      </c>
      <c r="AG145" s="278" t="s">
        <v>422</v>
      </c>
      <c r="AH145" s="278" t="s">
        <v>423</v>
      </c>
      <c r="AI145" s="278" t="s">
        <v>423</v>
      </c>
      <c r="AJ145" s="278" t="s">
        <v>423</v>
      </c>
      <c r="AK145" s="278" t="s">
        <v>423</v>
      </c>
      <c r="AL145" s="279" t="s">
        <v>1045</v>
      </c>
      <c r="AM145" s="241"/>
      <c r="AN145" s="241"/>
    </row>
    <row r="146" spans="1:40" ht="15" customHeight="1" x14ac:dyDescent="0.3">
      <c r="A146" s="185">
        <v>160</v>
      </c>
      <c r="B146" s="247" t="s">
        <v>1128</v>
      </c>
      <c r="C146" s="247" t="s">
        <v>1618</v>
      </c>
      <c r="D146" s="200" t="s">
        <v>1881</v>
      </c>
      <c r="E146" s="247"/>
      <c r="F146" s="247"/>
      <c r="G146" s="368" t="s">
        <v>1604</v>
      </c>
      <c r="H146" s="247" t="s">
        <v>1956</v>
      </c>
      <c r="I146" s="359">
        <v>2</v>
      </c>
      <c r="J146" s="247">
        <v>13</v>
      </c>
      <c r="K146" s="248">
        <v>0</v>
      </c>
      <c r="L146" s="212">
        <v>1</v>
      </c>
      <c r="M146" s="212">
        <f t="shared" si="20"/>
        <v>16</v>
      </c>
      <c r="N146" s="212">
        <f t="shared" si="21"/>
        <v>16</v>
      </c>
      <c r="O146" s="212">
        <f t="shared" si="22"/>
        <v>52</v>
      </c>
      <c r="P146" s="212">
        <f t="shared" si="23"/>
        <v>0</v>
      </c>
      <c r="Q146" s="212">
        <f t="shared" si="24"/>
        <v>8</v>
      </c>
      <c r="R146" s="212">
        <f t="shared" si="25"/>
        <v>76</v>
      </c>
      <c r="S146" s="369" t="s">
        <v>1141</v>
      </c>
      <c r="T146" s="372" t="s">
        <v>1140</v>
      </c>
      <c r="U146" s="280">
        <v>30</v>
      </c>
      <c r="V146" s="280">
        <v>31</v>
      </c>
      <c r="W146" s="280">
        <v>31</v>
      </c>
      <c r="X146" s="276">
        <v>44064</v>
      </c>
      <c r="Y146" s="276">
        <v>44094</v>
      </c>
      <c r="Z146" s="26">
        <v>44134</v>
      </c>
      <c r="AA146" s="273">
        <f t="shared" si="26"/>
        <v>2020</v>
      </c>
      <c r="AB146" s="273">
        <f t="shared" si="27"/>
        <v>10</v>
      </c>
      <c r="AC146" s="278" t="s">
        <v>920</v>
      </c>
      <c r="AD146" s="278" t="s">
        <v>422</v>
      </c>
      <c r="AE146" s="278" t="s">
        <v>422</v>
      </c>
      <c r="AF146" s="278" t="s">
        <v>422</v>
      </c>
      <c r="AG146" s="278" t="s">
        <v>422</v>
      </c>
      <c r="AH146" s="278" t="s">
        <v>422</v>
      </c>
      <c r="AI146" s="278" t="s">
        <v>423</v>
      </c>
      <c r="AJ146" s="278" t="s">
        <v>423</v>
      </c>
      <c r="AK146" s="278" t="s">
        <v>423</v>
      </c>
      <c r="AL146" s="279" t="s">
        <v>1240</v>
      </c>
      <c r="AM146" s="241"/>
      <c r="AN146" s="241"/>
    </row>
    <row r="147" spans="1:40" ht="15" customHeight="1" x14ac:dyDescent="0.3">
      <c r="A147" s="185">
        <v>161</v>
      </c>
      <c r="B147" s="247" t="s">
        <v>1129</v>
      </c>
      <c r="C147" s="247" t="s">
        <v>1618</v>
      </c>
      <c r="D147" s="200" t="s">
        <v>1881</v>
      </c>
      <c r="E147" s="247"/>
      <c r="F147" s="247"/>
      <c r="G147" s="368" t="s">
        <v>1604</v>
      </c>
      <c r="H147" s="247" t="s">
        <v>1956</v>
      </c>
      <c r="I147" s="359">
        <v>2</v>
      </c>
      <c r="J147" s="247">
        <v>6</v>
      </c>
      <c r="K147" s="248">
        <v>0</v>
      </c>
      <c r="L147" s="212">
        <v>1</v>
      </c>
      <c r="M147" s="212">
        <f t="shared" si="20"/>
        <v>9</v>
      </c>
      <c r="N147" s="212">
        <f t="shared" si="21"/>
        <v>16</v>
      </c>
      <c r="O147" s="212">
        <f t="shared" si="22"/>
        <v>24</v>
      </c>
      <c r="P147" s="212">
        <f t="shared" si="23"/>
        <v>0</v>
      </c>
      <c r="Q147" s="212">
        <f t="shared" si="24"/>
        <v>8</v>
      </c>
      <c r="R147" s="212">
        <f t="shared" si="25"/>
        <v>48</v>
      </c>
      <c r="S147" s="369" t="s">
        <v>1150</v>
      </c>
      <c r="T147" s="372" t="s">
        <v>1149</v>
      </c>
      <c r="U147" s="280">
        <v>40</v>
      </c>
      <c r="V147" s="280">
        <v>42</v>
      </c>
      <c r="W147" s="280">
        <v>42</v>
      </c>
      <c r="X147" s="276">
        <v>44064</v>
      </c>
      <c r="Y147" s="276">
        <v>44094</v>
      </c>
      <c r="Z147" s="26">
        <v>44134</v>
      </c>
      <c r="AA147" s="273">
        <f t="shared" si="26"/>
        <v>2020</v>
      </c>
      <c r="AB147" s="273">
        <f t="shared" si="27"/>
        <v>10</v>
      </c>
      <c r="AC147" s="278" t="s">
        <v>920</v>
      </c>
      <c r="AD147" s="278" t="s">
        <v>422</v>
      </c>
      <c r="AE147" s="278" t="s">
        <v>422</v>
      </c>
      <c r="AF147" s="278" t="s">
        <v>422</v>
      </c>
      <c r="AG147" s="278" t="s">
        <v>422</v>
      </c>
      <c r="AH147" s="278" t="s">
        <v>423</v>
      </c>
      <c r="AI147" s="278" t="s">
        <v>423</v>
      </c>
      <c r="AJ147" s="278" t="s">
        <v>423</v>
      </c>
      <c r="AK147" s="278" t="s">
        <v>423</v>
      </c>
      <c r="AL147" s="279" t="s">
        <v>1240</v>
      </c>
      <c r="AM147" s="241"/>
      <c r="AN147" s="241"/>
    </row>
    <row r="148" spans="1:40" ht="15" customHeight="1" x14ac:dyDescent="0.3">
      <c r="A148" s="185">
        <v>134</v>
      </c>
      <c r="B148" s="247" t="s">
        <v>1058</v>
      </c>
      <c r="C148" s="247" t="s">
        <v>1615</v>
      </c>
      <c r="D148" s="200" t="s">
        <v>1881</v>
      </c>
      <c r="E148" s="247"/>
      <c r="F148" s="247" t="s">
        <v>1598</v>
      </c>
      <c r="G148" s="368" t="s">
        <v>1604</v>
      </c>
      <c r="H148" s="248"/>
      <c r="I148" s="248">
        <v>1.2</v>
      </c>
      <c r="J148" s="248">
        <v>9.5</v>
      </c>
      <c r="K148" s="248">
        <v>0</v>
      </c>
      <c r="L148" s="212">
        <v>1</v>
      </c>
      <c r="M148" s="212">
        <f t="shared" si="20"/>
        <v>11.7</v>
      </c>
      <c r="N148" s="212">
        <f t="shared" si="21"/>
        <v>9.6</v>
      </c>
      <c r="O148" s="212">
        <f t="shared" si="22"/>
        <v>38</v>
      </c>
      <c r="P148" s="212">
        <f t="shared" si="23"/>
        <v>0</v>
      </c>
      <c r="Q148" s="212">
        <f t="shared" si="24"/>
        <v>8</v>
      </c>
      <c r="R148" s="212">
        <f t="shared" si="25"/>
        <v>55.6</v>
      </c>
      <c r="S148" s="369" t="s">
        <v>1071</v>
      </c>
      <c r="T148" s="275" t="s">
        <v>1084</v>
      </c>
      <c r="U148" s="280">
        <v>96</v>
      </c>
      <c r="V148" s="280">
        <v>0</v>
      </c>
      <c r="W148" s="280">
        <v>0</v>
      </c>
      <c r="X148" s="276">
        <v>44039</v>
      </c>
      <c r="Y148" s="277">
        <v>44075</v>
      </c>
      <c r="Z148" s="277">
        <v>44161</v>
      </c>
      <c r="AA148" s="273">
        <f t="shared" si="26"/>
        <v>2020</v>
      </c>
      <c r="AB148" s="273">
        <f t="shared" si="27"/>
        <v>11</v>
      </c>
      <c r="AC148" s="278" t="s">
        <v>920</v>
      </c>
      <c r="AD148" s="278" t="s">
        <v>422</v>
      </c>
      <c r="AE148" s="278" t="s">
        <v>422</v>
      </c>
      <c r="AF148" s="278" t="s">
        <v>422</v>
      </c>
      <c r="AG148" s="278" t="s">
        <v>422</v>
      </c>
      <c r="AH148" s="278" t="s">
        <v>422</v>
      </c>
      <c r="AI148" s="278" t="s">
        <v>423</v>
      </c>
      <c r="AJ148" s="278" t="s">
        <v>423</v>
      </c>
      <c r="AK148" s="278" t="s">
        <v>423</v>
      </c>
      <c r="AL148" s="279" t="s">
        <v>1045</v>
      </c>
      <c r="AM148" s="241"/>
      <c r="AN148" s="241"/>
    </row>
    <row r="149" spans="1:40" ht="15" customHeight="1" x14ac:dyDescent="0.3">
      <c r="A149" s="185">
        <v>135</v>
      </c>
      <c r="B149" s="247" t="s">
        <v>1059</v>
      </c>
      <c r="C149" s="247" t="s">
        <v>1615</v>
      </c>
      <c r="D149" s="200" t="s">
        <v>1881</v>
      </c>
      <c r="E149" s="247"/>
      <c r="F149" s="247" t="s">
        <v>1598</v>
      </c>
      <c r="G149" s="368" t="s">
        <v>1604</v>
      </c>
      <c r="H149" s="248"/>
      <c r="I149" s="248">
        <v>1</v>
      </c>
      <c r="J149" s="248">
        <v>10</v>
      </c>
      <c r="K149" s="248">
        <v>0</v>
      </c>
      <c r="L149" s="212">
        <v>1.5</v>
      </c>
      <c r="M149" s="212">
        <f t="shared" si="20"/>
        <v>12.5</v>
      </c>
      <c r="N149" s="212">
        <f t="shared" si="21"/>
        <v>8</v>
      </c>
      <c r="O149" s="212">
        <f t="shared" si="22"/>
        <v>40</v>
      </c>
      <c r="P149" s="212">
        <f t="shared" si="23"/>
        <v>0</v>
      </c>
      <c r="Q149" s="212">
        <f t="shared" si="24"/>
        <v>12</v>
      </c>
      <c r="R149" s="212">
        <f t="shared" si="25"/>
        <v>60</v>
      </c>
      <c r="S149" s="369" t="s">
        <v>1072</v>
      </c>
      <c r="T149" s="275" t="s">
        <v>1085</v>
      </c>
      <c r="U149" s="280">
        <v>72</v>
      </c>
      <c r="V149" s="280">
        <v>0</v>
      </c>
      <c r="W149" s="280">
        <v>0</v>
      </c>
      <c r="X149" s="276">
        <v>44039</v>
      </c>
      <c r="Y149" s="277">
        <v>44075</v>
      </c>
      <c r="Z149" s="277">
        <v>44161</v>
      </c>
      <c r="AA149" s="273">
        <f t="shared" si="26"/>
        <v>2020</v>
      </c>
      <c r="AB149" s="273">
        <f t="shared" si="27"/>
        <v>11</v>
      </c>
      <c r="AC149" s="278" t="s">
        <v>920</v>
      </c>
      <c r="AD149" s="278" t="s">
        <v>422</v>
      </c>
      <c r="AE149" s="278" t="s">
        <v>422</v>
      </c>
      <c r="AF149" s="278" t="s">
        <v>422</v>
      </c>
      <c r="AG149" s="278" t="s">
        <v>422</v>
      </c>
      <c r="AH149" s="278" t="s">
        <v>422</v>
      </c>
      <c r="AI149" s="278" t="s">
        <v>423</v>
      </c>
      <c r="AJ149" s="278" t="s">
        <v>423</v>
      </c>
      <c r="AK149" s="278" t="s">
        <v>423</v>
      </c>
      <c r="AL149" s="279" t="s">
        <v>1045</v>
      </c>
      <c r="AM149" s="241"/>
      <c r="AN149" s="241"/>
    </row>
    <row r="150" spans="1:40" ht="15" customHeight="1" x14ac:dyDescent="0.3">
      <c r="A150" s="185">
        <v>136</v>
      </c>
      <c r="B150" s="247" t="s">
        <v>1060</v>
      </c>
      <c r="C150" s="247" t="s">
        <v>1615</v>
      </c>
      <c r="D150" s="200" t="s">
        <v>1881</v>
      </c>
      <c r="E150" s="247"/>
      <c r="F150" s="247" t="s">
        <v>1598</v>
      </c>
      <c r="G150" s="368" t="s">
        <v>1604</v>
      </c>
      <c r="H150" s="248"/>
      <c r="I150" s="248">
        <v>1</v>
      </c>
      <c r="J150" s="248">
        <v>4</v>
      </c>
      <c r="K150" s="248">
        <v>0</v>
      </c>
      <c r="L150" s="212">
        <v>1</v>
      </c>
      <c r="M150" s="212">
        <f t="shared" si="20"/>
        <v>6</v>
      </c>
      <c r="N150" s="212">
        <f t="shared" si="21"/>
        <v>8</v>
      </c>
      <c r="O150" s="212">
        <f t="shared" si="22"/>
        <v>16</v>
      </c>
      <c r="P150" s="212">
        <f t="shared" si="23"/>
        <v>0</v>
      </c>
      <c r="Q150" s="212">
        <f t="shared" si="24"/>
        <v>8</v>
      </c>
      <c r="R150" s="212">
        <f t="shared" si="25"/>
        <v>32</v>
      </c>
      <c r="S150" s="369" t="s">
        <v>1073</v>
      </c>
      <c r="T150" s="275" t="s">
        <v>1086</v>
      </c>
      <c r="U150" s="280">
        <v>104</v>
      </c>
      <c r="V150" s="280">
        <v>0</v>
      </c>
      <c r="W150" s="280">
        <v>0</v>
      </c>
      <c r="X150" s="276">
        <v>44039</v>
      </c>
      <c r="Y150" s="277">
        <v>44075</v>
      </c>
      <c r="Z150" s="277">
        <v>44161</v>
      </c>
      <c r="AA150" s="273">
        <f t="shared" si="26"/>
        <v>2020</v>
      </c>
      <c r="AB150" s="273">
        <f t="shared" si="27"/>
        <v>11</v>
      </c>
      <c r="AC150" s="278" t="s">
        <v>920</v>
      </c>
      <c r="AD150" s="278" t="s">
        <v>422</v>
      </c>
      <c r="AE150" s="278" t="s">
        <v>422</v>
      </c>
      <c r="AF150" s="278" t="s">
        <v>422</v>
      </c>
      <c r="AG150" s="278" t="s">
        <v>422</v>
      </c>
      <c r="AH150" s="278" t="s">
        <v>422</v>
      </c>
      <c r="AI150" s="278" t="s">
        <v>423</v>
      </c>
      <c r="AJ150" s="278" t="s">
        <v>422</v>
      </c>
      <c r="AK150" s="278" t="s">
        <v>423</v>
      </c>
      <c r="AL150" s="279" t="s">
        <v>1045</v>
      </c>
      <c r="AM150" s="241"/>
      <c r="AN150" s="241"/>
    </row>
    <row r="151" spans="1:40" ht="15" customHeight="1" x14ac:dyDescent="0.3">
      <c r="A151" s="185">
        <v>138</v>
      </c>
      <c r="B151" s="247" t="s">
        <v>1062</v>
      </c>
      <c r="C151" s="247" t="s">
        <v>1615</v>
      </c>
      <c r="D151" s="199" t="s">
        <v>1881</v>
      </c>
      <c r="E151" s="247"/>
      <c r="F151" s="247"/>
      <c r="G151" s="368" t="s">
        <v>1604</v>
      </c>
      <c r="H151" s="247" t="s">
        <v>1956</v>
      </c>
      <c r="I151" s="359">
        <v>2</v>
      </c>
      <c r="J151" s="247">
        <v>7</v>
      </c>
      <c r="K151" s="248">
        <v>0</v>
      </c>
      <c r="L151" s="212">
        <v>1</v>
      </c>
      <c r="M151" s="212">
        <f t="shared" si="20"/>
        <v>10</v>
      </c>
      <c r="N151" s="212">
        <f t="shared" si="21"/>
        <v>16</v>
      </c>
      <c r="O151" s="212">
        <f t="shared" si="22"/>
        <v>28</v>
      </c>
      <c r="P151" s="212">
        <f t="shared" si="23"/>
        <v>0</v>
      </c>
      <c r="Q151" s="212">
        <f t="shared" si="24"/>
        <v>8</v>
      </c>
      <c r="R151" s="212">
        <f t="shared" si="25"/>
        <v>52</v>
      </c>
      <c r="S151" s="369" t="s">
        <v>1075</v>
      </c>
      <c r="T151" s="275" t="s">
        <v>1089</v>
      </c>
      <c r="U151" s="280">
        <v>104</v>
      </c>
      <c r="V151" s="280">
        <v>106</v>
      </c>
      <c r="W151" s="280">
        <v>106</v>
      </c>
      <c r="X151" s="276">
        <v>44039</v>
      </c>
      <c r="Y151" s="277">
        <v>44075</v>
      </c>
      <c r="Z151" s="277">
        <v>44161</v>
      </c>
      <c r="AA151" s="273">
        <f t="shared" si="26"/>
        <v>2020</v>
      </c>
      <c r="AB151" s="273">
        <f t="shared" si="27"/>
        <v>11</v>
      </c>
      <c r="AC151" s="278" t="s">
        <v>920</v>
      </c>
      <c r="AD151" s="278" t="s">
        <v>422</v>
      </c>
      <c r="AE151" s="278" t="s">
        <v>422</v>
      </c>
      <c r="AF151" s="278" t="s">
        <v>422</v>
      </c>
      <c r="AG151" s="278" t="s">
        <v>422</v>
      </c>
      <c r="AH151" s="278" t="s">
        <v>422</v>
      </c>
      <c r="AI151" s="278" t="s">
        <v>423</v>
      </c>
      <c r="AJ151" s="278" t="s">
        <v>449</v>
      </c>
      <c r="AK151" s="278" t="s">
        <v>423</v>
      </c>
      <c r="AL151" s="279" t="s">
        <v>1240</v>
      </c>
      <c r="AM151" s="241"/>
      <c r="AN151" s="241"/>
    </row>
    <row r="152" spans="1:40" ht="15" customHeight="1" x14ac:dyDescent="0.3">
      <c r="A152" s="185">
        <v>177</v>
      </c>
      <c r="B152" s="247" t="s">
        <v>1166</v>
      </c>
      <c r="C152" s="247" t="s">
        <v>1617</v>
      </c>
      <c r="D152" s="199" t="s">
        <v>1848</v>
      </c>
      <c r="E152" s="247"/>
      <c r="F152" s="247"/>
      <c r="G152" s="247" t="s">
        <v>1953</v>
      </c>
      <c r="H152" s="247"/>
      <c r="I152" s="359">
        <v>2</v>
      </c>
      <c r="J152" s="359">
        <v>9</v>
      </c>
      <c r="K152" s="247">
        <v>9</v>
      </c>
      <c r="L152" s="212">
        <v>1</v>
      </c>
      <c r="M152" s="212">
        <f t="shared" si="20"/>
        <v>21</v>
      </c>
      <c r="N152" s="212">
        <f t="shared" si="21"/>
        <v>16</v>
      </c>
      <c r="O152" s="212">
        <f t="shared" si="22"/>
        <v>36</v>
      </c>
      <c r="P152" s="212">
        <f t="shared" si="23"/>
        <v>60</v>
      </c>
      <c r="Q152" s="212">
        <f t="shared" si="24"/>
        <v>8</v>
      </c>
      <c r="R152" s="212">
        <f t="shared" si="25"/>
        <v>120</v>
      </c>
      <c r="S152" s="369" t="s">
        <v>1167</v>
      </c>
      <c r="T152" s="372" t="s">
        <v>1167</v>
      </c>
      <c r="U152" s="280">
        <v>60</v>
      </c>
      <c r="V152" s="280">
        <f t="shared" ref="V152:W154" si="28">+U152</f>
        <v>60</v>
      </c>
      <c r="W152" s="280">
        <f t="shared" si="28"/>
        <v>60</v>
      </c>
      <c r="X152" s="276">
        <v>44073</v>
      </c>
      <c r="Y152" s="276">
        <v>44148</v>
      </c>
      <c r="Z152" s="277">
        <v>44159</v>
      </c>
      <c r="AA152" s="273">
        <f t="shared" si="26"/>
        <v>2020</v>
      </c>
      <c r="AB152" s="273">
        <f t="shared" si="27"/>
        <v>11</v>
      </c>
      <c r="AC152" s="278" t="s">
        <v>920</v>
      </c>
      <c r="AD152" s="278" t="s">
        <v>422</v>
      </c>
      <c r="AE152" s="278" t="s">
        <v>422</v>
      </c>
      <c r="AF152" s="278" t="s">
        <v>422</v>
      </c>
      <c r="AG152" s="278" t="s">
        <v>422</v>
      </c>
      <c r="AH152" s="278" t="s">
        <v>422</v>
      </c>
      <c r="AI152" s="278" t="s">
        <v>422</v>
      </c>
      <c r="AJ152" s="278" t="s">
        <v>423</v>
      </c>
      <c r="AK152" s="278" t="s">
        <v>423</v>
      </c>
      <c r="AL152" s="279" t="s">
        <v>1240</v>
      </c>
      <c r="AM152" s="241"/>
      <c r="AN152" s="241"/>
    </row>
    <row r="153" spans="1:40" ht="15" customHeight="1" x14ac:dyDescent="0.3">
      <c r="A153" s="185">
        <v>178</v>
      </c>
      <c r="B153" s="247" t="s">
        <v>1168</v>
      </c>
      <c r="C153" s="247" t="s">
        <v>1617</v>
      </c>
      <c r="D153" s="199" t="s">
        <v>1848</v>
      </c>
      <c r="E153" s="247"/>
      <c r="F153" s="247"/>
      <c r="G153" s="247" t="s">
        <v>1953</v>
      </c>
      <c r="H153" s="247" t="s">
        <v>1956</v>
      </c>
      <c r="I153" s="359">
        <v>2</v>
      </c>
      <c r="J153" s="247">
        <v>9</v>
      </c>
      <c r="K153" s="247">
        <v>9.5</v>
      </c>
      <c r="L153" s="212">
        <v>1</v>
      </c>
      <c r="M153" s="212">
        <f t="shared" si="20"/>
        <v>21.5</v>
      </c>
      <c r="N153" s="212">
        <f t="shared" si="21"/>
        <v>16</v>
      </c>
      <c r="O153" s="212">
        <f t="shared" si="22"/>
        <v>36</v>
      </c>
      <c r="P153" s="212">
        <f t="shared" si="23"/>
        <v>63.333333333333336</v>
      </c>
      <c r="Q153" s="212">
        <f t="shared" si="24"/>
        <v>8</v>
      </c>
      <c r="R153" s="212">
        <f t="shared" si="25"/>
        <v>123.33333333333334</v>
      </c>
      <c r="S153" s="369" t="s">
        <v>1176</v>
      </c>
      <c r="T153" s="369" t="s">
        <v>1176</v>
      </c>
      <c r="U153" s="280">
        <v>90</v>
      </c>
      <c r="V153" s="280">
        <f t="shared" si="28"/>
        <v>90</v>
      </c>
      <c r="W153" s="280">
        <f t="shared" si="28"/>
        <v>90</v>
      </c>
      <c r="X153" s="276">
        <v>44073</v>
      </c>
      <c r="Y153" s="276">
        <v>44148</v>
      </c>
      <c r="Z153" s="277">
        <v>44159</v>
      </c>
      <c r="AA153" s="273">
        <f t="shared" si="26"/>
        <v>2020</v>
      </c>
      <c r="AB153" s="273">
        <f t="shared" si="27"/>
        <v>11</v>
      </c>
      <c r="AC153" s="278" t="s">
        <v>920</v>
      </c>
      <c r="AD153" s="278" t="s">
        <v>422</v>
      </c>
      <c r="AE153" s="278" t="s">
        <v>422</v>
      </c>
      <c r="AF153" s="278" t="s">
        <v>422</v>
      </c>
      <c r="AG153" s="278" t="s">
        <v>422</v>
      </c>
      <c r="AH153" s="278" t="s">
        <v>422</v>
      </c>
      <c r="AI153" s="278" t="s">
        <v>422</v>
      </c>
      <c r="AJ153" s="278" t="s">
        <v>423</v>
      </c>
      <c r="AK153" s="278" t="s">
        <v>423</v>
      </c>
      <c r="AL153" s="279" t="s">
        <v>1240</v>
      </c>
      <c r="AM153" s="241"/>
      <c r="AN153" s="241"/>
    </row>
    <row r="154" spans="1:40" ht="15" customHeight="1" x14ac:dyDescent="0.3">
      <c r="A154" s="185">
        <v>179</v>
      </c>
      <c r="B154" s="247" t="s">
        <v>1169</v>
      </c>
      <c r="C154" s="247" t="s">
        <v>1617</v>
      </c>
      <c r="D154" s="199" t="s">
        <v>1848</v>
      </c>
      <c r="E154" s="247"/>
      <c r="F154" s="247"/>
      <c r="G154" s="247" t="s">
        <v>1953</v>
      </c>
      <c r="H154" s="247" t="s">
        <v>1956</v>
      </c>
      <c r="I154" s="359">
        <v>2</v>
      </c>
      <c r="J154" s="247">
        <v>45</v>
      </c>
      <c r="K154" s="359">
        <v>9</v>
      </c>
      <c r="L154" s="212">
        <v>1</v>
      </c>
      <c r="M154" s="212">
        <f t="shared" si="20"/>
        <v>57</v>
      </c>
      <c r="N154" s="212">
        <f t="shared" si="21"/>
        <v>16</v>
      </c>
      <c r="O154" s="212">
        <f t="shared" si="22"/>
        <v>180</v>
      </c>
      <c r="P154" s="212">
        <f t="shared" si="23"/>
        <v>60</v>
      </c>
      <c r="Q154" s="212">
        <f t="shared" si="24"/>
        <v>8</v>
      </c>
      <c r="R154" s="212">
        <f t="shared" si="25"/>
        <v>264</v>
      </c>
      <c r="S154" s="369" t="s">
        <v>1177</v>
      </c>
      <c r="T154" s="369" t="s">
        <v>1177</v>
      </c>
      <c r="U154" s="280">
        <v>72</v>
      </c>
      <c r="V154" s="280">
        <f t="shared" si="28"/>
        <v>72</v>
      </c>
      <c r="W154" s="280">
        <f t="shared" si="28"/>
        <v>72</v>
      </c>
      <c r="X154" s="276">
        <v>44073</v>
      </c>
      <c r="Y154" s="276">
        <v>44148</v>
      </c>
      <c r="Z154" s="277">
        <v>44159</v>
      </c>
      <c r="AA154" s="273">
        <f t="shared" si="26"/>
        <v>2020</v>
      </c>
      <c r="AB154" s="273">
        <f t="shared" si="27"/>
        <v>11</v>
      </c>
      <c r="AC154" s="278" t="s">
        <v>920</v>
      </c>
      <c r="AD154" s="278" t="s">
        <v>422</v>
      </c>
      <c r="AE154" s="278" t="s">
        <v>422</v>
      </c>
      <c r="AF154" s="278" t="s">
        <v>422</v>
      </c>
      <c r="AG154" s="278" t="s">
        <v>422</v>
      </c>
      <c r="AH154" s="278" t="s">
        <v>422</v>
      </c>
      <c r="AI154" s="278" t="s">
        <v>423</v>
      </c>
      <c r="AJ154" s="278" t="s">
        <v>423</v>
      </c>
      <c r="AK154" s="278" t="s">
        <v>423</v>
      </c>
      <c r="AL154" s="279" t="s">
        <v>1240</v>
      </c>
      <c r="AM154" s="241"/>
      <c r="AN154" s="241"/>
    </row>
    <row r="155" spans="1:40" ht="15" customHeight="1" x14ac:dyDescent="0.3">
      <c r="A155" s="185">
        <v>180</v>
      </c>
      <c r="B155" s="247" t="s">
        <v>1170</v>
      </c>
      <c r="C155" s="247" t="s">
        <v>1617</v>
      </c>
      <c r="D155" s="199" t="s">
        <v>1848</v>
      </c>
      <c r="E155" s="247"/>
      <c r="F155" s="247"/>
      <c r="G155" s="247" t="s">
        <v>1953</v>
      </c>
      <c r="H155" s="247" t="s">
        <v>1956</v>
      </c>
      <c r="I155" s="359">
        <v>2</v>
      </c>
      <c r="J155" s="247">
        <v>4.5</v>
      </c>
      <c r="K155" s="359">
        <v>9</v>
      </c>
      <c r="L155" s="212">
        <v>1</v>
      </c>
      <c r="M155" s="212">
        <f t="shared" si="20"/>
        <v>16.5</v>
      </c>
      <c r="N155" s="212">
        <f t="shared" si="21"/>
        <v>16</v>
      </c>
      <c r="O155" s="212">
        <f t="shared" si="22"/>
        <v>18</v>
      </c>
      <c r="P155" s="212">
        <f t="shared" si="23"/>
        <v>60</v>
      </c>
      <c r="Q155" s="212">
        <f t="shared" si="24"/>
        <v>8</v>
      </c>
      <c r="R155" s="212">
        <f t="shared" si="25"/>
        <v>102</v>
      </c>
      <c r="S155" s="369" t="s">
        <v>1178</v>
      </c>
      <c r="T155" s="369" t="s">
        <v>1178</v>
      </c>
      <c r="U155" s="280">
        <v>48</v>
      </c>
      <c r="V155" s="280">
        <f>48+2</f>
        <v>50</v>
      </c>
      <c r="W155" s="280">
        <f>48+2</f>
        <v>50</v>
      </c>
      <c r="X155" s="276">
        <v>44073</v>
      </c>
      <c r="Y155" s="276">
        <v>44148</v>
      </c>
      <c r="Z155" s="277">
        <v>44159</v>
      </c>
      <c r="AA155" s="273">
        <f t="shared" si="26"/>
        <v>2020</v>
      </c>
      <c r="AB155" s="273">
        <f t="shared" si="27"/>
        <v>11</v>
      </c>
      <c r="AC155" s="278" t="s">
        <v>920</v>
      </c>
      <c r="AD155" s="278" t="s">
        <v>422</v>
      </c>
      <c r="AE155" s="278" t="s">
        <v>422</v>
      </c>
      <c r="AF155" s="278" t="s">
        <v>422</v>
      </c>
      <c r="AG155" s="278" t="s">
        <v>422</v>
      </c>
      <c r="AH155" s="278" t="s">
        <v>422</v>
      </c>
      <c r="AI155" s="278" t="s">
        <v>423</v>
      </c>
      <c r="AJ155" s="278" t="s">
        <v>423</v>
      </c>
      <c r="AK155" s="278" t="s">
        <v>423</v>
      </c>
      <c r="AL155" s="279" t="s">
        <v>1240</v>
      </c>
      <c r="AM155" s="241"/>
      <c r="AN155" s="241"/>
    </row>
    <row r="156" spans="1:40" ht="15" customHeight="1" x14ac:dyDescent="0.3">
      <c r="A156" s="185">
        <v>181</v>
      </c>
      <c r="B156" s="247" t="s">
        <v>1171</v>
      </c>
      <c r="C156" s="247" t="s">
        <v>1617</v>
      </c>
      <c r="D156" s="199" t="s">
        <v>1848</v>
      </c>
      <c r="E156" s="247"/>
      <c r="F156" s="247"/>
      <c r="G156" s="247" t="s">
        <v>1953</v>
      </c>
      <c r="H156" s="247" t="s">
        <v>1956</v>
      </c>
      <c r="I156" s="359">
        <v>2</v>
      </c>
      <c r="J156" s="247">
        <v>5</v>
      </c>
      <c r="K156" s="359">
        <v>9</v>
      </c>
      <c r="L156" s="212">
        <v>1</v>
      </c>
      <c r="M156" s="212">
        <f t="shared" si="20"/>
        <v>17</v>
      </c>
      <c r="N156" s="212">
        <f t="shared" si="21"/>
        <v>16</v>
      </c>
      <c r="O156" s="212">
        <f t="shared" si="22"/>
        <v>20</v>
      </c>
      <c r="P156" s="212">
        <f t="shared" si="23"/>
        <v>60</v>
      </c>
      <c r="Q156" s="212">
        <f t="shared" si="24"/>
        <v>8</v>
      </c>
      <c r="R156" s="212">
        <f t="shared" si="25"/>
        <v>104</v>
      </c>
      <c r="S156" s="372" t="s">
        <v>1179</v>
      </c>
      <c r="T156" s="372" t="s">
        <v>1179</v>
      </c>
      <c r="U156" s="280">
        <v>60</v>
      </c>
      <c r="V156" s="280">
        <f t="shared" ref="V156:W158" si="29">+U156</f>
        <v>60</v>
      </c>
      <c r="W156" s="280">
        <f t="shared" si="29"/>
        <v>60</v>
      </c>
      <c r="X156" s="276">
        <v>44073</v>
      </c>
      <c r="Y156" s="276">
        <v>44148</v>
      </c>
      <c r="Z156" s="277">
        <v>44159</v>
      </c>
      <c r="AA156" s="273">
        <f t="shared" si="26"/>
        <v>2020</v>
      </c>
      <c r="AB156" s="273">
        <f t="shared" si="27"/>
        <v>11</v>
      </c>
      <c r="AC156" s="278" t="s">
        <v>920</v>
      </c>
      <c r="AD156" s="278" t="s">
        <v>422</v>
      </c>
      <c r="AE156" s="278" t="s">
        <v>422</v>
      </c>
      <c r="AF156" s="278" t="s">
        <v>422</v>
      </c>
      <c r="AG156" s="278" t="s">
        <v>422</v>
      </c>
      <c r="AH156" s="278" t="s">
        <v>422</v>
      </c>
      <c r="AI156" s="278" t="s">
        <v>423</v>
      </c>
      <c r="AJ156" s="278" t="s">
        <v>423</v>
      </c>
      <c r="AK156" s="278" t="s">
        <v>423</v>
      </c>
      <c r="AL156" s="279" t="s">
        <v>1240</v>
      </c>
      <c r="AM156" s="241"/>
      <c r="AN156" s="241"/>
    </row>
    <row r="157" spans="1:40" ht="15" customHeight="1" x14ac:dyDescent="0.3">
      <c r="A157" s="185">
        <v>182</v>
      </c>
      <c r="B157" s="247" t="s">
        <v>1172</v>
      </c>
      <c r="C157" s="247" t="s">
        <v>1617</v>
      </c>
      <c r="D157" s="199" t="s">
        <v>1848</v>
      </c>
      <c r="E157" s="247"/>
      <c r="F157" s="247"/>
      <c r="G157" s="247" t="s">
        <v>1953</v>
      </c>
      <c r="H157" s="247" t="s">
        <v>1956</v>
      </c>
      <c r="I157" s="359">
        <v>2</v>
      </c>
      <c r="J157" s="247">
        <v>5</v>
      </c>
      <c r="K157" s="359">
        <v>9</v>
      </c>
      <c r="L157" s="212">
        <v>1</v>
      </c>
      <c r="M157" s="212">
        <f t="shared" si="20"/>
        <v>17</v>
      </c>
      <c r="N157" s="212">
        <f t="shared" si="21"/>
        <v>16</v>
      </c>
      <c r="O157" s="212">
        <f t="shared" si="22"/>
        <v>20</v>
      </c>
      <c r="P157" s="212">
        <f t="shared" si="23"/>
        <v>60</v>
      </c>
      <c r="Q157" s="212">
        <f t="shared" si="24"/>
        <v>8</v>
      </c>
      <c r="R157" s="212">
        <f t="shared" si="25"/>
        <v>104</v>
      </c>
      <c r="S157" s="372" t="s">
        <v>1180</v>
      </c>
      <c r="T157" s="372" t="s">
        <v>1180</v>
      </c>
      <c r="U157" s="280">
        <v>40</v>
      </c>
      <c r="V157" s="280">
        <f t="shared" si="29"/>
        <v>40</v>
      </c>
      <c r="W157" s="280">
        <f t="shared" si="29"/>
        <v>40</v>
      </c>
      <c r="X157" s="276">
        <v>44073</v>
      </c>
      <c r="Y157" s="276">
        <v>44148</v>
      </c>
      <c r="Z157" s="277">
        <v>44159</v>
      </c>
      <c r="AA157" s="273">
        <f t="shared" si="26"/>
        <v>2020</v>
      </c>
      <c r="AB157" s="273">
        <f t="shared" si="27"/>
        <v>11</v>
      </c>
      <c r="AC157" s="278" t="s">
        <v>920</v>
      </c>
      <c r="AD157" s="278" t="s">
        <v>422</v>
      </c>
      <c r="AE157" s="278" t="s">
        <v>422</v>
      </c>
      <c r="AF157" s="278" t="s">
        <v>422</v>
      </c>
      <c r="AG157" s="278" t="s">
        <v>422</v>
      </c>
      <c r="AH157" s="278" t="s">
        <v>422</v>
      </c>
      <c r="AI157" s="278" t="s">
        <v>423</v>
      </c>
      <c r="AJ157" s="278" t="s">
        <v>423</v>
      </c>
      <c r="AK157" s="278" t="s">
        <v>423</v>
      </c>
      <c r="AL157" s="279" t="s">
        <v>1240</v>
      </c>
      <c r="AM157" s="241"/>
      <c r="AN157" s="241"/>
    </row>
    <row r="158" spans="1:40" ht="15" customHeight="1" x14ac:dyDescent="0.3">
      <c r="A158" s="185">
        <v>183</v>
      </c>
      <c r="B158" s="247" t="s">
        <v>1173</v>
      </c>
      <c r="C158" s="247" t="s">
        <v>1617</v>
      </c>
      <c r="D158" s="199" t="s">
        <v>1848</v>
      </c>
      <c r="E158" s="247"/>
      <c r="F158" s="247"/>
      <c r="G158" s="247" t="s">
        <v>1953</v>
      </c>
      <c r="H158" s="247" t="s">
        <v>1956</v>
      </c>
      <c r="I158" s="359">
        <v>2</v>
      </c>
      <c r="J158" s="247">
        <v>3.5</v>
      </c>
      <c r="K158" s="359">
        <v>5</v>
      </c>
      <c r="L158" s="212">
        <v>1</v>
      </c>
      <c r="M158" s="212">
        <f t="shared" si="20"/>
        <v>11.5</v>
      </c>
      <c r="N158" s="212">
        <f t="shared" si="21"/>
        <v>16</v>
      </c>
      <c r="O158" s="212">
        <f t="shared" si="22"/>
        <v>14</v>
      </c>
      <c r="P158" s="212">
        <f t="shared" si="23"/>
        <v>33.333333333333336</v>
      </c>
      <c r="Q158" s="212">
        <f t="shared" si="24"/>
        <v>8</v>
      </c>
      <c r="R158" s="212">
        <f t="shared" si="25"/>
        <v>71.333333333333343</v>
      </c>
      <c r="S158" s="369" t="s">
        <v>1181</v>
      </c>
      <c r="T158" s="372" t="s">
        <v>1182</v>
      </c>
      <c r="U158" s="280">
        <v>30</v>
      </c>
      <c r="V158" s="280">
        <f t="shared" si="29"/>
        <v>30</v>
      </c>
      <c r="W158" s="280">
        <f t="shared" si="29"/>
        <v>30</v>
      </c>
      <c r="X158" s="276">
        <v>44073</v>
      </c>
      <c r="Y158" s="276">
        <v>44148</v>
      </c>
      <c r="Z158" s="277">
        <v>44159</v>
      </c>
      <c r="AA158" s="273">
        <f t="shared" si="26"/>
        <v>2020</v>
      </c>
      <c r="AB158" s="273">
        <f t="shared" si="27"/>
        <v>11</v>
      </c>
      <c r="AC158" s="278" t="s">
        <v>920</v>
      </c>
      <c r="AD158" s="278" t="s">
        <v>422</v>
      </c>
      <c r="AE158" s="278" t="s">
        <v>423</v>
      </c>
      <c r="AF158" s="278" t="s">
        <v>422</v>
      </c>
      <c r="AG158" s="278" t="s">
        <v>422</v>
      </c>
      <c r="AH158" s="278" t="s">
        <v>422</v>
      </c>
      <c r="AI158" s="278" t="s">
        <v>423</v>
      </c>
      <c r="AJ158" s="278" t="s">
        <v>423</v>
      </c>
      <c r="AK158" s="278" t="s">
        <v>423</v>
      </c>
      <c r="AL158" s="279" t="s">
        <v>1240</v>
      </c>
      <c r="AM158" s="241"/>
      <c r="AN158" s="241"/>
    </row>
    <row r="159" spans="1:40" ht="15" customHeight="1" x14ac:dyDescent="0.3">
      <c r="A159" s="185">
        <v>184</v>
      </c>
      <c r="B159" s="247" t="s">
        <v>1174</v>
      </c>
      <c r="C159" s="247" t="s">
        <v>1617</v>
      </c>
      <c r="D159" s="199" t="s">
        <v>1848</v>
      </c>
      <c r="E159" s="247"/>
      <c r="F159" s="247"/>
      <c r="G159" s="247" t="s">
        <v>1953</v>
      </c>
      <c r="H159" s="247" t="s">
        <v>1956</v>
      </c>
      <c r="I159" s="359">
        <v>2</v>
      </c>
      <c r="J159" s="247">
        <v>3.7</v>
      </c>
      <c r="K159" s="359">
        <v>5</v>
      </c>
      <c r="L159" s="212">
        <v>1</v>
      </c>
      <c r="M159" s="212">
        <f t="shared" si="20"/>
        <v>11.7</v>
      </c>
      <c r="N159" s="212">
        <f t="shared" si="21"/>
        <v>16</v>
      </c>
      <c r="O159" s="212">
        <f t="shared" si="22"/>
        <v>14.8</v>
      </c>
      <c r="P159" s="212">
        <f t="shared" si="23"/>
        <v>33.333333333333336</v>
      </c>
      <c r="Q159" s="212">
        <f t="shared" si="24"/>
        <v>8</v>
      </c>
      <c r="R159" s="212">
        <f t="shared" si="25"/>
        <v>72.13333333333334</v>
      </c>
      <c r="S159" s="369" t="s">
        <v>1183</v>
      </c>
      <c r="T159" s="372" t="s">
        <v>1184</v>
      </c>
      <c r="U159" s="280">
        <v>30</v>
      </c>
      <c r="V159" s="280">
        <v>30</v>
      </c>
      <c r="W159" s="280">
        <v>30</v>
      </c>
      <c r="X159" s="276">
        <v>44073</v>
      </c>
      <c r="Y159" s="276">
        <v>44148</v>
      </c>
      <c r="Z159" s="277">
        <v>44159</v>
      </c>
      <c r="AA159" s="273">
        <f t="shared" si="26"/>
        <v>2020</v>
      </c>
      <c r="AB159" s="273">
        <f t="shared" si="27"/>
        <v>11</v>
      </c>
      <c r="AC159" s="278" t="s">
        <v>920</v>
      </c>
      <c r="AD159" s="278" t="s">
        <v>422</v>
      </c>
      <c r="AE159" s="278" t="s">
        <v>423</v>
      </c>
      <c r="AF159" s="278" t="s">
        <v>422</v>
      </c>
      <c r="AG159" s="278" t="s">
        <v>422</v>
      </c>
      <c r="AH159" s="278" t="s">
        <v>422</v>
      </c>
      <c r="AI159" s="278" t="s">
        <v>423</v>
      </c>
      <c r="AJ159" s="278" t="s">
        <v>423</v>
      </c>
      <c r="AK159" s="278" t="s">
        <v>423</v>
      </c>
      <c r="AL159" s="279" t="s">
        <v>1240</v>
      </c>
      <c r="AM159" s="241"/>
      <c r="AN159" s="241"/>
    </row>
    <row r="160" spans="1:40" ht="15" customHeight="1" x14ac:dyDescent="0.3">
      <c r="A160" s="185">
        <v>185</v>
      </c>
      <c r="B160" s="247" t="s">
        <v>1175</v>
      </c>
      <c r="C160" s="247" t="s">
        <v>1617</v>
      </c>
      <c r="D160" s="199" t="s">
        <v>1848</v>
      </c>
      <c r="E160" s="247"/>
      <c r="F160" s="247"/>
      <c r="G160" s="247" t="s">
        <v>1953</v>
      </c>
      <c r="H160" s="247" t="s">
        <v>1957</v>
      </c>
      <c r="I160" s="359">
        <v>2</v>
      </c>
      <c r="J160" s="247">
        <v>8</v>
      </c>
      <c r="K160" s="247">
        <v>10</v>
      </c>
      <c r="L160" s="212">
        <v>1</v>
      </c>
      <c r="M160" s="212">
        <f t="shared" si="20"/>
        <v>21</v>
      </c>
      <c r="N160" s="212">
        <f t="shared" si="21"/>
        <v>16</v>
      </c>
      <c r="O160" s="212">
        <f t="shared" si="22"/>
        <v>32</v>
      </c>
      <c r="P160" s="212">
        <f t="shared" si="23"/>
        <v>66.666666666666671</v>
      </c>
      <c r="Q160" s="212">
        <f t="shared" si="24"/>
        <v>8</v>
      </c>
      <c r="R160" s="212">
        <f t="shared" si="25"/>
        <v>122.66666666666667</v>
      </c>
      <c r="S160" s="369" t="s">
        <v>1185</v>
      </c>
      <c r="T160" s="372" t="s">
        <v>1185</v>
      </c>
      <c r="U160" s="280">
        <v>65</v>
      </c>
      <c r="V160" s="280">
        <f>+U160</f>
        <v>65</v>
      </c>
      <c r="W160" s="280">
        <f>+V160</f>
        <v>65</v>
      </c>
      <c r="X160" s="276">
        <v>44073</v>
      </c>
      <c r="Y160" s="276">
        <v>44148</v>
      </c>
      <c r="Z160" s="277">
        <v>44159</v>
      </c>
      <c r="AA160" s="273">
        <f t="shared" si="26"/>
        <v>2020</v>
      </c>
      <c r="AB160" s="273">
        <f t="shared" si="27"/>
        <v>11</v>
      </c>
      <c r="AC160" s="278" t="s">
        <v>920</v>
      </c>
      <c r="AD160" s="278" t="s">
        <v>422</v>
      </c>
      <c r="AE160" s="278" t="s">
        <v>422</v>
      </c>
      <c r="AF160" s="278" t="s">
        <v>422</v>
      </c>
      <c r="AG160" s="278" t="s">
        <v>422</v>
      </c>
      <c r="AH160" s="278" t="s">
        <v>422</v>
      </c>
      <c r="AI160" s="278" t="s">
        <v>423</v>
      </c>
      <c r="AJ160" s="278" t="s">
        <v>423</v>
      </c>
      <c r="AK160" s="278" t="s">
        <v>423</v>
      </c>
      <c r="AL160" s="279" t="s">
        <v>491</v>
      </c>
      <c r="AM160" s="241"/>
      <c r="AN160" s="241"/>
    </row>
    <row r="161" spans="1:40" ht="15" customHeight="1" x14ac:dyDescent="0.3">
      <c r="A161" s="185">
        <v>218</v>
      </c>
      <c r="B161" s="230" t="s">
        <v>1261</v>
      </c>
      <c r="C161" s="247" t="s">
        <v>1615</v>
      </c>
      <c r="D161" s="199" t="s">
        <v>1881</v>
      </c>
      <c r="E161" s="230"/>
      <c r="F161" s="230"/>
      <c r="G161" s="368" t="s">
        <v>1604</v>
      </c>
      <c r="H161" s="230"/>
      <c r="I161" s="359">
        <v>2</v>
      </c>
      <c r="J161" s="360">
        <v>11.5</v>
      </c>
      <c r="K161" s="230">
        <v>0</v>
      </c>
      <c r="L161" s="212">
        <v>2</v>
      </c>
      <c r="M161" s="212">
        <f t="shared" si="20"/>
        <v>15.5</v>
      </c>
      <c r="N161" s="212">
        <f t="shared" si="21"/>
        <v>16</v>
      </c>
      <c r="O161" s="212">
        <f t="shared" si="22"/>
        <v>46</v>
      </c>
      <c r="P161" s="212">
        <f t="shared" si="23"/>
        <v>0</v>
      </c>
      <c r="Q161" s="212">
        <f t="shared" si="24"/>
        <v>16</v>
      </c>
      <c r="R161" s="212">
        <f t="shared" si="25"/>
        <v>78</v>
      </c>
      <c r="S161" s="373" t="s">
        <v>1281</v>
      </c>
      <c r="T161" s="373" t="s">
        <v>1282</v>
      </c>
      <c r="U161" s="280">
        <v>65</v>
      </c>
      <c r="V161" s="280">
        <v>65</v>
      </c>
      <c r="W161" s="280">
        <v>65</v>
      </c>
      <c r="X161" s="374">
        <v>44113</v>
      </c>
      <c r="Y161" s="374">
        <v>44208</v>
      </c>
      <c r="Z161" s="276">
        <v>44161</v>
      </c>
      <c r="AA161" s="273">
        <f t="shared" si="26"/>
        <v>2020</v>
      </c>
      <c r="AB161" s="273">
        <f t="shared" si="27"/>
        <v>11</v>
      </c>
      <c r="AC161" s="278" t="s">
        <v>920</v>
      </c>
      <c r="AD161" s="278" t="s">
        <v>422</v>
      </c>
      <c r="AE161" s="278" t="s">
        <v>422</v>
      </c>
      <c r="AF161" s="278" t="s">
        <v>422</v>
      </c>
      <c r="AG161" s="278" t="s">
        <v>422</v>
      </c>
      <c r="AH161" s="278" t="s">
        <v>422</v>
      </c>
      <c r="AI161" s="278" t="s">
        <v>423</v>
      </c>
      <c r="AJ161" s="278" t="s">
        <v>422</v>
      </c>
      <c r="AK161" s="278" t="s">
        <v>423</v>
      </c>
      <c r="AL161" s="279" t="s">
        <v>1428</v>
      </c>
      <c r="AM161" s="241"/>
      <c r="AN161" s="241"/>
    </row>
    <row r="162" spans="1:40" ht="15" customHeight="1" x14ac:dyDescent="0.3">
      <c r="A162" s="185">
        <v>219</v>
      </c>
      <c r="B162" s="230" t="s">
        <v>1271</v>
      </c>
      <c r="C162" s="247" t="s">
        <v>1615</v>
      </c>
      <c r="D162" s="199" t="s">
        <v>1881</v>
      </c>
      <c r="E162" s="230"/>
      <c r="F162" s="230" t="s">
        <v>1600</v>
      </c>
      <c r="G162" s="368" t="s">
        <v>1604</v>
      </c>
      <c r="H162" s="230" t="s">
        <v>1428</v>
      </c>
      <c r="I162" s="230">
        <v>1</v>
      </c>
      <c r="J162" s="230">
        <v>11</v>
      </c>
      <c r="K162" s="230">
        <v>0</v>
      </c>
      <c r="L162" s="212">
        <v>1.5</v>
      </c>
      <c r="M162" s="212">
        <f t="shared" si="20"/>
        <v>13.5</v>
      </c>
      <c r="N162" s="212">
        <f t="shared" si="21"/>
        <v>8</v>
      </c>
      <c r="O162" s="212">
        <f t="shared" si="22"/>
        <v>44</v>
      </c>
      <c r="P162" s="212">
        <f t="shared" si="23"/>
        <v>0</v>
      </c>
      <c r="Q162" s="212">
        <f t="shared" si="24"/>
        <v>12</v>
      </c>
      <c r="R162" s="212">
        <f t="shared" si="25"/>
        <v>64</v>
      </c>
      <c r="S162" s="373" t="s">
        <v>1283</v>
      </c>
      <c r="T162" s="373" t="s">
        <v>1284</v>
      </c>
      <c r="U162" s="280">
        <v>36</v>
      </c>
      <c r="V162" s="280">
        <v>36</v>
      </c>
      <c r="W162" s="280">
        <v>36</v>
      </c>
      <c r="X162" s="374">
        <v>44113</v>
      </c>
      <c r="Y162" s="374">
        <v>44208</v>
      </c>
      <c r="Z162" s="276">
        <v>44161</v>
      </c>
      <c r="AA162" s="273">
        <f t="shared" si="26"/>
        <v>2020</v>
      </c>
      <c r="AB162" s="273">
        <f t="shared" si="27"/>
        <v>11</v>
      </c>
      <c r="AC162" s="278" t="s">
        <v>920</v>
      </c>
      <c r="AD162" s="278" t="s">
        <v>422</v>
      </c>
      <c r="AE162" s="278" t="s">
        <v>422</v>
      </c>
      <c r="AF162" s="278" t="s">
        <v>422</v>
      </c>
      <c r="AG162" s="278" t="s">
        <v>422</v>
      </c>
      <c r="AH162" s="278" t="s">
        <v>422</v>
      </c>
      <c r="AI162" s="278" t="s">
        <v>423</v>
      </c>
      <c r="AJ162" s="278" t="s">
        <v>422</v>
      </c>
      <c r="AK162" s="278" t="s">
        <v>423</v>
      </c>
      <c r="AL162" s="279" t="s">
        <v>1428</v>
      </c>
      <c r="AM162" s="241"/>
      <c r="AN162" s="241"/>
    </row>
    <row r="163" spans="1:40" ht="15" customHeight="1" x14ac:dyDescent="0.3">
      <c r="A163" s="185">
        <v>230</v>
      </c>
      <c r="B163" s="230" t="s">
        <v>1306</v>
      </c>
      <c r="C163" s="247" t="s">
        <v>1847</v>
      </c>
      <c r="D163" s="200" t="s">
        <v>1848</v>
      </c>
      <c r="E163" s="230"/>
      <c r="F163" s="230"/>
      <c r="G163" s="230" t="s">
        <v>1953</v>
      </c>
      <c r="H163" s="230" t="s">
        <v>1956</v>
      </c>
      <c r="I163" s="359">
        <v>1</v>
      </c>
      <c r="J163" s="230">
        <v>5.5</v>
      </c>
      <c r="K163" s="360">
        <v>6.1</v>
      </c>
      <c r="L163" s="212">
        <v>0.8</v>
      </c>
      <c r="M163" s="212">
        <f t="shared" si="20"/>
        <v>13.4</v>
      </c>
      <c r="N163" s="212">
        <f t="shared" si="21"/>
        <v>8</v>
      </c>
      <c r="O163" s="212">
        <f t="shared" si="22"/>
        <v>22</v>
      </c>
      <c r="P163" s="212">
        <f t="shared" si="23"/>
        <v>40.666666666666664</v>
      </c>
      <c r="Q163" s="212">
        <f t="shared" si="24"/>
        <v>6.4</v>
      </c>
      <c r="R163" s="212">
        <f t="shared" si="25"/>
        <v>77.066666666666663</v>
      </c>
      <c r="S163" s="373" t="s">
        <v>1312</v>
      </c>
      <c r="T163" s="373" t="s">
        <v>1312</v>
      </c>
      <c r="U163" s="375">
        <v>20</v>
      </c>
      <c r="V163" s="280">
        <v>20</v>
      </c>
      <c r="W163" s="280">
        <v>20</v>
      </c>
      <c r="X163" s="374">
        <v>44113</v>
      </c>
      <c r="Y163" s="374">
        <v>44141</v>
      </c>
      <c r="Z163" s="276">
        <v>44154</v>
      </c>
      <c r="AA163" s="273">
        <f t="shared" si="26"/>
        <v>2020</v>
      </c>
      <c r="AB163" s="273">
        <f t="shared" si="27"/>
        <v>11</v>
      </c>
      <c r="AC163" s="278" t="s">
        <v>920</v>
      </c>
      <c r="AD163" s="278" t="s">
        <v>422</v>
      </c>
      <c r="AE163" s="278" t="s">
        <v>423</v>
      </c>
      <c r="AF163" s="278" t="s">
        <v>422</v>
      </c>
      <c r="AG163" s="278" t="s">
        <v>422</v>
      </c>
      <c r="AH163" s="278" t="s">
        <v>422</v>
      </c>
      <c r="AI163" s="278" t="s">
        <v>422</v>
      </c>
      <c r="AJ163" s="278" t="s">
        <v>423</v>
      </c>
      <c r="AK163" s="278" t="s">
        <v>423</v>
      </c>
      <c r="AL163" s="279" t="s">
        <v>1240</v>
      </c>
      <c r="AM163" s="241"/>
      <c r="AN163" s="242" t="s">
        <v>1431</v>
      </c>
    </row>
    <row r="164" spans="1:40" ht="15" customHeight="1" x14ac:dyDescent="0.3">
      <c r="A164" s="185">
        <v>231</v>
      </c>
      <c r="B164" s="230" t="s">
        <v>1307</v>
      </c>
      <c r="C164" s="247" t="s">
        <v>1847</v>
      </c>
      <c r="D164" s="200" t="s">
        <v>1848</v>
      </c>
      <c r="E164" s="230"/>
      <c r="F164" s="230"/>
      <c r="G164" s="230" t="s">
        <v>1953</v>
      </c>
      <c r="H164" s="230" t="s">
        <v>1956</v>
      </c>
      <c r="I164" s="359">
        <v>1</v>
      </c>
      <c r="J164" s="230">
        <v>6</v>
      </c>
      <c r="K164" s="230">
        <v>6.1</v>
      </c>
      <c r="L164" s="212">
        <v>0.8</v>
      </c>
      <c r="M164" s="212">
        <f t="shared" si="20"/>
        <v>13.9</v>
      </c>
      <c r="N164" s="212">
        <f t="shared" si="21"/>
        <v>8</v>
      </c>
      <c r="O164" s="212">
        <f t="shared" si="22"/>
        <v>24</v>
      </c>
      <c r="P164" s="212">
        <f t="shared" si="23"/>
        <v>40.666666666666664</v>
      </c>
      <c r="Q164" s="212">
        <f t="shared" si="24"/>
        <v>6.4</v>
      </c>
      <c r="R164" s="212">
        <f t="shared" si="25"/>
        <v>79.066666666666663</v>
      </c>
      <c r="S164" s="373" t="s">
        <v>1313</v>
      </c>
      <c r="T164" s="373" t="s">
        <v>1313</v>
      </c>
      <c r="U164" s="375">
        <v>20</v>
      </c>
      <c r="V164" s="280">
        <v>20</v>
      </c>
      <c r="W164" s="280">
        <v>20</v>
      </c>
      <c r="X164" s="374">
        <v>44113</v>
      </c>
      <c r="Y164" s="374">
        <v>44141</v>
      </c>
      <c r="Z164" s="276">
        <v>44154</v>
      </c>
      <c r="AA164" s="273">
        <f t="shared" si="26"/>
        <v>2020</v>
      </c>
      <c r="AB164" s="273">
        <f t="shared" si="27"/>
        <v>11</v>
      </c>
      <c r="AC164" s="278" t="s">
        <v>920</v>
      </c>
      <c r="AD164" s="278" t="s">
        <v>422</v>
      </c>
      <c r="AE164" s="278" t="s">
        <v>423</v>
      </c>
      <c r="AF164" s="278" t="s">
        <v>422</v>
      </c>
      <c r="AG164" s="278" t="s">
        <v>422</v>
      </c>
      <c r="AH164" s="278" t="s">
        <v>422</v>
      </c>
      <c r="AI164" s="278" t="s">
        <v>422</v>
      </c>
      <c r="AJ164" s="278" t="s">
        <v>423</v>
      </c>
      <c r="AK164" s="278" t="s">
        <v>423</v>
      </c>
      <c r="AL164" s="279" t="s">
        <v>1240</v>
      </c>
      <c r="AM164" s="241"/>
      <c r="AN164" s="242" t="s">
        <v>1431</v>
      </c>
    </row>
    <row r="165" spans="1:40" ht="15" customHeight="1" x14ac:dyDescent="0.3">
      <c r="A165" s="185">
        <v>232</v>
      </c>
      <c r="B165" s="230" t="s">
        <v>1308</v>
      </c>
      <c r="C165" s="247" t="s">
        <v>1847</v>
      </c>
      <c r="D165" s="200" t="s">
        <v>1848</v>
      </c>
      <c r="E165" s="230"/>
      <c r="F165" s="230"/>
      <c r="G165" s="230" t="s">
        <v>1953</v>
      </c>
      <c r="H165" s="230" t="s">
        <v>1956</v>
      </c>
      <c r="I165" s="359">
        <v>1</v>
      </c>
      <c r="J165" s="230">
        <v>5</v>
      </c>
      <c r="K165" s="230">
        <v>6.9</v>
      </c>
      <c r="L165" s="212">
        <v>0.8</v>
      </c>
      <c r="M165" s="212">
        <f t="shared" si="20"/>
        <v>13.700000000000001</v>
      </c>
      <c r="N165" s="212">
        <f t="shared" si="21"/>
        <v>8</v>
      </c>
      <c r="O165" s="212">
        <f t="shared" si="22"/>
        <v>20</v>
      </c>
      <c r="P165" s="212">
        <f t="shared" si="23"/>
        <v>46.000000000000007</v>
      </c>
      <c r="Q165" s="212">
        <f t="shared" si="24"/>
        <v>6.4</v>
      </c>
      <c r="R165" s="212">
        <f t="shared" si="25"/>
        <v>80.400000000000006</v>
      </c>
      <c r="S165" s="373" t="s">
        <v>1314</v>
      </c>
      <c r="T165" s="373" t="s">
        <v>1314</v>
      </c>
      <c r="U165" s="375">
        <v>20</v>
      </c>
      <c r="V165" s="280">
        <v>20</v>
      </c>
      <c r="W165" s="280">
        <v>20</v>
      </c>
      <c r="X165" s="374">
        <v>44113</v>
      </c>
      <c r="Y165" s="374">
        <v>44141</v>
      </c>
      <c r="Z165" s="276">
        <v>44154</v>
      </c>
      <c r="AA165" s="273">
        <f t="shared" si="26"/>
        <v>2020</v>
      </c>
      <c r="AB165" s="273">
        <f t="shared" si="27"/>
        <v>11</v>
      </c>
      <c r="AC165" s="278" t="s">
        <v>920</v>
      </c>
      <c r="AD165" s="278" t="s">
        <v>422</v>
      </c>
      <c r="AE165" s="278" t="s">
        <v>423</v>
      </c>
      <c r="AF165" s="278" t="s">
        <v>422</v>
      </c>
      <c r="AG165" s="278" t="s">
        <v>422</v>
      </c>
      <c r="AH165" s="278" t="s">
        <v>422</v>
      </c>
      <c r="AI165" s="278" t="s">
        <v>422</v>
      </c>
      <c r="AJ165" s="278" t="s">
        <v>423</v>
      </c>
      <c r="AK165" s="278" t="s">
        <v>423</v>
      </c>
      <c r="AL165" s="279" t="s">
        <v>1240</v>
      </c>
      <c r="AM165" s="241"/>
      <c r="AN165" s="242" t="s">
        <v>1431</v>
      </c>
    </row>
    <row r="166" spans="1:40" ht="15" customHeight="1" x14ac:dyDescent="0.3">
      <c r="A166" s="185">
        <v>233</v>
      </c>
      <c r="B166" s="230" t="s">
        <v>1309</v>
      </c>
      <c r="C166" s="247" t="s">
        <v>1847</v>
      </c>
      <c r="D166" s="199" t="s">
        <v>1848</v>
      </c>
      <c r="E166" s="230"/>
      <c r="F166" s="230"/>
      <c r="G166" s="230" t="s">
        <v>1953</v>
      </c>
      <c r="H166" s="230" t="s">
        <v>1040</v>
      </c>
      <c r="I166" s="359">
        <v>1</v>
      </c>
      <c r="J166" s="230">
        <v>4.5</v>
      </c>
      <c r="K166" s="230">
        <v>8</v>
      </c>
      <c r="L166" s="212">
        <v>0.8</v>
      </c>
      <c r="M166" s="212">
        <f t="shared" si="20"/>
        <v>14.3</v>
      </c>
      <c r="N166" s="212">
        <f t="shared" si="21"/>
        <v>8</v>
      </c>
      <c r="O166" s="212">
        <f t="shared" si="22"/>
        <v>18</v>
      </c>
      <c r="P166" s="212">
        <f t="shared" si="23"/>
        <v>53.333333333333336</v>
      </c>
      <c r="Q166" s="212">
        <f t="shared" si="24"/>
        <v>6.4</v>
      </c>
      <c r="R166" s="212">
        <f t="shared" si="25"/>
        <v>85.733333333333348</v>
      </c>
      <c r="S166" s="373" t="s">
        <v>1315</v>
      </c>
      <c r="T166" s="373" t="s">
        <v>1315</v>
      </c>
      <c r="U166" s="375">
        <v>21</v>
      </c>
      <c r="V166" s="280">
        <v>21</v>
      </c>
      <c r="W166" s="280">
        <v>21</v>
      </c>
      <c r="X166" s="374">
        <v>44113</v>
      </c>
      <c r="Y166" s="374">
        <v>44141</v>
      </c>
      <c r="Z166" s="276">
        <v>44154</v>
      </c>
      <c r="AA166" s="273">
        <f t="shared" si="26"/>
        <v>2020</v>
      </c>
      <c r="AB166" s="273">
        <f t="shared" si="27"/>
        <v>11</v>
      </c>
      <c r="AC166" s="278" t="s">
        <v>920</v>
      </c>
      <c r="AD166" s="278" t="s">
        <v>422</v>
      </c>
      <c r="AE166" s="278" t="s">
        <v>423</v>
      </c>
      <c r="AF166" s="278" t="s">
        <v>422</v>
      </c>
      <c r="AG166" s="278" t="s">
        <v>422</v>
      </c>
      <c r="AH166" s="278" t="s">
        <v>422</v>
      </c>
      <c r="AI166" s="278" t="s">
        <v>422</v>
      </c>
      <c r="AJ166" s="278" t="s">
        <v>423</v>
      </c>
      <c r="AK166" s="278" t="s">
        <v>423</v>
      </c>
      <c r="AL166" s="279" t="s">
        <v>254</v>
      </c>
      <c r="AM166" s="241"/>
      <c r="AN166" s="242" t="s">
        <v>1431</v>
      </c>
    </row>
    <row r="167" spans="1:40" ht="15" customHeight="1" x14ac:dyDescent="0.3">
      <c r="A167" s="185">
        <v>234</v>
      </c>
      <c r="B167" s="230" t="s">
        <v>1310</v>
      </c>
      <c r="C167" s="247" t="s">
        <v>1847</v>
      </c>
      <c r="D167" s="199" t="s">
        <v>1848</v>
      </c>
      <c r="E167" s="230"/>
      <c r="F167" s="230"/>
      <c r="G167" s="230" t="s">
        <v>1953</v>
      </c>
      <c r="H167" s="230" t="s">
        <v>1040</v>
      </c>
      <c r="I167" s="359">
        <v>1</v>
      </c>
      <c r="J167" s="230">
        <v>4.5</v>
      </c>
      <c r="K167" s="360">
        <v>85</v>
      </c>
      <c r="L167" s="212">
        <v>0.8</v>
      </c>
      <c r="M167" s="212">
        <f t="shared" si="20"/>
        <v>91.3</v>
      </c>
      <c r="N167" s="212">
        <f t="shared" si="21"/>
        <v>8</v>
      </c>
      <c r="O167" s="212">
        <f t="shared" si="22"/>
        <v>18</v>
      </c>
      <c r="P167" s="212">
        <f t="shared" si="23"/>
        <v>566.66666666666674</v>
      </c>
      <c r="Q167" s="212">
        <f t="shared" si="24"/>
        <v>6.4</v>
      </c>
      <c r="R167" s="212">
        <f t="shared" si="25"/>
        <v>599.06666666666672</v>
      </c>
      <c r="S167" s="373" t="s">
        <v>1316</v>
      </c>
      <c r="T167" s="373" t="s">
        <v>1316</v>
      </c>
      <c r="U167" s="375">
        <v>21</v>
      </c>
      <c r="V167" s="280">
        <v>21</v>
      </c>
      <c r="W167" s="280">
        <v>21</v>
      </c>
      <c r="X167" s="374">
        <v>44113</v>
      </c>
      <c r="Y167" s="374">
        <v>44141</v>
      </c>
      <c r="Z167" s="276">
        <v>44154</v>
      </c>
      <c r="AA167" s="273">
        <f t="shared" si="26"/>
        <v>2020</v>
      </c>
      <c r="AB167" s="273">
        <f t="shared" si="27"/>
        <v>11</v>
      </c>
      <c r="AC167" s="278" t="s">
        <v>920</v>
      </c>
      <c r="AD167" s="278" t="s">
        <v>422</v>
      </c>
      <c r="AE167" s="278" t="s">
        <v>423</v>
      </c>
      <c r="AF167" s="278" t="s">
        <v>422</v>
      </c>
      <c r="AG167" s="278" t="s">
        <v>422</v>
      </c>
      <c r="AH167" s="278" t="s">
        <v>422</v>
      </c>
      <c r="AI167" s="278" t="s">
        <v>422</v>
      </c>
      <c r="AJ167" s="278" t="s">
        <v>423</v>
      </c>
      <c r="AK167" s="278" t="s">
        <v>423</v>
      </c>
      <c r="AL167" s="279" t="s">
        <v>254</v>
      </c>
      <c r="AM167" s="241"/>
      <c r="AN167" s="242" t="s">
        <v>1431</v>
      </c>
    </row>
    <row r="168" spans="1:40" ht="15" customHeight="1" x14ac:dyDescent="0.3">
      <c r="A168" s="185">
        <v>235</v>
      </c>
      <c r="B168" s="230" t="s">
        <v>1311</v>
      </c>
      <c r="C168" s="247" t="s">
        <v>1847</v>
      </c>
      <c r="D168" s="199" t="s">
        <v>1848</v>
      </c>
      <c r="E168" s="230"/>
      <c r="F168" s="230"/>
      <c r="G168" s="230" t="s">
        <v>1953</v>
      </c>
      <c r="H168" s="230" t="s">
        <v>1040</v>
      </c>
      <c r="I168" s="359">
        <v>1</v>
      </c>
      <c r="J168" s="230">
        <v>3.5</v>
      </c>
      <c r="K168" s="230">
        <v>8.8000000000000007</v>
      </c>
      <c r="L168" s="212">
        <v>0.8</v>
      </c>
      <c r="M168" s="212">
        <f t="shared" si="20"/>
        <v>14.100000000000001</v>
      </c>
      <c r="N168" s="212">
        <f t="shared" si="21"/>
        <v>8</v>
      </c>
      <c r="O168" s="212">
        <f t="shared" si="22"/>
        <v>14</v>
      </c>
      <c r="P168" s="212">
        <f t="shared" si="23"/>
        <v>58.666666666666671</v>
      </c>
      <c r="Q168" s="212">
        <f t="shared" si="24"/>
        <v>6.4</v>
      </c>
      <c r="R168" s="212">
        <f t="shared" si="25"/>
        <v>87.066666666666677</v>
      </c>
      <c r="S168" s="373" t="s">
        <v>1317</v>
      </c>
      <c r="T168" s="373" t="s">
        <v>1317</v>
      </c>
      <c r="U168" s="375">
        <v>21</v>
      </c>
      <c r="V168" s="280">
        <v>21</v>
      </c>
      <c r="W168" s="280">
        <v>21</v>
      </c>
      <c r="X168" s="374">
        <v>44113</v>
      </c>
      <c r="Y168" s="374">
        <v>44141</v>
      </c>
      <c r="Z168" s="276">
        <v>44154</v>
      </c>
      <c r="AA168" s="273">
        <f t="shared" si="26"/>
        <v>2020</v>
      </c>
      <c r="AB168" s="273">
        <f t="shared" si="27"/>
        <v>11</v>
      </c>
      <c r="AC168" s="278" t="s">
        <v>920</v>
      </c>
      <c r="AD168" s="278" t="s">
        <v>422</v>
      </c>
      <c r="AE168" s="278" t="s">
        <v>423</v>
      </c>
      <c r="AF168" s="278" t="s">
        <v>422</v>
      </c>
      <c r="AG168" s="278" t="s">
        <v>422</v>
      </c>
      <c r="AH168" s="278" t="s">
        <v>422</v>
      </c>
      <c r="AI168" s="278" t="s">
        <v>422</v>
      </c>
      <c r="AJ168" s="278" t="s">
        <v>423</v>
      </c>
      <c r="AK168" s="278" t="s">
        <v>423</v>
      </c>
      <c r="AL168" s="279" t="s">
        <v>254</v>
      </c>
      <c r="AM168" s="241"/>
      <c r="AN168" s="242" t="s">
        <v>1431</v>
      </c>
    </row>
    <row r="169" spans="1:40" ht="15" customHeight="1" x14ac:dyDescent="0.3">
      <c r="A169" s="185">
        <v>209</v>
      </c>
      <c r="B169" s="230" t="s">
        <v>1222</v>
      </c>
      <c r="C169" s="247" t="s">
        <v>1615</v>
      </c>
      <c r="D169" s="199" t="s">
        <v>1881</v>
      </c>
      <c r="E169" s="230"/>
      <c r="F169" s="230"/>
      <c r="G169" s="368" t="s">
        <v>1604</v>
      </c>
      <c r="H169" s="248" t="s">
        <v>1427</v>
      </c>
      <c r="I169" s="359">
        <v>1</v>
      </c>
      <c r="J169" s="248">
        <v>14</v>
      </c>
      <c r="K169" s="248">
        <v>0</v>
      </c>
      <c r="L169" s="212">
        <v>1.5</v>
      </c>
      <c r="M169" s="212">
        <f t="shared" si="20"/>
        <v>16.5</v>
      </c>
      <c r="N169" s="212">
        <f t="shared" si="21"/>
        <v>8</v>
      </c>
      <c r="O169" s="212">
        <f t="shared" si="22"/>
        <v>56</v>
      </c>
      <c r="P169" s="212">
        <f t="shared" si="23"/>
        <v>0</v>
      </c>
      <c r="Q169" s="212">
        <f t="shared" si="24"/>
        <v>12</v>
      </c>
      <c r="R169" s="212">
        <f t="shared" si="25"/>
        <v>76</v>
      </c>
      <c r="S169" s="373" t="s">
        <v>1231</v>
      </c>
      <c r="T169" s="373" t="s">
        <v>1253</v>
      </c>
      <c r="U169" s="280">
        <v>50</v>
      </c>
      <c r="V169" s="280">
        <v>50</v>
      </c>
      <c r="W169" s="280">
        <v>50</v>
      </c>
      <c r="X169" s="374">
        <v>44089</v>
      </c>
      <c r="Y169" s="374">
        <v>44211</v>
      </c>
      <c r="Z169" s="276">
        <v>44195</v>
      </c>
      <c r="AA169" s="273">
        <f t="shared" si="26"/>
        <v>2020</v>
      </c>
      <c r="AB169" s="273">
        <f t="shared" si="27"/>
        <v>12</v>
      </c>
      <c r="AC169" s="278" t="s">
        <v>920</v>
      </c>
      <c r="AD169" s="278" t="s">
        <v>422</v>
      </c>
      <c r="AE169" s="278" t="s">
        <v>422</v>
      </c>
      <c r="AF169" s="278" t="s">
        <v>422</v>
      </c>
      <c r="AG169" s="278" t="s">
        <v>422</v>
      </c>
      <c r="AH169" s="278" t="s">
        <v>422</v>
      </c>
      <c r="AI169" s="278" t="s">
        <v>423</v>
      </c>
      <c r="AJ169" s="278" t="s">
        <v>422</v>
      </c>
      <c r="AK169" s="278" t="s">
        <v>423</v>
      </c>
      <c r="AL169" s="279" t="s">
        <v>1427</v>
      </c>
      <c r="AM169" s="241"/>
      <c r="AN169" s="241"/>
    </row>
    <row r="170" spans="1:40" ht="15" customHeight="1" x14ac:dyDescent="0.3">
      <c r="A170" s="185">
        <v>215</v>
      </c>
      <c r="B170" s="230" t="s">
        <v>1228</v>
      </c>
      <c r="C170" s="247" t="s">
        <v>1615</v>
      </c>
      <c r="D170" s="199" t="s">
        <v>1881</v>
      </c>
      <c r="E170" s="370" t="s">
        <v>1596</v>
      </c>
      <c r="F170" s="230" t="s">
        <v>1600</v>
      </c>
      <c r="G170" s="368" t="s">
        <v>1604</v>
      </c>
      <c r="H170" s="248" t="s">
        <v>1428</v>
      </c>
      <c r="I170" s="248">
        <v>1</v>
      </c>
      <c r="J170" s="248">
        <v>11.5</v>
      </c>
      <c r="K170" s="248">
        <v>0</v>
      </c>
      <c r="L170" s="212">
        <v>2</v>
      </c>
      <c r="M170" s="212">
        <f t="shared" si="20"/>
        <v>14.5</v>
      </c>
      <c r="N170" s="212">
        <f t="shared" si="21"/>
        <v>8</v>
      </c>
      <c r="O170" s="212">
        <f t="shared" si="22"/>
        <v>46</v>
      </c>
      <c r="P170" s="212">
        <f t="shared" si="23"/>
        <v>0</v>
      </c>
      <c r="Q170" s="212">
        <f t="shared" si="24"/>
        <v>16</v>
      </c>
      <c r="R170" s="212">
        <f t="shared" si="25"/>
        <v>70</v>
      </c>
      <c r="S170" s="373" t="s">
        <v>1239</v>
      </c>
      <c r="T170" s="373" t="s">
        <v>1259</v>
      </c>
      <c r="U170" s="280">
        <v>210</v>
      </c>
      <c r="V170" s="280">
        <v>210</v>
      </c>
      <c r="W170" s="280">
        <v>210</v>
      </c>
      <c r="X170" s="374">
        <v>44089</v>
      </c>
      <c r="Y170" s="374">
        <v>44211</v>
      </c>
      <c r="Z170" s="276">
        <v>44195</v>
      </c>
      <c r="AA170" s="273">
        <f t="shared" si="26"/>
        <v>2020</v>
      </c>
      <c r="AB170" s="273">
        <f t="shared" si="27"/>
        <v>12</v>
      </c>
      <c r="AC170" s="278" t="s">
        <v>920</v>
      </c>
      <c r="AD170" s="278" t="s">
        <v>422</v>
      </c>
      <c r="AE170" s="278" t="s">
        <v>422</v>
      </c>
      <c r="AF170" s="278" t="s">
        <v>422</v>
      </c>
      <c r="AG170" s="278" t="s">
        <v>422</v>
      </c>
      <c r="AH170" s="278" t="s">
        <v>422</v>
      </c>
      <c r="AI170" s="278" t="s">
        <v>423</v>
      </c>
      <c r="AJ170" s="278" t="s">
        <v>422</v>
      </c>
      <c r="AK170" s="278" t="s">
        <v>423</v>
      </c>
      <c r="AL170" s="279" t="s">
        <v>1428</v>
      </c>
      <c r="AM170" s="241"/>
      <c r="AN170" s="241"/>
    </row>
    <row r="171" spans="1:40" ht="15" customHeight="1" x14ac:dyDescent="0.3">
      <c r="A171" s="185">
        <v>236</v>
      </c>
      <c r="B171" s="230" t="s">
        <v>1318</v>
      </c>
      <c r="C171" s="247" t="s">
        <v>1830</v>
      </c>
      <c r="D171" s="199" t="s">
        <v>1881</v>
      </c>
      <c r="E171" s="230"/>
      <c r="F171" s="230"/>
      <c r="G171" s="230" t="s">
        <v>1953</v>
      </c>
      <c r="H171" s="230" t="s">
        <v>1010</v>
      </c>
      <c r="I171" s="359">
        <v>1</v>
      </c>
      <c r="J171" s="230">
        <v>13</v>
      </c>
      <c r="K171" s="360">
        <v>1.5</v>
      </c>
      <c r="L171" s="212">
        <v>1</v>
      </c>
      <c r="M171" s="212">
        <f t="shared" si="20"/>
        <v>16.5</v>
      </c>
      <c r="N171" s="212">
        <f t="shared" si="21"/>
        <v>8</v>
      </c>
      <c r="O171" s="212">
        <f t="shared" si="22"/>
        <v>52</v>
      </c>
      <c r="P171" s="212">
        <f t="shared" si="23"/>
        <v>10</v>
      </c>
      <c r="Q171" s="212">
        <f t="shared" si="24"/>
        <v>8</v>
      </c>
      <c r="R171" s="212">
        <f t="shared" si="25"/>
        <v>78</v>
      </c>
      <c r="S171" s="373" t="s">
        <v>1320</v>
      </c>
      <c r="T171" s="373" t="s">
        <v>1321</v>
      </c>
      <c r="U171" s="375">
        <v>40</v>
      </c>
      <c r="V171" s="280">
        <v>40</v>
      </c>
      <c r="W171" s="280">
        <v>40</v>
      </c>
      <c r="X171" s="374">
        <v>44113</v>
      </c>
      <c r="Y171" s="374">
        <v>44180</v>
      </c>
      <c r="Z171" s="276">
        <v>44168</v>
      </c>
      <c r="AA171" s="273">
        <f t="shared" si="26"/>
        <v>2020</v>
      </c>
      <c r="AB171" s="273">
        <f t="shared" si="27"/>
        <v>12</v>
      </c>
      <c r="AC171" s="278" t="s">
        <v>920</v>
      </c>
      <c r="AD171" s="278" t="s">
        <v>422</v>
      </c>
      <c r="AE171" s="278" t="s">
        <v>422</v>
      </c>
      <c r="AF171" s="278" t="s">
        <v>422</v>
      </c>
      <c r="AG171" s="278" t="s">
        <v>422</v>
      </c>
      <c r="AH171" s="278" t="s">
        <v>449</v>
      </c>
      <c r="AI171" s="278" t="s">
        <v>449</v>
      </c>
      <c r="AJ171" s="278" t="s">
        <v>423</v>
      </c>
      <c r="AK171" s="278" t="s">
        <v>423</v>
      </c>
      <c r="AL171" s="279" t="s">
        <v>140</v>
      </c>
      <c r="AM171" s="241"/>
      <c r="AN171" s="241"/>
    </row>
    <row r="172" spans="1:40" ht="15" customHeight="1" x14ac:dyDescent="0.3">
      <c r="A172" s="185">
        <v>237</v>
      </c>
      <c r="B172" s="230" t="s">
        <v>1319</v>
      </c>
      <c r="C172" s="247" t="s">
        <v>1830</v>
      </c>
      <c r="D172" s="199" t="s">
        <v>1881</v>
      </c>
      <c r="E172" s="230"/>
      <c r="F172" s="230"/>
      <c r="G172" s="230" t="s">
        <v>1953</v>
      </c>
      <c r="H172" s="230" t="s">
        <v>1598</v>
      </c>
      <c r="I172" s="359">
        <v>1</v>
      </c>
      <c r="J172" s="230">
        <v>13</v>
      </c>
      <c r="K172" s="360">
        <v>1.5</v>
      </c>
      <c r="L172" s="212">
        <v>1</v>
      </c>
      <c r="M172" s="212">
        <f t="shared" si="20"/>
        <v>16.5</v>
      </c>
      <c r="N172" s="212">
        <f t="shared" si="21"/>
        <v>8</v>
      </c>
      <c r="O172" s="212">
        <f t="shared" si="22"/>
        <v>52</v>
      </c>
      <c r="P172" s="212">
        <f t="shared" si="23"/>
        <v>10</v>
      </c>
      <c r="Q172" s="212">
        <f t="shared" si="24"/>
        <v>8</v>
      </c>
      <c r="R172" s="212">
        <f t="shared" si="25"/>
        <v>78</v>
      </c>
      <c r="S172" s="373" t="s">
        <v>1322</v>
      </c>
      <c r="T172" s="373" t="s">
        <v>1321</v>
      </c>
      <c r="U172" s="375">
        <v>100</v>
      </c>
      <c r="V172" s="280">
        <v>100</v>
      </c>
      <c r="W172" s="280">
        <v>100</v>
      </c>
      <c r="X172" s="374">
        <v>44113</v>
      </c>
      <c r="Y172" s="374">
        <v>44180</v>
      </c>
      <c r="Z172" s="276">
        <v>44168</v>
      </c>
      <c r="AA172" s="273">
        <f t="shared" si="26"/>
        <v>2020</v>
      </c>
      <c r="AB172" s="273">
        <f t="shared" si="27"/>
        <v>12</v>
      </c>
      <c r="AC172" s="278" t="s">
        <v>920</v>
      </c>
      <c r="AD172" s="278" t="s">
        <v>422</v>
      </c>
      <c r="AE172" s="278" t="s">
        <v>422</v>
      </c>
      <c r="AF172" s="278" t="s">
        <v>422</v>
      </c>
      <c r="AG172" s="278" t="s">
        <v>422</v>
      </c>
      <c r="AH172" s="278" t="s">
        <v>449</v>
      </c>
      <c r="AI172" s="278" t="s">
        <v>449</v>
      </c>
      <c r="AJ172" s="278" t="s">
        <v>423</v>
      </c>
      <c r="AK172" s="278" t="s">
        <v>423</v>
      </c>
      <c r="AL172" s="279" t="s">
        <v>1430</v>
      </c>
      <c r="AM172" s="241"/>
      <c r="AN172" s="241"/>
    </row>
    <row r="173" spans="1:40" ht="15" customHeight="1" x14ac:dyDescent="0.3">
      <c r="A173" s="185">
        <v>242</v>
      </c>
      <c r="B173" s="230" t="s">
        <v>1335</v>
      </c>
      <c r="C173" s="247" t="s">
        <v>1616</v>
      </c>
      <c r="D173" s="199" t="s">
        <v>1848</v>
      </c>
      <c r="E173" s="230"/>
      <c r="F173" s="230"/>
      <c r="G173" s="230" t="s">
        <v>1953</v>
      </c>
      <c r="H173" s="230"/>
      <c r="I173" s="359">
        <v>2</v>
      </c>
      <c r="J173" s="360">
        <v>15</v>
      </c>
      <c r="K173" s="230">
        <v>9</v>
      </c>
      <c r="L173" s="212">
        <v>1</v>
      </c>
      <c r="M173" s="212">
        <f t="shared" si="20"/>
        <v>27</v>
      </c>
      <c r="N173" s="212">
        <f t="shared" si="21"/>
        <v>16</v>
      </c>
      <c r="O173" s="212">
        <f t="shared" si="22"/>
        <v>60</v>
      </c>
      <c r="P173" s="212">
        <f t="shared" si="23"/>
        <v>60</v>
      </c>
      <c r="Q173" s="212">
        <f t="shared" si="24"/>
        <v>8</v>
      </c>
      <c r="R173" s="212">
        <f t="shared" si="25"/>
        <v>144</v>
      </c>
      <c r="S173" s="234" t="s">
        <v>1350</v>
      </c>
      <c r="T173" s="373" t="s">
        <v>1365</v>
      </c>
      <c r="U173" s="280">
        <v>6</v>
      </c>
      <c r="V173" s="280">
        <v>7</v>
      </c>
      <c r="W173" s="280">
        <v>7</v>
      </c>
      <c r="X173" s="374">
        <v>44123</v>
      </c>
      <c r="Y173" s="374">
        <v>44151</v>
      </c>
      <c r="Z173" s="276">
        <v>44176</v>
      </c>
      <c r="AA173" s="273">
        <f t="shared" si="26"/>
        <v>2020</v>
      </c>
      <c r="AB173" s="273">
        <f t="shared" si="27"/>
        <v>12</v>
      </c>
      <c r="AC173" s="278" t="s">
        <v>920</v>
      </c>
      <c r="AD173" s="278" t="s">
        <v>422</v>
      </c>
      <c r="AE173" s="278" t="s">
        <v>422</v>
      </c>
      <c r="AF173" s="278" t="s">
        <v>422</v>
      </c>
      <c r="AG173" s="278" t="s">
        <v>422</v>
      </c>
      <c r="AH173" s="278" t="s">
        <v>422</v>
      </c>
      <c r="AI173" s="278" t="s">
        <v>422</v>
      </c>
      <c r="AJ173" s="278" t="s">
        <v>423</v>
      </c>
      <c r="AK173" s="278" t="s">
        <v>423</v>
      </c>
      <c r="AL173" s="279" t="s">
        <v>140</v>
      </c>
      <c r="AM173" s="241"/>
      <c r="AN173" s="242" t="s">
        <v>1429</v>
      </c>
    </row>
    <row r="174" spans="1:40" ht="15" customHeight="1" x14ac:dyDescent="0.3">
      <c r="A174" s="185">
        <v>243</v>
      </c>
      <c r="B174" s="230" t="s">
        <v>1336</v>
      </c>
      <c r="C174" s="247" t="s">
        <v>1616</v>
      </c>
      <c r="D174" s="199" t="s">
        <v>1848</v>
      </c>
      <c r="E174" s="230"/>
      <c r="F174" s="230"/>
      <c r="G174" s="230" t="s">
        <v>1953</v>
      </c>
      <c r="H174" s="230"/>
      <c r="I174" s="359">
        <v>2</v>
      </c>
      <c r="J174" s="360">
        <v>15</v>
      </c>
      <c r="K174" s="230">
        <v>15</v>
      </c>
      <c r="L174" s="212">
        <v>1</v>
      </c>
      <c r="M174" s="212">
        <f t="shared" si="20"/>
        <v>33</v>
      </c>
      <c r="N174" s="212">
        <f t="shared" si="21"/>
        <v>16</v>
      </c>
      <c r="O174" s="212">
        <f t="shared" si="22"/>
        <v>60</v>
      </c>
      <c r="P174" s="212">
        <f t="shared" si="23"/>
        <v>100</v>
      </c>
      <c r="Q174" s="212">
        <f t="shared" si="24"/>
        <v>8</v>
      </c>
      <c r="R174" s="212">
        <f t="shared" si="25"/>
        <v>184</v>
      </c>
      <c r="S174" s="234" t="s">
        <v>1351</v>
      </c>
      <c r="T174" s="373" t="s">
        <v>1365</v>
      </c>
      <c r="U174" s="280">
        <v>7</v>
      </c>
      <c r="V174" s="280">
        <v>8</v>
      </c>
      <c r="W174" s="280">
        <v>8</v>
      </c>
      <c r="X174" s="374">
        <v>44123</v>
      </c>
      <c r="Y174" s="374">
        <v>44151</v>
      </c>
      <c r="Z174" s="276">
        <v>44176</v>
      </c>
      <c r="AA174" s="273">
        <f t="shared" si="26"/>
        <v>2020</v>
      </c>
      <c r="AB174" s="273">
        <f t="shared" si="27"/>
        <v>12</v>
      </c>
      <c r="AC174" s="278" t="s">
        <v>920</v>
      </c>
      <c r="AD174" s="278" t="s">
        <v>422</v>
      </c>
      <c r="AE174" s="278" t="s">
        <v>422</v>
      </c>
      <c r="AF174" s="278" t="s">
        <v>422</v>
      </c>
      <c r="AG174" s="278" t="s">
        <v>422</v>
      </c>
      <c r="AH174" s="278" t="s">
        <v>422</v>
      </c>
      <c r="AI174" s="278" t="s">
        <v>422</v>
      </c>
      <c r="AJ174" s="278" t="s">
        <v>423</v>
      </c>
      <c r="AK174" s="278" t="s">
        <v>423</v>
      </c>
      <c r="AL174" s="279" t="s">
        <v>140</v>
      </c>
      <c r="AM174" s="241"/>
      <c r="AN174" s="242" t="s">
        <v>1429</v>
      </c>
    </row>
    <row r="175" spans="1:40" ht="15" customHeight="1" x14ac:dyDescent="0.3">
      <c r="A175" s="185">
        <v>244</v>
      </c>
      <c r="B175" s="230" t="s">
        <v>1337</v>
      </c>
      <c r="C175" s="247" t="s">
        <v>1616</v>
      </c>
      <c r="D175" s="199" t="s">
        <v>1848</v>
      </c>
      <c r="E175" s="230"/>
      <c r="F175" s="230"/>
      <c r="G175" s="230" t="s">
        <v>1953</v>
      </c>
      <c r="H175" s="230"/>
      <c r="I175" s="359">
        <v>2</v>
      </c>
      <c r="J175" s="360">
        <v>12</v>
      </c>
      <c r="K175" s="360">
        <v>12</v>
      </c>
      <c r="L175" s="212">
        <v>1</v>
      </c>
      <c r="M175" s="212">
        <f t="shared" si="20"/>
        <v>27</v>
      </c>
      <c r="N175" s="212">
        <f t="shared" si="21"/>
        <v>16</v>
      </c>
      <c r="O175" s="212">
        <f t="shared" si="22"/>
        <v>48</v>
      </c>
      <c r="P175" s="212">
        <f t="shared" si="23"/>
        <v>80</v>
      </c>
      <c r="Q175" s="212">
        <f t="shared" si="24"/>
        <v>8</v>
      </c>
      <c r="R175" s="212">
        <f t="shared" si="25"/>
        <v>152</v>
      </c>
      <c r="S175" s="234" t="s">
        <v>1352</v>
      </c>
      <c r="T175" s="373" t="s">
        <v>1366</v>
      </c>
      <c r="U175" s="280">
        <v>6</v>
      </c>
      <c r="V175" s="280">
        <v>7</v>
      </c>
      <c r="W175" s="280">
        <v>7</v>
      </c>
      <c r="X175" s="374">
        <v>44123</v>
      </c>
      <c r="Y175" s="374">
        <v>44151</v>
      </c>
      <c r="Z175" s="276">
        <v>44176</v>
      </c>
      <c r="AA175" s="273">
        <f t="shared" si="26"/>
        <v>2020</v>
      </c>
      <c r="AB175" s="273">
        <f t="shared" si="27"/>
        <v>12</v>
      </c>
      <c r="AC175" s="278" t="s">
        <v>920</v>
      </c>
      <c r="AD175" s="278" t="s">
        <v>422</v>
      </c>
      <c r="AE175" s="278" t="s">
        <v>422</v>
      </c>
      <c r="AF175" s="278" t="s">
        <v>422</v>
      </c>
      <c r="AG175" s="278" t="s">
        <v>422</v>
      </c>
      <c r="AH175" s="278" t="s">
        <v>422</v>
      </c>
      <c r="AI175" s="278" t="s">
        <v>422</v>
      </c>
      <c r="AJ175" s="278" t="s">
        <v>423</v>
      </c>
      <c r="AK175" s="278" t="s">
        <v>423</v>
      </c>
      <c r="AL175" s="279" t="s">
        <v>140</v>
      </c>
      <c r="AM175" s="241"/>
      <c r="AN175" s="242" t="s">
        <v>1429</v>
      </c>
    </row>
    <row r="176" spans="1:40" ht="15" customHeight="1" x14ac:dyDescent="0.3">
      <c r="A176" s="185">
        <v>245</v>
      </c>
      <c r="B176" s="230" t="s">
        <v>1338</v>
      </c>
      <c r="C176" s="247" t="s">
        <v>1616</v>
      </c>
      <c r="D176" s="199" t="s">
        <v>1848</v>
      </c>
      <c r="E176" s="230"/>
      <c r="F176" s="230"/>
      <c r="G176" s="230" t="s">
        <v>1953</v>
      </c>
      <c r="H176" s="230"/>
      <c r="I176" s="359">
        <v>2</v>
      </c>
      <c r="J176" s="360">
        <v>15</v>
      </c>
      <c r="K176" s="360">
        <v>12</v>
      </c>
      <c r="L176" s="212">
        <v>1</v>
      </c>
      <c r="M176" s="212">
        <f t="shared" si="20"/>
        <v>30</v>
      </c>
      <c r="N176" s="212">
        <f t="shared" si="21"/>
        <v>16</v>
      </c>
      <c r="O176" s="212">
        <f t="shared" si="22"/>
        <v>60</v>
      </c>
      <c r="P176" s="212">
        <f t="shared" si="23"/>
        <v>80</v>
      </c>
      <c r="Q176" s="212">
        <f t="shared" si="24"/>
        <v>8</v>
      </c>
      <c r="R176" s="212">
        <f t="shared" si="25"/>
        <v>164</v>
      </c>
      <c r="S176" s="234" t="s">
        <v>1353</v>
      </c>
      <c r="T176" s="373" t="s">
        <v>1367</v>
      </c>
      <c r="U176" s="280">
        <v>6</v>
      </c>
      <c r="V176" s="280">
        <v>7</v>
      </c>
      <c r="W176" s="280">
        <v>7</v>
      </c>
      <c r="X176" s="374">
        <v>44123</v>
      </c>
      <c r="Y176" s="374">
        <v>44151</v>
      </c>
      <c r="Z176" s="276">
        <v>44176</v>
      </c>
      <c r="AA176" s="273">
        <f t="shared" si="26"/>
        <v>2020</v>
      </c>
      <c r="AB176" s="273">
        <f t="shared" si="27"/>
        <v>12</v>
      </c>
      <c r="AC176" s="278" t="s">
        <v>920</v>
      </c>
      <c r="AD176" s="278" t="s">
        <v>422</v>
      </c>
      <c r="AE176" s="278" t="s">
        <v>422</v>
      </c>
      <c r="AF176" s="278" t="s">
        <v>422</v>
      </c>
      <c r="AG176" s="278" t="s">
        <v>422</v>
      </c>
      <c r="AH176" s="278" t="s">
        <v>422</v>
      </c>
      <c r="AI176" s="278" t="s">
        <v>422</v>
      </c>
      <c r="AJ176" s="278" t="s">
        <v>423</v>
      </c>
      <c r="AK176" s="278" t="s">
        <v>423</v>
      </c>
      <c r="AL176" s="279" t="s">
        <v>140</v>
      </c>
      <c r="AM176" s="241"/>
      <c r="AN176" s="242" t="s">
        <v>1429</v>
      </c>
    </row>
    <row r="177" spans="1:40" ht="15" customHeight="1" x14ac:dyDescent="0.3">
      <c r="A177" s="185">
        <v>246</v>
      </c>
      <c r="B177" s="230" t="s">
        <v>1339</v>
      </c>
      <c r="C177" s="247" t="s">
        <v>1616</v>
      </c>
      <c r="D177" s="199" t="s">
        <v>1848</v>
      </c>
      <c r="E177" s="230"/>
      <c r="F177" s="230"/>
      <c r="G177" s="230" t="s">
        <v>1953</v>
      </c>
      <c r="H177" s="230"/>
      <c r="I177" s="359">
        <v>2</v>
      </c>
      <c r="J177" s="360">
        <v>15</v>
      </c>
      <c r="K177" s="360">
        <v>12</v>
      </c>
      <c r="L177" s="212">
        <v>1</v>
      </c>
      <c r="M177" s="212">
        <f t="shared" si="20"/>
        <v>30</v>
      </c>
      <c r="N177" s="212">
        <f t="shared" si="21"/>
        <v>16</v>
      </c>
      <c r="O177" s="212">
        <f t="shared" si="22"/>
        <v>60</v>
      </c>
      <c r="P177" s="212">
        <f t="shared" si="23"/>
        <v>80</v>
      </c>
      <c r="Q177" s="212">
        <f t="shared" si="24"/>
        <v>8</v>
      </c>
      <c r="R177" s="212">
        <f t="shared" si="25"/>
        <v>164</v>
      </c>
      <c r="S177" s="234" t="s">
        <v>1354</v>
      </c>
      <c r="T177" s="373" t="s">
        <v>1368</v>
      </c>
      <c r="U177" s="280">
        <v>6</v>
      </c>
      <c r="V177" s="280">
        <v>7</v>
      </c>
      <c r="W177" s="280">
        <v>7</v>
      </c>
      <c r="X177" s="374">
        <v>44123</v>
      </c>
      <c r="Y177" s="374">
        <v>44151</v>
      </c>
      <c r="Z177" s="276">
        <v>44176</v>
      </c>
      <c r="AA177" s="273">
        <f t="shared" si="26"/>
        <v>2020</v>
      </c>
      <c r="AB177" s="273">
        <f t="shared" si="27"/>
        <v>12</v>
      </c>
      <c r="AC177" s="278" t="s">
        <v>920</v>
      </c>
      <c r="AD177" s="278" t="s">
        <v>422</v>
      </c>
      <c r="AE177" s="278" t="s">
        <v>422</v>
      </c>
      <c r="AF177" s="278" t="s">
        <v>422</v>
      </c>
      <c r="AG177" s="278" t="s">
        <v>422</v>
      </c>
      <c r="AH177" s="278" t="s">
        <v>422</v>
      </c>
      <c r="AI177" s="278" t="s">
        <v>422</v>
      </c>
      <c r="AJ177" s="278" t="s">
        <v>423</v>
      </c>
      <c r="AK177" s="278" t="s">
        <v>423</v>
      </c>
      <c r="AL177" s="279" t="s">
        <v>140</v>
      </c>
      <c r="AM177" s="241"/>
      <c r="AN177" s="242" t="s">
        <v>1429</v>
      </c>
    </row>
    <row r="178" spans="1:40" ht="15" customHeight="1" x14ac:dyDescent="0.3">
      <c r="A178" s="185">
        <v>247</v>
      </c>
      <c r="B178" s="230" t="s">
        <v>1340</v>
      </c>
      <c r="C178" s="247" t="s">
        <v>1616</v>
      </c>
      <c r="D178" s="199" t="s">
        <v>1848</v>
      </c>
      <c r="E178" s="230"/>
      <c r="F178" s="230"/>
      <c r="G178" s="230" t="s">
        <v>1953</v>
      </c>
      <c r="H178" s="230"/>
      <c r="I178" s="359">
        <v>1</v>
      </c>
      <c r="J178" s="360">
        <v>5</v>
      </c>
      <c r="K178" s="230">
        <v>5.5</v>
      </c>
      <c r="L178" s="212">
        <v>0.5</v>
      </c>
      <c r="M178" s="212">
        <f t="shared" si="20"/>
        <v>12</v>
      </c>
      <c r="N178" s="212">
        <f t="shared" si="21"/>
        <v>8</v>
      </c>
      <c r="O178" s="212">
        <f t="shared" si="22"/>
        <v>20</v>
      </c>
      <c r="P178" s="212">
        <f t="shared" si="23"/>
        <v>36.666666666666671</v>
      </c>
      <c r="Q178" s="212">
        <f t="shared" si="24"/>
        <v>4</v>
      </c>
      <c r="R178" s="212">
        <f t="shared" si="25"/>
        <v>68.666666666666671</v>
      </c>
      <c r="S178" s="234" t="s">
        <v>1355</v>
      </c>
      <c r="T178" s="373" t="s">
        <v>1369</v>
      </c>
      <c r="U178" s="280">
        <v>6</v>
      </c>
      <c r="V178" s="280">
        <v>7</v>
      </c>
      <c r="W178" s="280">
        <v>7</v>
      </c>
      <c r="X178" s="374">
        <v>44123</v>
      </c>
      <c r="Y178" s="374">
        <v>44151</v>
      </c>
      <c r="Z178" s="276">
        <v>44176</v>
      </c>
      <c r="AA178" s="273">
        <f t="shared" si="26"/>
        <v>2020</v>
      </c>
      <c r="AB178" s="273">
        <f t="shared" si="27"/>
        <v>12</v>
      </c>
      <c r="AC178" s="278" t="s">
        <v>920</v>
      </c>
      <c r="AD178" s="278" t="s">
        <v>422</v>
      </c>
      <c r="AE178" s="278" t="s">
        <v>422</v>
      </c>
      <c r="AF178" s="278" t="s">
        <v>422</v>
      </c>
      <c r="AG178" s="278" t="s">
        <v>422</v>
      </c>
      <c r="AH178" s="278" t="s">
        <v>423</v>
      </c>
      <c r="AI178" s="278" t="s">
        <v>422</v>
      </c>
      <c r="AJ178" s="278" t="s">
        <v>423</v>
      </c>
      <c r="AK178" s="278" t="s">
        <v>423</v>
      </c>
      <c r="AL178" s="279" t="s">
        <v>140</v>
      </c>
      <c r="AM178" s="241"/>
      <c r="AN178" s="242" t="s">
        <v>1429</v>
      </c>
    </row>
    <row r="179" spans="1:40" ht="15" customHeight="1" x14ac:dyDescent="0.3">
      <c r="A179" s="185">
        <v>248</v>
      </c>
      <c r="B179" s="230" t="s">
        <v>1341</v>
      </c>
      <c r="C179" s="247" t="s">
        <v>1616</v>
      </c>
      <c r="D179" s="199" t="s">
        <v>1848</v>
      </c>
      <c r="E179" s="230"/>
      <c r="F179" s="230"/>
      <c r="G179" s="230" t="s">
        <v>1953</v>
      </c>
      <c r="H179" s="230"/>
      <c r="I179" s="359">
        <v>1</v>
      </c>
      <c r="J179" s="360">
        <v>5</v>
      </c>
      <c r="K179" s="360">
        <v>5.5</v>
      </c>
      <c r="L179" s="212">
        <v>0.5</v>
      </c>
      <c r="M179" s="212">
        <f t="shared" si="20"/>
        <v>12</v>
      </c>
      <c r="N179" s="212">
        <f t="shared" si="21"/>
        <v>8</v>
      </c>
      <c r="O179" s="212">
        <f t="shared" si="22"/>
        <v>20</v>
      </c>
      <c r="P179" s="212">
        <f t="shared" si="23"/>
        <v>36.666666666666671</v>
      </c>
      <c r="Q179" s="212">
        <f t="shared" si="24"/>
        <v>4</v>
      </c>
      <c r="R179" s="212">
        <f t="shared" si="25"/>
        <v>68.666666666666671</v>
      </c>
      <c r="S179" s="234" t="s">
        <v>1356</v>
      </c>
      <c r="T179" s="373" t="s">
        <v>1370</v>
      </c>
      <c r="U179" s="280">
        <f>12+1</f>
        <v>13</v>
      </c>
      <c r="V179" s="280">
        <v>15</v>
      </c>
      <c r="W179" s="280">
        <v>15</v>
      </c>
      <c r="X179" s="374">
        <v>44123</v>
      </c>
      <c r="Y179" s="374">
        <v>44151</v>
      </c>
      <c r="Z179" s="276">
        <v>44176</v>
      </c>
      <c r="AA179" s="273">
        <f t="shared" si="26"/>
        <v>2020</v>
      </c>
      <c r="AB179" s="273">
        <f t="shared" si="27"/>
        <v>12</v>
      </c>
      <c r="AC179" s="278" t="s">
        <v>920</v>
      </c>
      <c r="AD179" s="278" t="s">
        <v>422</v>
      </c>
      <c r="AE179" s="278" t="s">
        <v>422</v>
      </c>
      <c r="AF179" s="278" t="s">
        <v>422</v>
      </c>
      <c r="AG179" s="278" t="s">
        <v>422</v>
      </c>
      <c r="AH179" s="278" t="s">
        <v>423</v>
      </c>
      <c r="AI179" s="278" t="s">
        <v>422</v>
      </c>
      <c r="AJ179" s="278" t="s">
        <v>423</v>
      </c>
      <c r="AK179" s="278" t="s">
        <v>423</v>
      </c>
      <c r="AL179" s="279" t="s">
        <v>140</v>
      </c>
      <c r="AM179" s="241"/>
      <c r="AN179" s="242" t="s">
        <v>1429</v>
      </c>
    </row>
    <row r="180" spans="1:40" ht="15" customHeight="1" x14ac:dyDescent="0.3">
      <c r="A180" s="185">
        <v>249</v>
      </c>
      <c r="B180" s="230" t="s">
        <v>1342</v>
      </c>
      <c r="C180" s="247" t="s">
        <v>1616</v>
      </c>
      <c r="D180" s="199" t="s">
        <v>1848</v>
      </c>
      <c r="E180" s="230"/>
      <c r="F180" s="230"/>
      <c r="G180" s="230" t="s">
        <v>1953</v>
      </c>
      <c r="H180" s="230"/>
      <c r="I180" s="359">
        <v>2</v>
      </c>
      <c r="J180" s="360">
        <v>15</v>
      </c>
      <c r="K180" s="230">
        <v>11</v>
      </c>
      <c r="L180" s="212">
        <v>1</v>
      </c>
      <c r="M180" s="212">
        <f t="shared" si="20"/>
        <v>29</v>
      </c>
      <c r="N180" s="212">
        <f t="shared" si="21"/>
        <v>16</v>
      </c>
      <c r="O180" s="212">
        <f t="shared" si="22"/>
        <v>60</v>
      </c>
      <c r="P180" s="212">
        <f t="shared" si="23"/>
        <v>73.333333333333343</v>
      </c>
      <c r="Q180" s="212">
        <f t="shared" si="24"/>
        <v>8</v>
      </c>
      <c r="R180" s="212">
        <f t="shared" si="25"/>
        <v>157.33333333333334</v>
      </c>
      <c r="S180" s="234" t="s">
        <v>1357</v>
      </c>
      <c r="T180" s="373" t="s">
        <v>1365</v>
      </c>
      <c r="U180" s="280">
        <v>6</v>
      </c>
      <c r="V180" s="280">
        <v>7</v>
      </c>
      <c r="W180" s="280">
        <v>7</v>
      </c>
      <c r="X180" s="374">
        <v>44123</v>
      </c>
      <c r="Y180" s="374">
        <v>44151</v>
      </c>
      <c r="Z180" s="276">
        <v>44176</v>
      </c>
      <c r="AA180" s="273">
        <f t="shared" si="26"/>
        <v>2020</v>
      </c>
      <c r="AB180" s="273">
        <f t="shared" si="27"/>
        <v>12</v>
      </c>
      <c r="AC180" s="278" t="s">
        <v>920</v>
      </c>
      <c r="AD180" s="278" t="s">
        <v>422</v>
      </c>
      <c r="AE180" s="278" t="s">
        <v>422</v>
      </c>
      <c r="AF180" s="278" t="s">
        <v>422</v>
      </c>
      <c r="AG180" s="278" t="s">
        <v>422</v>
      </c>
      <c r="AH180" s="278" t="s">
        <v>422</v>
      </c>
      <c r="AI180" s="278" t="s">
        <v>422</v>
      </c>
      <c r="AJ180" s="278" t="s">
        <v>423</v>
      </c>
      <c r="AK180" s="278" t="s">
        <v>423</v>
      </c>
      <c r="AL180" s="279" t="s">
        <v>140</v>
      </c>
      <c r="AM180" s="241"/>
      <c r="AN180" s="242" t="s">
        <v>1429</v>
      </c>
    </row>
    <row r="181" spans="1:40" ht="15" customHeight="1" x14ac:dyDescent="0.3">
      <c r="A181" s="185">
        <v>250</v>
      </c>
      <c r="B181" s="230" t="s">
        <v>1343</v>
      </c>
      <c r="C181" s="247" t="s">
        <v>1616</v>
      </c>
      <c r="D181" s="199" t="s">
        <v>1848</v>
      </c>
      <c r="E181" s="230"/>
      <c r="F181" s="230"/>
      <c r="G181" s="230" t="s">
        <v>1953</v>
      </c>
      <c r="H181" s="230"/>
      <c r="I181" s="359">
        <v>2</v>
      </c>
      <c r="J181" s="360">
        <v>15</v>
      </c>
      <c r="K181" s="360">
        <v>11</v>
      </c>
      <c r="L181" s="212">
        <v>1</v>
      </c>
      <c r="M181" s="212">
        <f t="shared" si="20"/>
        <v>29</v>
      </c>
      <c r="N181" s="212">
        <f t="shared" si="21"/>
        <v>16</v>
      </c>
      <c r="O181" s="212">
        <f t="shared" si="22"/>
        <v>60</v>
      </c>
      <c r="P181" s="212">
        <f t="shared" si="23"/>
        <v>73.333333333333343</v>
      </c>
      <c r="Q181" s="212">
        <f t="shared" si="24"/>
        <v>8</v>
      </c>
      <c r="R181" s="212">
        <f t="shared" si="25"/>
        <v>157.33333333333334</v>
      </c>
      <c r="S181" s="234" t="s">
        <v>1358</v>
      </c>
      <c r="T181" s="373" t="s">
        <v>1365</v>
      </c>
      <c r="U181" s="280">
        <v>6</v>
      </c>
      <c r="V181" s="280">
        <v>7</v>
      </c>
      <c r="W181" s="280">
        <v>7</v>
      </c>
      <c r="X181" s="374">
        <v>44123</v>
      </c>
      <c r="Y181" s="374">
        <v>44151</v>
      </c>
      <c r="Z181" s="276">
        <v>44176</v>
      </c>
      <c r="AA181" s="273">
        <f t="shared" si="26"/>
        <v>2020</v>
      </c>
      <c r="AB181" s="273">
        <f t="shared" si="27"/>
        <v>12</v>
      </c>
      <c r="AC181" s="278" t="s">
        <v>920</v>
      </c>
      <c r="AD181" s="278" t="s">
        <v>422</v>
      </c>
      <c r="AE181" s="278" t="s">
        <v>422</v>
      </c>
      <c r="AF181" s="278" t="s">
        <v>422</v>
      </c>
      <c r="AG181" s="278" t="s">
        <v>422</v>
      </c>
      <c r="AH181" s="278" t="s">
        <v>422</v>
      </c>
      <c r="AI181" s="278" t="s">
        <v>422</v>
      </c>
      <c r="AJ181" s="278" t="s">
        <v>423</v>
      </c>
      <c r="AK181" s="278" t="s">
        <v>423</v>
      </c>
      <c r="AL181" s="279" t="s">
        <v>140</v>
      </c>
      <c r="AM181" s="241"/>
      <c r="AN181" s="242" t="s">
        <v>1429</v>
      </c>
    </row>
    <row r="182" spans="1:40" ht="15" customHeight="1" x14ac:dyDescent="0.3">
      <c r="A182" s="185">
        <v>251</v>
      </c>
      <c r="B182" s="230" t="s">
        <v>1344</v>
      </c>
      <c r="C182" s="247" t="s">
        <v>1616</v>
      </c>
      <c r="D182" s="199" t="s">
        <v>1848</v>
      </c>
      <c r="E182" s="230"/>
      <c r="F182" s="230"/>
      <c r="G182" s="230" t="s">
        <v>1953</v>
      </c>
      <c r="H182" s="230"/>
      <c r="I182" s="359">
        <v>2</v>
      </c>
      <c r="J182" s="360">
        <v>15</v>
      </c>
      <c r="K182" s="230">
        <v>13</v>
      </c>
      <c r="L182" s="212">
        <v>1</v>
      </c>
      <c r="M182" s="212">
        <f t="shared" si="20"/>
        <v>31</v>
      </c>
      <c r="N182" s="212">
        <f t="shared" si="21"/>
        <v>16</v>
      </c>
      <c r="O182" s="212">
        <f t="shared" si="22"/>
        <v>60</v>
      </c>
      <c r="P182" s="212">
        <f t="shared" si="23"/>
        <v>86.666666666666671</v>
      </c>
      <c r="Q182" s="212">
        <f t="shared" si="24"/>
        <v>8</v>
      </c>
      <c r="R182" s="212">
        <f t="shared" si="25"/>
        <v>170.66666666666669</v>
      </c>
      <c r="S182" s="234" t="s">
        <v>1359</v>
      </c>
      <c r="T182" s="373" t="s">
        <v>1365</v>
      </c>
      <c r="U182" s="280">
        <v>6</v>
      </c>
      <c r="V182" s="280">
        <v>7</v>
      </c>
      <c r="W182" s="280">
        <v>7</v>
      </c>
      <c r="X182" s="374">
        <v>44123</v>
      </c>
      <c r="Y182" s="374">
        <v>44151</v>
      </c>
      <c r="Z182" s="276">
        <v>44176</v>
      </c>
      <c r="AA182" s="273">
        <f t="shared" si="26"/>
        <v>2020</v>
      </c>
      <c r="AB182" s="273">
        <f t="shared" si="27"/>
        <v>12</v>
      </c>
      <c r="AC182" s="278" t="s">
        <v>920</v>
      </c>
      <c r="AD182" s="278" t="s">
        <v>422</v>
      </c>
      <c r="AE182" s="278" t="s">
        <v>422</v>
      </c>
      <c r="AF182" s="278" t="s">
        <v>422</v>
      </c>
      <c r="AG182" s="278" t="s">
        <v>422</v>
      </c>
      <c r="AH182" s="278" t="s">
        <v>422</v>
      </c>
      <c r="AI182" s="278" t="s">
        <v>422</v>
      </c>
      <c r="AJ182" s="278" t="s">
        <v>423</v>
      </c>
      <c r="AK182" s="278" t="s">
        <v>423</v>
      </c>
      <c r="AL182" s="279" t="s">
        <v>140</v>
      </c>
      <c r="AM182" s="241"/>
      <c r="AN182" s="242" t="s">
        <v>1429</v>
      </c>
    </row>
    <row r="183" spans="1:40" ht="15" customHeight="1" x14ac:dyDescent="0.3">
      <c r="A183" s="185">
        <v>252</v>
      </c>
      <c r="B183" s="230" t="s">
        <v>1345</v>
      </c>
      <c r="C183" s="247" t="s">
        <v>1616</v>
      </c>
      <c r="D183" s="199" t="s">
        <v>1848</v>
      </c>
      <c r="E183" s="230"/>
      <c r="F183" s="230"/>
      <c r="G183" s="230" t="s">
        <v>1953</v>
      </c>
      <c r="H183" s="230"/>
      <c r="I183" s="359">
        <v>2</v>
      </c>
      <c r="J183" s="360">
        <v>12</v>
      </c>
      <c r="K183" s="360">
        <v>11</v>
      </c>
      <c r="L183" s="212">
        <v>1</v>
      </c>
      <c r="M183" s="212">
        <f t="shared" si="20"/>
        <v>26</v>
      </c>
      <c r="N183" s="212">
        <f t="shared" si="21"/>
        <v>16</v>
      </c>
      <c r="O183" s="212">
        <f t="shared" si="22"/>
        <v>48</v>
      </c>
      <c r="P183" s="212">
        <f t="shared" si="23"/>
        <v>73.333333333333343</v>
      </c>
      <c r="Q183" s="212">
        <f t="shared" si="24"/>
        <v>8</v>
      </c>
      <c r="R183" s="212">
        <f t="shared" si="25"/>
        <v>145.33333333333334</v>
      </c>
      <c r="S183" s="234" t="s">
        <v>1360</v>
      </c>
      <c r="T183" s="373" t="s">
        <v>1366</v>
      </c>
      <c r="U183" s="280">
        <v>6</v>
      </c>
      <c r="V183" s="280">
        <v>7</v>
      </c>
      <c r="W183" s="280">
        <v>7</v>
      </c>
      <c r="X183" s="374">
        <v>44123</v>
      </c>
      <c r="Y183" s="374">
        <v>44151</v>
      </c>
      <c r="Z183" s="276">
        <v>44176</v>
      </c>
      <c r="AA183" s="273">
        <f t="shared" si="26"/>
        <v>2020</v>
      </c>
      <c r="AB183" s="273">
        <f t="shared" si="27"/>
        <v>12</v>
      </c>
      <c r="AC183" s="278" t="s">
        <v>920</v>
      </c>
      <c r="AD183" s="278" t="s">
        <v>422</v>
      </c>
      <c r="AE183" s="278" t="s">
        <v>422</v>
      </c>
      <c r="AF183" s="278" t="s">
        <v>422</v>
      </c>
      <c r="AG183" s="278" t="s">
        <v>422</v>
      </c>
      <c r="AH183" s="278" t="s">
        <v>422</v>
      </c>
      <c r="AI183" s="278" t="s">
        <v>422</v>
      </c>
      <c r="AJ183" s="278" t="s">
        <v>423</v>
      </c>
      <c r="AK183" s="278" t="s">
        <v>423</v>
      </c>
      <c r="AL183" s="279" t="s">
        <v>140</v>
      </c>
      <c r="AM183" s="241"/>
      <c r="AN183" s="242" t="s">
        <v>1429</v>
      </c>
    </row>
    <row r="184" spans="1:40" ht="15" customHeight="1" x14ac:dyDescent="0.3">
      <c r="A184" s="185">
        <v>253</v>
      </c>
      <c r="B184" s="230" t="s">
        <v>1346</v>
      </c>
      <c r="C184" s="247" t="s">
        <v>1616</v>
      </c>
      <c r="D184" s="199" t="s">
        <v>1848</v>
      </c>
      <c r="E184" s="230"/>
      <c r="F184" s="230"/>
      <c r="G184" s="230" t="s">
        <v>1953</v>
      </c>
      <c r="H184" s="230"/>
      <c r="I184" s="359">
        <v>2</v>
      </c>
      <c r="J184" s="360">
        <v>15</v>
      </c>
      <c r="K184" s="360">
        <v>11</v>
      </c>
      <c r="L184" s="212">
        <v>1</v>
      </c>
      <c r="M184" s="212">
        <f t="shared" si="20"/>
        <v>29</v>
      </c>
      <c r="N184" s="212">
        <f t="shared" si="21"/>
        <v>16</v>
      </c>
      <c r="O184" s="212">
        <f t="shared" si="22"/>
        <v>60</v>
      </c>
      <c r="P184" s="212">
        <f t="shared" si="23"/>
        <v>73.333333333333343</v>
      </c>
      <c r="Q184" s="212">
        <f t="shared" si="24"/>
        <v>8</v>
      </c>
      <c r="R184" s="212">
        <f t="shared" si="25"/>
        <v>157.33333333333334</v>
      </c>
      <c r="S184" s="234" t="s">
        <v>1361</v>
      </c>
      <c r="T184" s="373" t="s">
        <v>1371</v>
      </c>
      <c r="U184" s="280">
        <v>6</v>
      </c>
      <c r="V184" s="280">
        <v>7</v>
      </c>
      <c r="W184" s="280">
        <v>7</v>
      </c>
      <c r="X184" s="374">
        <v>44123</v>
      </c>
      <c r="Y184" s="374">
        <v>44151</v>
      </c>
      <c r="Z184" s="276">
        <v>44176</v>
      </c>
      <c r="AA184" s="273">
        <f t="shared" si="26"/>
        <v>2020</v>
      </c>
      <c r="AB184" s="273">
        <f t="shared" si="27"/>
        <v>12</v>
      </c>
      <c r="AC184" s="278" t="s">
        <v>920</v>
      </c>
      <c r="AD184" s="278" t="s">
        <v>422</v>
      </c>
      <c r="AE184" s="278" t="s">
        <v>422</v>
      </c>
      <c r="AF184" s="278" t="s">
        <v>422</v>
      </c>
      <c r="AG184" s="278" t="s">
        <v>422</v>
      </c>
      <c r="AH184" s="278" t="s">
        <v>422</v>
      </c>
      <c r="AI184" s="278" t="s">
        <v>422</v>
      </c>
      <c r="AJ184" s="278" t="s">
        <v>423</v>
      </c>
      <c r="AK184" s="278" t="s">
        <v>423</v>
      </c>
      <c r="AL184" s="279" t="s">
        <v>140</v>
      </c>
      <c r="AM184" s="241"/>
      <c r="AN184" s="242" t="s">
        <v>1429</v>
      </c>
    </row>
    <row r="185" spans="1:40" ht="15" customHeight="1" x14ac:dyDescent="0.3">
      <c r="A185" s="185">
        <v>254</v>
      </c>
      <c r="B185" s="230" t="s">
        <v>1347</v>
      </c>
      <c r="C185" s="247" t="s">
        <v>1616</v>
      </c>
      <c r="D185" s="199" t="s">
        <v>1848</v>
      </c>
      <c r="E185" s="230"/>
      <c r="F185" s="230"/>
      <c r="G185" s="230" t="s">
        <v>1953</v>
      </c>
      <c r="H185" s="230"/>
      <c r="I185" s="359">
        <v>2</v>
      </c>
      <c r="J185" s="360">
        <v>15</v>
      </c>
      <c r="K185" s="360">
        <v>11</v>
      </c>
      <c r="L185" s="212">
        <v>1</v>
      </c>
      <c r="M185" s="212">
        <f t="shared" si="20"/>
        <v>29</v>
      </c>
      <c r="N185" s="212">
        <f t="shared" si="21"/>
        <v>16</v>
      </c>
      <c r="O185" s="212">
        <f t="shared" si="22"/>
        <v>60</v>
      </c>
      <c r="P185" s="212">
        <f t="shared" si="23"/>
        <v>73.333333333333343</v>
      </c>
      <c r="Q185" s="212">
        <f t="shared" si="24"/>
        <v>8</v>
      </c>
      <c r="R185" s="212">
        <f t="shared" si="25"/>
        <v>157.33333333333334</v>
      </c>
      <c r="S185" s="234" t="s">
        <v>1362</v>
      </c>
      <c r="T185" s="373" t="s">
        <v>1368</v>
      </c>
      <c r="U185" s="280">
        <v>6</v>
      </c>
      <c r="V185" s="280">
        <v>7</v>
      </c>
      <c r="W185" s="280">
        <v>7</v>
      </c>
      <c r="X185" s="374">
        <v>44123</v>
      </c>
      <c r="Y185" s="374">
        <v>44151</v>
      </c>
      <c r="Z185" s="276">
        <v>44176</v>
      </c>
      <c r="AA185" s="273">
        <f t="shared" si="26"/>
        <v>2020</v>
      </c>
      <c r="AB185" s="273">
        <f t="shared" si="27"/>
        <v>12</v>
      </c>
      <c r="AC185" s="278" t="s">
        <v>920</v>
      </c>
      <c r="AD185" s="278" t="s">
        <v>422</v>
      </c>
      <c r="AE185" s="278" t="s">
        <v>422</v>
      </c>
      <c r="AF185" s="278" t="s">
        <v>422</v>
      </c>
      <c r="AG185" s="278" t="s">
        <v>422</v>
      </c>
      <c r="AH185" s="278" t="s">
        <v>422</v>
      </c>
      <c r="AI185" s="278" t="s">
        <v>422</v>
      </c>
      <c r="AJ185" s="278" t="s">
        <v>423</v>
      </c>
      <c r="AK185" s="278" t="s">
        <v>423</v>
      </c>
      <c r="AL185" s="279" t="s">
        <v>140</v>
      </c>
      <c r="AM185" s="241"/>
      <c r="AN185" s="242" t="s">
        <v>1429</v>
      </c>
    </row>
    <row r="186" spans="1:40" ht="15" customHeight="1" x14ac:dyDescent="0.3">
      <c r="A186" s="185">
        <v>255</v>
      </c>
      <c r="B186" s="230" t="s">
        <v>1348</v>
      </c>
      <c r="C186" s="247" t="s">
        <v>1616</v>
      </c>
      <c r="D186" s="199" t="s">
        <v>1848</v>
      </c>
      <c r="E186" s="230"/>
      <c r="F186" s="230"/>
      <c r="G186" s="230" t="s">
        <v>1953</v>
      </c>
      <c r="H186" s="230"/>
      <c r="I186" s="359">
        <v>2</v>
      </c>
      <c r="J186" s="360">
        <v>15</v>
      </c>
      <c r="K186" s="360">
        <v>11</v>
      </c>
      <c r="L186" s="212">
        <v>1</v>
      </c>
      <c r="M186" s="212">
        <f t="shared" si="20"/>
        <v>29</v>
      </c>
      <c r="N186" s="212">
        <f t="shared" si="21"/>
        <v>16</v>
      </c>
      <c r="O186" s="212">
        <f t="shared" si="22"/>
        <v>60</v>
      </c>
      <c r="P186" s="212">
        <f t="shared" si="23"/>
        <v>73.333333333333343</v>
      </c>
      <c r="Q186" s="212">
        <f t="shared" si="24"/>
        <v>8</v>
      </c>
      <c r="R186" s="212">
        <f t="shared" si="25"/>
        <v>157.33333333333334</v>
      </c>
      <c r="S186" s="234" t="s">
        <v>1363</v>
      </c>
      <c r="T186" s="373" t="s">
        <v>1367</v>
      </c>
      <c r="U186" s="280">
        <v>6</v>
      </c>
      <c r="V186" s="280">
        <v>7</v>
      </c>
      <c r="W186" s="280">
        <v>7</v>
      </c>
      <c r="X186" s="374">
        <v>44123</v>
      </c>
      <c r="Y186" s="374">
        <v>44151</v>
      </c>
      <c r="Z186" s="276">
        <v>44176</v>
      </c>
      <c r="AA186" s="273">
        <f t="shared" si="26"/>
        <v>2020</v>
      </c>
      <c r="AB186" s="273">
        <f t="shared" si="27"/>
        <v>12</v>
      </c>
      <c r="AC186" s="278" t="s">
        <v>920</v>
      </c>
      <c r="AD186" s="278" t="s">
        <v>422</v>
      </c>
      <c r="AE186" s="278" t="s">
        <v>422</v>
      </c>
      <c r="AF186" s="278" t="s">
        <v>422</v>
      </c>
      <c r="AG186" s="278" t="s">
        <v>422</v>
      </c>
      <c r="AH186" s="278" t="s">
        <v>422</v>
      </c>
      <c r="AI186" s="278" t="s">
        <v>422</v>
      </c>
      <c r="AJ186" s="278" t="s">
        <v>423</v>
      </c>
      <c r="AK186" s="278" t="s">
        <v>423</v>
      </c>
      <c r="AL186" s="279" t="s">
        <v>140</v>
      </c>
      <c r="AM186" s="241"/>
      <c r="AN186" s="242" t="s">
        <v>1429</v>
      </c>
    </row>
    <row r="187" spans="1:40" ht="15" customHeight="1" x14ac:dyDescent="0.3">
      <c r="A187" s="185">
        <v>256</v>
      </c>
      <c r="B187" s="230" t="s">
        <v>1349</v>
      </c>
      <c r="C187" s="247" t="s">
        <v>1616</v>
      </c>
      <c r="D187" s="199" t="s">
        <v>1848</v>
      </c>
      <c r="E187" s="230"/>
      <c r="F187" s="230"/>
      <c r="G187" s="230" t="s">
        <v>1953</v>
      </c>
      <c r="H187" s="230"/>
      <c r="I187" s="359">
        <v>2</v>
      </c>
      <c r="J187" s="360">
        <v>5</v>
      </c>
      <c r="K187" s="360">
        <v>5.5</v>
      </c>
      <c r="L187" s="212">
        <v>0.5</v>
      </c>
      <c r="M187" s="212">
        <f t="shared" si="20"/>
        <v>13</v>
      </c>
      <c r="N187" s="212">
        <f t="shared" si="21"/>
        <v>16</v>
      </c>
      <c r="O187" s="212">
        <f t="shared" si="22"/>
        <v>20</v>
      </c>
      <c r="P187" s="212">
        <f t="shared" si="23"/>
        <v>36.666666666666671</v>
      </c>
      <c r="Q187" s="212">
        <f t="shared" si="24"/>
        <v>4</v>
      </c>
      <c r="R187" s="212">
        <f t="shared" si="25"/>
        <v>76.666666666666671</v>
      </c>
      <c r="S187" s="234" t="s">
        <v>1364</v>
      </c>
      <c r="T187" s="373" t="s">
        <v>1369</v>
      </c>
      <c r="U187" s="280">
        <v>12</v>
      </c>
      <c r="V187" s="280">
        <v>14</v>
      </c>
      <c r="W187" s="280">
        <v>14</v>
      </c>
      <c r="X187" s="374">
        <v>44123</v>
      </c>
      <c r="Y187" s="374">
        <v>44151</v>
      </c>
      <c r="Z187" s="276">
        <v>44176</v>
      </c>
      <c r="AA187" s="273">
        <f t="shared" si="26"/>
        <v>2020</v>
      </c>
      <c r="AB187" s="273">
        <f t="shared" si="27"/>
        <v>12</v>
      </c>
      <c r="AC187" s="278" t="s">
        <v>920</v>
      </c>
      <c r="AD187" s="278" t="s">
        <v>422</v>
      </c>
      <c r="AE187" s="278" t="s">
        <v>422</v>
      </c>
      <c r="AF187" s="278" t="s">
        <v>422</v>
      </c>
      <c r="AG187" s="278" t="s">
        <v>422</v>
      </c>
      <c r="AH187" s="278" t="s">
        <v>423</v>
      </c>
      <c r="AI187" s="278" t="s">
        <v>422</v>
      </c>
      <c r="AJ187" s="278" t="s">
        <v>423</v>
      </c>
      <c r="AK187" s="278" t="s">
        <v>423</v>
      </c>
      <c r="AL187" s="279" t="s">
        <v>140</v>
      </c>
      <c r="AM187" s="241"/>
      <c r="AN187" s="242" t="s">
        <v>1429</v>
      </c>
    </row>
    <row r="188" spans="1:40" ht="15" customHeight="1" x14ac:dyDescent="0.3">
      <c r="A188" s="185">
        <v>269</v>
      </c>
      <c r="B188" s="230" t="s">
        <v>1404</v>
      </c>
      <c r="C188" s="247" t="s">
        <v>1621</v>
      </c>
      <c r="D188" s="200" t="s">
        <v>1881</v>
      </c>
      <c r="E188" s="230"/>
      <c r="F188" s="230"/>
      <c r="G188" s="368" t="s">
        <v>1604</v>
      </c>
      <c r="H188" s="248" t="s">
        <v>1956</v>
      </c>
      <c r="I188" s="359">
        <v>2</v>
      </c>
      <c r="J188" s="230">
        <v>5</v>
      </c>
      <c r="K188" s="230">
        <v>0</v>
      </c>
      <c r="L188" s="212">
        <v>1</v>
      </c>
      <c r="M188" s="212">
        <f t="shared" si="20"/>
        <v>8</v>
      </c>
      <c r="N188" s="212">
        <f t="shared" si="21"/>
        <v>16</v>
      </c>
      <c r="O188" s="212">
        <f t="shared" si="22"/>
        <v>20</v>
      </c>
      <c r="P188" s="212">
        <f t="shared" si="23"/>
        <v>0</v>
      </c>
      <c r="Q188" s="212">
        <f t="shared" si="24"/>
        <v>8</v>
      </c>
      <c r="R188" s="212">
        <f t="shared" si="25"/>
        <v>44</v>
      </c>
      <c r="S188" s="373" t="s">
        <v>1412</v>
      </c>
      <c r="T188" s="373" t="s">
        <v>1426</v>
      </c>
      <c r="U188" s="280">
        <v>30</v>
      </c>
      <c r="V188" s="280">
        <v>30</v>
      </c>
      <c r="W188" s="280">
        <v>30</v>
      </c>
      <c r="X188" s="374">
        <v>44156</v>
      </c>
      <c r="Y188" s="374">
        <v>44170</v>
      </c>
      <c r="Z188" s="276">
        <v>44179</v>
      </c>
      <c r="AA188" s="273">
        <f t="shared" si="26"/>
        <v>2020</v>
      </c>
      <c r="AB188" s="273">
        <f t="shared" si="27"/>
        <v>12</v>
      </c>
      <c r="AC188" s="278" t="s">
        <v>920</v>
      </c>
      <c r="AD188" s="278" t="s">
        <v>422</v>
      </c>
      <c r="AE188" s="278" t="s">
        <v>423</v>
      </c>
      <c r="AF188" s="278" t="s">
        <v>422</v>
      </c>
      <c r="AG188" s="278" t="s">
        <v>422</v>
      </c>
      <c r="AH188" s="278" t="s">
        <v>423</v>
      </c>
      <c r="AI188" s="278" t="s">
        <v>423</v>
      </c>
      <c r="AJ188" s="278" t="s">
        <v>423</v>
      </c>
      <c r="AK188" s="278" t="s">
        <v>423</v>
      </c>
      <c r="AL188" s="279" t="s">
        <v>1240</v>
      </c>
      <c r="AM188" s="241"/>
      <c r="AN188" s="241"/>
    </row>
    <row r="189" spans="1:40" ht="15" customHeight="1" x14ac:dyDescent="0.3">
      <c r="A189" s="185">
        <v>270</v>
      </c>
      <c r="B189" s="230" t="s">
        <v>1405</v>
      </c>
      <c r="C189" s="247" t="s">
        <v>1621</v>
      </c>
      <c r="D189" s="200" t="s">
        <v>1881</v>
      </c>
      <c r="E189" s="230"/>
      <c r="F189" s="230"/>
      <c r="G189" s="368" t="s">
        <v>1604</v>
      </c>
      <c r="H189" s="248" t="s">
        <v>1956</v>
      </c>
      <c r="I189" s="359">
        <v>2</v>
      </c>
      <c r="J189" s="230">
        <f>6+1.2</f>
        <v>7.2</v>
      </c>
      <c r="K189" s="230">
        <v>0</v>
      </c>
      <c r="L189" s="212">
        <v>1</v>
      </c>
      <c r="M189" s="212">
        <f t="shared" si="20"/>
        <v>10.199999999999999</v>
      </c>
      <c r="N189" s="212">
        <f t="shared" si="21"/>
        <v>16</v>
      </c>
      <c r="O189" s="212">
        <f t="shared" si="22"/>
        <v>28.8</v>
      </c>
      <c r="P189" s="212">
        <f t="shared" si="23"/>
        <v>0</v>
      </c>
      <c r="Q189" s="212">
        <f t="shared" si="24"/>
        <v>8</v>
      </c>
      <c r="R189" s="212">
        <f t="shared" si="25"/>
        <v>52.8</v>
      </c>
      <c r="S189" s="373" t="s">
        <v>1413</v>
      </c>
      <c r="T189" s="373" t="s">
        <v>1414</v>
      </c>
      <c r="U189" s="280">
        <v>60</v>
      </c>
      <c r="V189" s="280">
        <v>60</v>
      </c>
      <c r="W189" s="280">
        <v>60</v>
      </c>
      <c r="X189" s="374">
        <v>44156</v>
      </c>
      <c r="Y189" s="374">
        <v>44170</v>
      </c>
      <c r="Z189" s="276">
        <v>44179</v>
      </c>
      <c r="AA189" s="273">
        <f t="shared" si="26"/>
        <v>2020</v>
      </c>
      <c r="AB189" s="273">
        <f t="shared" si="27"/>
        <v>12</v>
      </c>
      <c r="AC189" s="278" t="s">
        <v>920</v>
      </c>
      <c r="AD189" s="278" t="s">
        <v>422</v>
      </c>
      <c r="AE189" s="278" t="s">
        <v>423</v>
      </c>
      <c r="AF189" s="278" t="s">
        <v>422</v>
      </c>
      <c r="AG189" s="278" t="s">
        <v>422</v>
      </c>
      <c r="AH189" s="278" t="s">
        <v>423</v>
      </c>
      <c r="AI189" s="278" t="s">
        <v>423</v>
      </c>
      <c r="AJ189" s="278" t="s">
        <v>423</v>
      </c>
      <c r="AK189" s="278" t="s">
        <v>423</v>
      </c>
      <c r="AL189" s="279" t="s">
        <v>1240</v>
      </c>
      <c r="AM189" s="241"/>
      <c r="AN189" s="241"/>
    </row>
    <row r="190" spans="1:40" ht="15" customHeight="1" x14ac:dyDescent="0.3">
      <c r="A190" s="185">
        <v>271</v>
      </c>
      <c r="B190" s="230" t="s">
        <v>1406</v>
      </c>
      <c r="C190" s="247" t="s">
        <v>1621</v>
      </c>
      <c r="D190" s="200" t="s">
        <v>1881</v>
      </c>
      <c r="E190" s="230"/>
      <c r="F190" s="230"/>
      <c r="G190" s="368" t="s">
        <v>1604</v>
      </c>
      <c r="H190" s="230" t="s">
        <v>1955</v>
      </c>
      <c r="I190" s="359">
        <v>2</v>
      </c>
      <c r="J190" s="230">
        <v>8</v>
      </c>
      <c r="K190" s="230">
        <v>0</v>
      </c>
      <c r="L190" s="212">
        <v>1.5</v>
      </c>
      <c r="M190" s="212">
        <f t="shared" si="20"/>
        <v>11.5</v>
      </c>
      <c r="N190" s="212">
        <f t="shared" si="21"/>
        <v>16</v>
      </c>
      <c r="O190" s="212">
        <f t="shared" si="22"/>
        <v>32</v>
      </c>
      <c r="P190" s="212">
        <f t="shared" si="23"/>
        <v>0</v>
      </c>
      <c r="Q190" s="212">
        <f t="shared" si="24"/>
        <v>12</v>
      </c>
      <c r="R190" s="212">
        <f t="shared" si="25"/>
        <v>60</v>
      </c>
      <c r="S190" s="373" t="s">
        <v>1415</v>
      </c>
      <c r="T190" s="373" t="s">
        <v>1416</v>
      </c>
      <c r="U190" s="280">
        <v>42</v>
      </c>
      <c r="V190" s="280">
        <v>42</v>
      </c>
      <c r="W190" s="280">
        <v>42</v>
      </c>
      <c r="X190" s="374">
        <v>44156</v>
      </c>
      <c r="Y190" s="374">
        <v>44170</v>
      </c>
      <c r="Z190" s="276">
        <v>44179</v>
      </c>
      <c r="AA190" s="273">
        <f t="shared" si="26"/>
        <v>2020</v>
      </c>
      <c r="AB190" s="273">
        <f t="shared" si="27"/>
        <v>12</v>
      </c>
      <c r="AC190" s="278" t="s">
        <v>920</v>
      </c>
      <c r="AD190" s="278" t="s">
        <v>422</v>
      </c>
      <c r="AE190" s="278" t="s">
        <v>423</v>
      </c>
      <c r="AF190" s="278" t="s">
        <v>422</v>
      </c>
      <c r="AG190" s="278" t="s">
        <v>422</v>
      </c>
      <c r="AH190" s="278" t="s">
        <v>423</v>
      </c>
      <c r="AI190" s="278" t="s">
        <v>423</v>
      </c>
      <c r="AJ190" s="278" t="s">
        <v>423</v>
      </c>
      <c r="AK190" s="278" t="s">
        <v>423</v>
      </c>
      <c r="AL190" s="279" t="s">
        <v>1240</v>
      </c>
      <c r="AM190" s="241"/>
      <c r="AN190" s="241"/>
    </row>
    <row r="191" spans="1:40" ht="15" customHeight="1" x14ac:dyDescent="0.3">
      <c r="A191" s="185">
        <v>137</v>
      </c>
      <c r="B191" s="247" t="s">
        <v>1061</v>
      </c>
      <c r="C191" s="247" t="s">
        <v>1615</v>
      </c>
      <c r="D191" s="200" t="s">
        <v>1881</v>
      </c>
      <c r="E191" s="247"/>
      <c r="F191" s="247"/>
      <c r="G191" s="368" t="s">
        <v>1604</v>
      </c>
      <c r="H191" s="248" t="s">
        <v>1943</v>
      </c>
      <c r="I191" s="359">
        <v>2</v>
      </c>
      <c r="J191" s="248">
        <v>10</v>
      </c>
      <c r="K191" s="248">
        <v>0</v>
      </c>
      <c r="L191" s="212">
        <v>1</v>
      </c>
      <c r="M191" s="212">
        <f t="shared" si="20"/>
        <v>13</v>
      </c>
      <c r="N191" s="212">
        <f t="shared" si="21"/>
        <v>16</v>
      </c>
      <c r="O191" s="212">
        <f t="shared" si="22"/>
        <v>40</v>
      </c>
      <c r="P191" s="212">
        <f t="shared" si="23"/>
        <v>0</v>
      </c>
      <c r="Q191" s="212">
        <f t="shared" si="24"/>
        <v>8</v>
      </c>
      <c r="R191" s="212">
        <f t="shared" si="25"/>
        <v>64</v>
      </c>
      <c r="S191" s="369" t="s">
        <v>1074</v>
      </c>
      <c r="T191" s="275" t="s">
        <v>1087</v>
      </c>
      <c r="U191" s="280">
        <v>104</v>
      </c>
      <c r="V191" s="280">
        <v>106</v>
      </c>
      <c r="W191" s="280">
        <v>106</v>
      </c>
      <c r="X191" s="276">
        <v>44039</v>
      </c>
      <c r="Y191" s="277">
        <v>44075</v>
      </c>
      <c r="Z191" s="277">
        <v>44211</v>
      </c>
      <c r="AA191" s="273">
        <f t="shared" si="26"/>
        <v>2021</v>
      </c>
      <c r="AB191" s="273">
        <f t="shared" si="27"/>
        <v>1</v>
      </c>
      <c r="AC191" s="278" t="s">
        <v>920</v>
      </c>
      <c r="AD191" s="278" t="s">
        <v>422</v>
      </c>
      <c r="AE191" s="278" t="s">
        <v>422</v>
      </c>
      <c r="AF191" s="278" t="s">
        <v>422</v>
      </c>
      <c r="AG191" s="278" t="s">
        <v>422</v>
      </c>
      <c r="AH191" s="278" t="s">
        <v>422</v>
      </c>
      <c r="AI191" s="278" t="s">
        <v>422</v>
      </c>
      <c r="AJ191" s="278" t="s">
        <v>422</v>
      </c>
      <c r="AK191" s="278" t="s">
        <v>423</v>
      </c>
      <c r="AL191" s="279" t="s">
        <v>1372</v>
      </c>
      <c r="AM191" s="241"/>
      <c r="AN191" s="241"/>
    </row>
    <row r="192" spans="1:40" ht="15" customHeight="1" x14ac:dyDescent="0.3">
      <c r="A192" s="185">
        <v>139</v>
      </c>
      <c r="B192" s="247" t="s">
        <v>1063</v>
      </c>
      <c r="C192" s="247" t="s">
        <v>1615</v>
      </c>
      <c r="D192" s="200" t="s">
        <v>1881</v>
      </c>
      <c r="E192" s="247"/>
      <c r="F192" s="247"/>
      <c r="G192" s="248" t="s">
        <v>1939</v>
      </c>
      <c r="H192" s="248" t="s">
        <v>1010</v>
      </c>
      <c r="I192" s="359">
        <v>2</v>
      </c>
      <c r="J192" s="398">
        <v>11</v>
      </c>
      <c r="K192" s="248">
        <v>32</v>
      </c>
      <c r="L192" s="212">
        <v>1</v>
      </c>
      <c r="M192" s="212">
        <f t="shared" si="20"/>
        <v>46</v>
      </c>
      <c r="N192" s="212">
        <f t="shared" si="21"/>
        <v>16</v>
      </c>
      <c r="O192" s="212">
        <f t="shared" si="22"/>
        <v>44</v>
      </c>
      <c r="P192" s="212">
        <f t="shared" si="23"/>
        <v>213.33333333333334</v>
      </c>
      <c r="Q192" s="212">
        <f t="shared" si="24"/>
        <v>8</v>
      </c>
      <c r="R192" s="212">
        <f t="shared" si="25"/>
        <v>281.33333333333337</v>
      </c>
      <c r="S192" s="369" t="s">
        <v>1076</v>
      </c>
      <c r="T192" s="275" t="s">
        <v>1088</v>
      </c>
      <c r="U192" s="280">
        <v>88</v>
      </c>
      <c r="V192" s="280">
        <v>90</v>
      </c>
      <c r="W192" s="280">
        <v>90</v>
      </c>
      <c r="X192" s="276">
        <v>44039</v>
      </c>
      <c r="Y192" s="277">
        <v>44075</v>
      </c>
      <c r="Z192" s="277">
        <v>44211</v>
      </c>
      <c r="AA192" s="273">
        <f t="shared" si="26"/>
        <v>2021</v>
      </c>
      <c r="AB192" s="273">
        <f t="shared" si="27"/>
        <v>1</v>
      </c>
      <c r="AC192" s="278" t="s">
        <v>920</v>
      </c>
      <c r="AD192" s="278" t="s">
        <v>422</v>
      </c>
      <c r="AE192" s="278" t="s">
        <v>422</v>
      </c>
      <c r="AF192" s="278" t="s">
        <v>422</v>
      </c>
      <c r="AG192" s="278" t="s">
        <v>422</v>
      </c>
      <c r="AH192" s="278" t="s">
        <v>422</v>
      </c>
      <c r="AI192" s="278" t="s">
        <v>422</v>
      </c>
      <c r="AJ192" s="278" t="s">
        <v>422</v>
      </c>
      <c r="AK192" s="278" t="s">
        <v>423</v>
      </c>
      <c r="AL192" s="279" t="s">
        <v>140</v>
      </c>
      <c r="AM192" s="241"/>
      <c r="AN192" s="242" t="s">
        <v>1432</v>
      </c>
    </row>
    <row r="193" spans="1:40" ht="15" customHeight="1" x14ac:dyDescent="0.3">
      <c r="A193" s="185">
        <v>148</v>
      </c>
      <c r="B193" s="247" t="s">
        <v>1100</v>
      </c>
      <c r="C193" s="247" t="s">
        <v>1616</v>
      </c>
      <c r="D193" s="200" t="s">
        <v>1848</v>
      </c>
      <c r="E193" s="370" t="s">
        <v>1596</v>
      </c>
      <c r="F193" s="247"/>
      <c r="G193" s="248" t="s">
        <v>355</v>
      </c>
      <c r="H193" s="248" t="s">
        <v>1010</v>
      </c>
      <c r="I193" s="359">
        <v>1</v>
      </c>
      <c r="J193" s="248">
        <v>2.5</v>
      </c>
      <c r="K193" s="248">
        <v>5.5</v>
      </c>
      <c r="L193" s="212">
        <v>0.5</v>
      </c>
      <c r="M193" s="212">
        <f t="shared" si="20"/>
        <v>9.5</v>
      </c>
      <c r="N193" s="212">
        <f t="shared" si="21"/>
        <v>8</v>
      </c>
      <c r="O193" s="212">
        <f t="shared" si="22"/>
        <v>10</v>
      </c>
      <c r="P193" s="212">
        <f t="shared" si="23"/>
        <v>36.666666666666671</v>
      </c>
      <c r="Q193" s="212">
        <f t="shared" si="24"/>
        <v>4</v>
      </c>
      <c r="R193" s="212">
        <f t="shared" si="25"/>
        <v>58.666666666666671</v>
      </c>
      <c r="S193" s="369" t="s">
        <v>714</v>
      </c>
      <c r="T193" s="372" t="s">
        <v>1112</v>
      </c>
      <c r="U193" s="280">
        <f>32+76</f>
        <v>108</v>
      </c>
      <c r="V193" s="280">
        <f t="shared" ref="V193:W197" si="30">+U193</f>
        <v>108</v>
      </c>
      <c r="W193" s="280">
        <f t="shared" si="30"/>
        <v>108</v>
      </c>
      <c r="X193" s="276">
        <v>44063</v>
      </c>
      <c r="Y193" s="276">
        <v>44180</v>
      </c>
      <c r="Z193" s="276">
        <v>44211</v>
      </c>
      <c r="AA193" s="273">
        <f t="shared" si="26"/>
        <v>2021</v>
      </c>
      <c r="AB193" s="273">
        <f t="shared" si="27"/>
        <v>1</v>
      </c>
      <c r="AC193" s="278" t="s">
        <v>920</v>
      </c>
      <c r="AD193" s="278" t="s">
        <v>422</v>
      </c>
      <c r="AE193" s="278" t="s">
        <v>423</v>
      </c>
      <c r="AF193" s="278" t="s">
        <v>422</v>
      </c>
      <c r="AG193" s="278" t="s">
        <v>422</v>
      </c>
      <c r="AH193" s="278" t="s">
        <v>423</v>
      </c>
      <c r="AI193" s="278" t="s">
        <v>422</v>
      </c>
      <c r="AJ193" s="278" t="s">
        <v>423</v>
      </c>
      <c r="AK193" s="278" t="s">
        <v>423</v>
      </c>
      <c r="AL193" s="279" t="s">
        <v>140</v>
      </c>
      <c r="AM193" s="241"/>
      <c r="AN193" s="242" t="s">
        <v>1602</v>
      </c>
    </row>
    <row r="194" spans="1:40" ht="15" customHeight="1" x14ac:dyDescent="0.3">
      <c r="A194" s="185">
        <v>149</v>
      </c>
      <c r="B194" s="247" t="s">
        <v>1101</v>
      </c>
      <c r="C194" s="247" t="s">
        <v>1616</v>
      </c>
      <c r="D194" s="200" t="s">
        <v>1848</v>
      </c>
      <c r="E194" s="370" t="s">
        <v>1596</v>
      </c>
      <c r="F194" s="247"/>
      <c r="G194" s="248" t="s">
        <v>355</v>
      </c>
      <c r="H194" s="248" t="s">
        <v>1010</v>
      </c>
      <c r="I194" s="359">
        <v>1</v>
      </c>
      <c r="J194" s="248">
        <v>2.5</v>
      </c>
      <c r="K194" s="248">
        <v>5.5</v>
      </c>
      <c r="L194" s="212">
        <v>0.5</v>
      </c>
      <c r="M194" s="212">
        <f t="shared" si="20"/>
        <v>9.5</v>
      </c>
      <c r="N194" s="212">
        <f t="shared" si="21"/>
        <v>8</v>
      </c>
      <c r="O194" s="212">
        <f t="shared" si="22"/>
        <v>10</v>
      </c>
      <c r="P194" s="212">
        <f t="shared" si="23"/>
        <v>36.666666666666671</v>
      </c>
      <c r="Q194" s="212">
        <f t="shared" si="24"/>
        <v>4</v>
      </c>
      <c r="R194" s="212">
        <f t="shared" si="25"/>
        <v>58.666666666666671</v>
      </c>
      <c r="S194" s="369" t="s">
        <v>716</v>
      </c>
      <c r="T194" s="372" t="s">
        <v>1113</v>
      </c>
      <c r="U194" s="280">
        <f>50+120</f>
        <v>170</v>
      </c>
      <c r="V194" s="280">
        <f t="shared" si="30"/>
        <v>170</v>
      </c>
      <c r="W194" s="280">
        <f t="shared" si="30"/>
        <v>170</v>
      </c>
      <c r="X194" s="276">
        <v>44063</v>
      </c>
      <c r="Y194" s="276">
        <v>44180</v>
      </c>
      <c r="Z194" s="276">
        <v>44211</v>
      </c>
      <c r="AA194" s="273">
        <f t="shared" si="26"/>
        <v>2021</v>
      </c>
      <c r="AB194" s="273">
        <f t="shared" si="27"/>
        <v>1</v>
      </c>
      <c r="AC194" s="278" t="s">
        <v>920</v>
      </c>
      <c r="AD194" s="278" t="s">
        <v>422</v>
      </c>
      <c r="AE194" s="278" t="s">
        <v>423</v>
      </c>
      <c r="AF194" s="278" t="s">
        <v>422</v>
      </c>
      <c r="AG194" s="278" t="s">
        <v>422</v>
      </c>
      <c r="AH194" s="278" t="s">
        <v>423</v>
      </c>
      <c r="AI194" s="278" t="s">
        <v>422</v>
      </c>
      <c r="AJ194" s="278" t="s">
        <v>423</v>
      </c>
      <c r="AK194" s="278" t="s">
        <v>423</v>
      </c>
      <c r="AL194" s="279" t="s">
        <v>140</v>
      </c>
      <c r="AM194" s="241"/>
      <c r="AN194" s="242" t="s">
        <v>1602</v>
      </c>
    </row>
    <row r="195" spans="1:40" ht="15" customHeight="1" x14ac:dyDescent="0.3">
      <c r="A195" s="185">
        <v>150</v>
      </c>
      <c r="B195" s="247" t="s">
        <v>1102</v>
      </c>
      <c r="C195" s="247" t="s">
        <v>1616</v>
      </c>
      <c r="D195" s="200" t="s">
        <v>1848</v>
      </c>
      <c r="E195" s="370" t="s">
        <v>1596</v>
      </c>
      <c r="F195" s="247"/>
      <c r="G195" s="248" t="s">
        <v>355</v>
      </c>
      <c r="H195" s="248" t="s">
        <v>1945</v>
      </c>
      <c r="I195" s="359">
        <v>1</v>
      </c>
      <c r="J195" s="248">
        <v>4</v>
      </c>
      <c r="K195" s="248">
        <v>5.5</v>
      </c>
      <c r="L195" s="212">
        <v>0.5</v>
      </c>
      <c r="M195" s="212">
        <f t="shared" si="20"/>
        <v>11</v>
      </c>
      <c r="N195" s="212">
        <f t="shared" si="21"/>
        <v>8</v>
      </c>
      <c r="O195" s="212">
        <f t="shared" si="22"/>
        <v>16</v>
      </c>
      <c r="P195" s="212">
        <f t="shared" si="23"/>
        <v>36.666666666666671</v>
      </c>
      <c r="Q195" s="212">
        <f t="shared" si="24"/>
        <v>4</v>
      </c>
      <c r="R195" s="212">
        <f t="shared" si="25"/>
        <v>64.666666666666671</v>
      </c>
      <c r="S195" s="369" t="s">
        <v>736</v>
      </c>
      <c r="T195" s="372" t="s">
        <v>1114</v>
      </c>
      <c r="U195" s="280">
        <f>62+90</f>
        <v>152</v>
      </c>
      <c r="V195" s="280">
        <f t="shared" si="30"/>
        <v>152</v>
      </c>
      <c r="W195" s="280">
        <f t="shared" si="30"/>
        <v>152</v>
      </c>
      <c r="X195" s="276">
        <v>44063</v>
      </c>
      <c r="Y195" s="276">
        <v>44180</v>
      </c>
      <c r="Z195" s="276">
        <v>44211</v>
      </c>
      <c r="AA195" s="273">
        <f t="shared" si="26"/>
        <v>2021</v>
      </c>
      <c r="AB195" s="273">
        <f t="shared" si="27"/>
        <v>1</v>
      </c>
      <c r="AC195" s="278" t="s">
        <v>920</v>
      </c>
      <c r="AD195" s="278" t="s">
        <v>422</v>
      </c>
      <c r="AE195" s="278" t="s">
        <v>423</v>
      </c>
      <c r="AF195" s="278" t="s">
        <v>422</v>
      </c>
      <c r="AG195" s="278" t="s">
        <v>422</v>
      </c>
      <c r="AH195" s="278" t="s">
        <v>423</v>
      </c>
      <c r="AI195" s="278" t="s">
        <v>422</v>
      </c>
      <c r="AJ195" s="278" t="s">
        <v>423</v>
      </c>
      <c r="AK195" s="278" t="s">
        <v>423</v>
      </c>
      <c r="AL195" s="279" t="s">
        <v>1372</v>
      </c>
      <c r="AM195" s="241"/>
      <c r="AN195" s="242" t="s">
        <v>1602</v>
      </c>
    </row>
    <row r="196" spans="1:40" ht="15" customHeight="1" x14ac:dyDescent="0.3">
      <c r="A196" s="185">
        <v>151</v>
      </c>
      <c r="B196" s="264" t="s">
        <v>1103</v>
      </c>
      <c r="C196" s="247" t="s">
        <v>1616</v>
      </c>
      <c r="D196" s="200" t="s">
        <v>1848</v>
      </c>
      <c r="E196" s="376" t="s">
        <v>1596</v>
      </c>
      <c r="F196" s="264"/>
      <c r="G196" s="248" t="s">
        <v>355</v>
      </c>
      <c r="H196" s="248" t="s">
        <v>1010</v>
      </c>
      <c r="I196" s="359">
        <v>2</v>
      </c>
      <c r="J196" s="316">
        <v>4.7</v>
      </c>
      <c r="K196" s="316">
        <v>6</v>
      </c>
      <c r="L196" s="212">
        <v>1</v>
      </c>
      <c r="M196" s="212">
        <f t="shared" si="20"/>
        <v>13.7</v>
      </c>
      <c r="N196" s="212">
        <f t="shared" si="21"/>
        <v>16</v>
      </c>
      <c r="O196" s="212">
        <f t="shared" si="22"/>
        <v>18.8</v>
      </c>
      <c r="P196" s="212">
        <f t="shared" si="23"/>
        <v>40</v>
      </c>
      <c r="Q196" s="212">
        <f t="shared" si="24"/>
        <v>8</v>
      </c>
      <c r="R196" s="212">
        <f t="shared" si="25"/>
        <v>82.8</v>
      </c>
      <c r="S196" s="377" t="s">
        <v>718</v>
      </c>
      <c r="T196" s="378" t="s">
        <v>1115</v>
      </c>
      <c r="U196" s="280">
        <f>76+62</f>
        <v>138</v>
      </c>
      <c r="V196" s="280">
        <f t="shared" si="30"/>
        <v>138</v>
      </c>
      <c r="W196" s="280">
        <f t="shared" si="30"/>
        <v>138</v>
      </c>
      <c r="X196" s="276">
        <v>44063</v>
      </c>
      <c r="Y196" s="276">
        <v>44180</v>
      </c>
      <c r="Z196" s="276">
        <v>44211</v>
      </c>
      <c r="AA196" s="273">
        <f t="shared" si="26"/>
        <v>2021</v>
      </c>
      <c r="AB196" s="273">
        <f t="shared" si="27"/>
        <v>1</v>
      </c>
      <c r="AC196" s="278" t="s">
        <v>920</v>
      </c>
      <c r="AD196" s="278" t="s">
        <v>422</v>
      </c>
      <c r="AE196" s="278" t="s">
        <v>423</v>
      </c>
      <c r="AF196" s="278" t="s">
        <v>422</v>
      </c>
      <c r="AG196" s="278" t="s">
        <v>422</v>
      </c>
      <c r="AH196" s="278" t="s">
        <v>423</v>
      </c>
      <c r="AI196" s="278" t="s">
        <v>422</v>
      </c>
      <c r="AJ196" s="278" t="s">
        <v>423</v>
      </c>
      <c r="AK196" s="278" t="s">
        <v>423</v>
      </c>
      <c r="AL196" s="279" t="s">
        <v>140</v>
      </c>
      <c r="AM196" s="241"/>
      <c r="AN196" s="242" t="s">
        <v>1602</v>
      </c>
    </row>
    <row r="197" spans="1:40" ht="15" customHeight="1" x14ac:dyDescent="0.3">
      <c r="A197" s="185">
        <v>152</v>
      </c>
      <c r="B197" s="247" t="s">
        <v>1104</v>
      </c>
      <c r="C197" s="247" t="s">
        <v>1616</v>
      </c>
      <c r="D197" s="199" t="s">
        <v>1848</v>
      </c>
      <c r="E197" s="370" t="s">
        <v>1596</v>
      </c>
      <c r="F197" s="247"/>
      <c r="G197" s="248" t="s">
        <v>1596</v>
      </c>
      <c r="H197" s="248" t="s">
        <v>1943</v>
      </c>
      <c r="I197" s="359">
        <v>2</v>
      </c>
      <c r="J197" s="248">
        <v>10</v>
      </c>
      <c r="K197" s="248">
        <v>8.5</v>
      </c>
      <c r="L197" s="212">
        <v>1</v>
      </c>
      <c r="M197" s="212">
        <f t="shared" si="20"/>
        <v>21.5</v>
      </c>
      <c r="N197" s="212">
        <f t="shared" si="21"/>
        <v>16</v>
      </c>
      <c r="O197" s="212">
        <f t="shared" si="22"/>
        <v>40</v>
      </c>
      <c r="P197" s="212">
        <f t="shared" si="23"/>
        <v>56.666666666666671</v>
      </c>
      <c r="Q197" s="212">
        <f t="shared" si="24"/>
        <v>8</v>
      </c>
      <c r="R197" s="212">
        <f t="shared" si="25"/>
        <v>120.66666666666667</v>
      </c>
      <c r="S197" s="369" t="s">
        <v>1116</v>
      </c>
      <c r="T197" s="372" t="s">
        <v>1117</v>
      </c>
      <c r="U197" s="280">
        <v>212</v>
      </c>
      <c r="V197" s="280">
        <f t="shared" si="30"/>
        <v>212</v>
      </c>
      <c r="W197" s="280">
        <f t="shared" si="30"/>
        <v>212</v>
      </c>
      <c r="X197" s="276">
        <v>44063</v>
      </c>
      <c r="Y197" s="276">
        <v>44180</v>
      </c>
      <c r="Z197" s="276">
        <v>44211</v>
      </c>
      <c r="AA197" s="273">
        <f t="shared" si="26"/>
        <v>2021</v>
      </c>
      <c r="AB197" s="273">
        <f t="shared" si="27"/>
        <v>1</v>
      </c>
      <c r="AC197" s="278" t="s">
        <v>920</v>
      </c>
      <c r="AD197" s="278" t="s">
        <v>422</v>
      </c>
      <c r="AE197" s="278" t="s">
        <v>422</v>
      </c>
      <c r="AF197" s="278" t="s">
        <v>422</v>
      </c>
      <c r="AG197" s="278" t="s">
        <v>422</v>
      </c>
      <c r="AH197" s="278" t="s">
        <v>422</v>
      </c>
      <c r="AI197" s="278" t="s">
        <v>422</v>
      </c>
      <c r="AJ197" s="278" t="s">
        <v>423</v>
      </c>
      <c r="AK197" s="278" t="s">
        <v>423</v>
      </c>
      <c r="AL197" s="279" t="s">
        <v>1372</v>
      </c>
      <c r="AM197" s="241"/>
      <c r="AN197" s="243" t="s">
        <v>1433</v>
      </c>
    </row>
    <row r="198" spans="1:40" ht="15" customHeight="1" x14ac:dyDescent="0.3">
      <c r="A198" s="185">
        <v>153</v>
      </c>
      <c r="B198" s="247" t="s">
        <v>1105</v>
      </c>
      <c r="C198" s="247" t="s">
        <v>1616</v>
      </c>
      <c r="D198" s="199" t="s">
        <v>1848</v>
      </c>
      <c r="E198" s="370" t="s">
        <v>1596</v>
      </c>
      <c r="F198" s="247"/>
      <c r="G198" s="248" t="s">
        <v>355</v>
      </c>
      <c r="H198" s="248" t="s">
        <v>1596</v>
      </c>
      <c r="I198" s="359">
        <v>2</v>
      </c>
      <c r="J198" s="359">
        <v>10</v>
      </c>
      <c r="K198" s="248">
        <v>8.1999999999999993</v>
      </c>
      <c r="L198" s="212">
        <v>1</v>
      </c>
      <c r="M198" s="212">
        <f t="shared" si="20"/>
        <v>21.2</v>
      </c>
      <c r="N198" s="212">
        <f t="shared" si="21"/>
        <v>16</v>
      </c>
      <c r="O198" s="212">
        <f t="shared" si="22"/>
        <v>40</v>
      </c>
      <c r="P198" s="212">
        <f t="shared" si="23"/>
        <v>54.666666666666664</v>
      </c>
      <c r="Q198" s="212">
        <f t="shared" si="24"/>
        <v>8</v>
      </c>
      <c r="R198" s="212">
        <f t="shared" si="25"/>
        <v>118.66666666666666</v>
      </c>
      <c r="S198" s="369" t="s">
        <v>1116</v>
      </c>
      <c r="T198" s="372" t="s">
        <v>1117</v>
      </c>
      <c r="U198" s="280">
        <v>220</v>
      </c>
      <c r="V198" s="280">
        <v>220</v>
      </c>
      <c r="W198" s="280">
        <v>220</v>
      </c>
      <c r="X198" s="276">
        <v>44063</v>
      </c>
      <c r="Y198" s="276">
        <v>44180</v>
      </c>
      <c r="Z198" s="276">
        <v>44211</v>
      </c>
      <c r="AA198" s="273">
        <f t="shared" si="26"/>
        <v>2021</v>
      </c>
      <c r="AB198" s="273">
        <f t="shared" si="27"/>
        <v>1</v>
      </c>
      <c r="AC198" s="278" t="s">
        <v>920</v>
      </c>
      <c r="AD198" s="278" t="s">
        <v>422</v>
      </c>
      <c r="AE198" s="278" t="s">
        <v>422</v>
      </c>
      <c r="AF198" s="278" t="s">
        <v>422</v>
      </c>
      <c r="AG198" s="278" t="s">
        <v>422</v>
      </c>
      <c r="AH198" s="278" t="s">
        <v>422</v>
      </c>
      <c r="AI198" s="278" t="s">
        <v>422</v>
      </c>
      <c r="AJ198" s="278" t="s">
        <v>423</v>
      </c>
      <c r="AK198" s="278" t="s">
        <v>423</v>
      </c>
      <c r="AL198" s="279" t="s">
        <v>1372</v>
      </c>
      <c r="AM198" s="241"/>
      <c r="AN198" s="242" t="s">
        <v>1432</v>
      </c>
    </row>
    <row r="199" spans="1:40" ht="15" customHeight="1" x14ac:dyDescent="0.3">
      <c r="A199" s="185">
        <v>154</v>
      </c>
      <c r="B199" s="247" t="s">
        <v>1106</v>
      </c>
      <c r="C199" s="247" t="s">
        <v>1616</v>
      </c>
      <c r="D199" s="199" t="s">
        <v>1848</v>
      </c>
      <c r="E199" s="370" t="s">
        <v>1596</v>
      </c>
      <c r="F199" s="247"/>
      <c r="G199" s="248" t="s">
        <v>355</v>
      </c>
      <c r="H199" s="248" t="s">
        <v>1943</v>
      </c>
      <c r="I199" s="359">
        <v>2</v>
      </c>
      <c r="J199" s="248">
        <v>9</v>
      </c>
      <c r="K199" s="248">
        <v>8.1999999999999993</v>
      </c>
      <c r="L199" s="212">
        <v>1</v>
      </c>
      <c r="M199" s="212">
        <f t="shared" ref="M199:M262" si="31">SUM((I199:L199))</f>
        <v>20.2</v>
      </c>
      <c r="N199" s="212">
        <f t="shared" ref="N199:N262" si="32">+I199/0.125</f>
        <v>16</v>
      </c>
      <c r="O199" s="212">
        <f t="shared" ref="O199:O262" si="33">+J199/0.25</f>
        <v>36</v>
      </c>
      <c r="P199" s="212">
        <f t="shared" ref="P199:P262" si="34">+K199/0.15</f>
        <v>54.666666666666664</v>
      </c>
      <c r="Q199" s="212">
        <f t="shared" ref="Q199:Q262" si="35">+L199/0.125</f>
        <v>8</v>
      </c>
      <c r="R199" s="212">
        <f t="shared" ref="R199:R262" si="36">SUM(N199:Q199)</f>
        <v>114.66666666666666</v>
      </c>
      <c r="S199" s="369" t="s">
        <v>1118</v>
      </c>
      <c r="T199" s="372" t="s">
        <v>1119</v>
      </c>
      <c r="U199" s="280">
        <v>204</v>
      </c>
      <c r="V199" s="280">
        <f>+U199</f>
        <v>204</v>
      </c>
      <c r="W199" s="280">
        <f>+V199</f>
        <v>204</v>
      </c>
      <c r="X199" s="276">
        <v>44063</v>
      </c>
      <c r="Y199" s="276">
        <v>44180</v>
      </c>
      <c r="Z199" s="276">
        <v>44211</v>
      </c>
      <c r="AA199" s="273">
        <f t="shared" ref="AA199:AA262" si="37">IF(YEAR(Z199)&gt;2000,YEAR(Z199),YEAR(Y199))</f>
        <v>2021</v>
      </c>
      <c r="AB199" s="273">
        <f t="shared" ref="AB199:AB262" si="38">MONTH(Z199)</f>
        <v>1</v>
      </c>
      <c r="AC199" s="278" t="s">
        <v>920</v>
      </c>
      <c r="AD199" s="278" t="s">
        <v>422</v>
      </c>
      <c r="AE199" s="278" t="s">
        <v>422</v>
      </c>
      <c r="AF199" s="278" t="s">
        <v>422</v>
      </c>
      <c r="AG199" s="278" t="s">
        <v>422</v>
      </c>
      <c r="AH199" s="278" t="s">
        <v>422</v>
      </c>
      <c r="AI199" s="278" t="s">
        <v>422</v>
      </c>
      <c r="AJ199" s="278" t="s">
        <v>423</v>
      </c>
      <c r="AK199" s="278" t="s">
        <v>423</v>
      </c>
      <c r="AL199" s="279" t="s">
        <v>1372</v>
      </c>
      <c r="AM199" s="241"/>
      <c r="AN199" s="242" t="s">
        <v>1432</v>
      </c>
    </row>
    <row r="200" spans="1:40" ht="15" customHeight="1" x14ac:dyDescent="0.3">
      <c r="A200" s="185">
        <v>155</v>
      </c>
      <c r="B200" s="247" t="s">
        <v>1107</v>
      </c>
      <c r="C200" s="247" t="s">
        <v>1616</v>
      </c>
      <c r="D200" s="199" t="s">
        <v>1848</v>
      </c>
      <c r="E200" s="370" t="s">
        <v>1596</v>
      </c>
      <c r="F200" s="247"/>
      <c r="G200" s="248" t="s">
        <v>355</v>
      </c>
      <c r="H200" s="248" t="s">
        <v>1943</v>
      </c>
      <c r="I200" s="359">
        <v>2</v>
      </c>
      <c r="J200" s="248">
        <v>9</v>
      </c>
      <c r="K200" s="248">
        <v>16</v>
      </c>
      <c r="L200" s="212">
        <v>1</v>
      </c>
      <c r="M200" s="212">
        <f t="shared" si="31"/>
        <v>28</v>
      </c>
      <c r="N200" s="212">
        <f t="shared" si="32"/>
        <v>16</v>
      </c>
      <c r="O200" s="212">
        <f t="shared" si="33"/>
        <v>36</v>
      </c>
      <c r="P200" s="212">
        <f t="shared" si="34"/>
        <v>106.66666666666667</v>
      </c>
      <c r="Q200" s="212">
        <f t="shared" si="35"/>
        <v>8</v>
      </c>
      <c r="R200" s="212">
        <f t="shared" si="36"/>
        <v>166.66666666666669</v>
      </c>
      <c r="S200" s="369" t="s">
        <v>1120</v>
      </c>
      <c r="T200" s="372" t="s">
        <v>1119</v>
      </c>
      <c r="U200" s="280">
        <v>188</v>
      </c>
      <c r="V200" s="280">
        <v>189</v>
      </c>
      <c r="W200" s="280">
        <v>189</v>
      </c>
      <c r="X200" s="276">
        <v>44063</v>
      </c>
      <c r="Y200" s="276">
        <v>44180</v>
      </c>
      <c r="Z200" s="276">
        <v>44211</v>
      </c>
      <c r="AA200" s="273">
        <f t="shared" si="37"/>
        <v>2021</v>
      </c>
      <c r="AB200" s="273">
        <f t="shared" si="38"/>
        <v>1</v>
      </c>
      <c r="AC200" s="278" t="s">
        <v>920</v>
      </c>
      <c r="AD200" s="278" t="s">
        <v>422</v>
      </c>
      <c r="AE200" s="278" t="s">
        <v>422</v>
      </c>
      <c r="AF200" s="278" t="s">
        <v>422</v>
      </c>
      <c r="AG200" s="278" t="s">
        <v>422</v>
      </c>
      <c r="AH200" s="278" t="s">
        <v>422</v>
      </c>
      <c r="AI200" s="278" t="s">
        <v>422</v>
      </c>
      <c r="AJ200" s="278" t="s">
        <v>423</v>
      </c>
      <c r="AK200" s="278" t="s">
        <v>423</v>
      </c>
      <c r="AL200" s="279" t="s">
        <v>1372</v>
      </c>
      <c r="AM200" s="241"/>
      <c r="AN200" s="243" t="s">
        <v>1433</v>
      </c>
    </row>
    <row r="201" spans="1:40" ht="15" customHeight="1" x14ac:dyDescent="0.3">
      <c r="A201" s="185">
        <v>156</v>
      </c>
      <c r="B201" s="247" t="s">
        <v>1108</v>
      </c>
      <c r="C201" s="247" t="s">
        <v>1616</v>
      </c>
      <c r="D201" s="199" t="s">
        <v>1848</v>
      </c>
      <c r="E201" s="370" t="s">
        <v>1596</v>
      </c>
      <c r="F201" s="247"/>
      <c r="G201" s="248" t="s">
        <v>355</v>
      </c>
      <c r="H201" s="248" t="s">
        <v>1943</v>
      </c>
      <c r="I201" s="359">
        <v>2</v>
      </c>
      <c r="J201" s="248">
        <v>9</v>
      </c>
      <c r="K201" s="248">
        <v>8.1999999999999993</v>
      </c>
      <c r="L201" s="212">
        <v>1</v>
      </c>
      <c r="M201" s="212">
        <f t="shared" si="31"/>
        <v>20.2</v>
      </c>
      <c r="N201" s="212">
        <f t="shared" si="32"/>
        <v>16</v>
      </c>
      <c r="O201" s="212">
        <f t="shared" si="33"/>
        <v>36</v>
      </c>
      <c r="P201" s="212">
        <f t="shared" si="34"/>
        <v>54.666666666666664</v>
      </c>
      <c r="Q201" s="212">
        <f t="shared" si="35"/>
        <v>8</v>
      </c>
      <c r="R201" s="212">
        <f t="shared" si="36"/>
        <v>114.66666666666666</v>
      </c>
      <c r="S201" s="369" t="s">
        <v>1121</v>
      </c>
      <c r="T201" s="372" t="s">
        <v>1122</v>
      </c>
      <c r="U201" s="280">
        <v>224</v>
      </c>
      <c r="V201" s="280">
        <f>+U201</f>
        <v>224</v>
      </c>
      <c r="W201" s="280">
        <f>+V201</f>
        <v>224</v>
      </c>
      <c r="X201" s="276">
        <v>44063</v>
      </c>
      <c r="Y201" s="276">
        <v>44180</v>
      </c>
      <c r="Z201" s="276">
        <v>44211</v>
      </c>
      <c r="AA201" s="273">
        <f t="shared" si="37"/>
        <v>2021</v>
      </c>
      <c r="AB201" s="273">
        <f t="shared" si="38"/>
        <v>1</v>
      </c>
      <c r="AC201" s="278" t="s">
        <v>920</v>
      </c>
      <c r="AD201" s="278" t="s">
        <v>422</v>
      </c>
      <c r="AE201" s="278" t="s">
        <v>422</v>
      </c>
      <c r="AF201" s="278" t="s">
        <v>422</v>
      </c>
      <c r="AG201" s="278" t="s">
        <v>422</v>
      </c>
      <c r="AH201" s="278" t="s">
        <v>422</v>
      </c>
      <c r="AI201" s="278" t="s">
        <v>422</v>
      </c>
      <c r="AJ201" s="278" t="s">
        <v>423</v>
      </c>
      <c r="AK201" s="278" t="s">
        <v>423</v>
      </c>
      <c r="AL201" s="279" t="s">
        <v>1372</v>
      </c>
      <c r="AM201" s="241"/>
      <c r="AN201" s="242" t="s">
        <v>1432</v>
      </c>
    </row>
    <row r="202" spans="1:40" ht="15" customHeight="1" x14ac:dyDescent="0.3">
      <c r="A202" s="185">
        <v>157</v>
      </c>
      <c r="B202" s="247" t="s">
        <v>1109</v>
      </c>
      <c r="C202" s="247" t="s">
        <v>1616</v>
      </c>
      <c r="D202" s="199" t="s">
        <v>1848</v>
      </c>
      <c r="E202" s="370" t="s">
        <v>1596</v>
      </c>
      <c r="F202" s="247"/>
      <c r="G202" s="248" t="s">
        <v>355</v>
      </c>
      <c r="H202" s="248" t="s">
        <v>1943</v>
      </c>
      <c r="I202" s="359">
        <v>2</v>
      </c>
      <c r="J202" s="248">
        <v>8.5</v>
      </c>
      <c r="K202" s="248">
        <v>16</v>
      </c>
      <c r="L202" s="212">
        <v>1</v>
      </c>
      <c r="M202" s="212">
        <f t="shared" si="31"/>
        <v>27.5</v>
      </c>
      <c r="N202" s="212">
        <f t="shared" si="32"/>
        <v>16</v>
      </c>
      <c r="O202" s="212">
        <f t="shared" si="33"/>
        <v>34</v>
      </c>
      <c r="P202" s="212">
        <f t="shared" si="34"/>
        <v>106.66666666666667</v>
      </c>
      <c r="Q202" s="212">
        <f t="shared" si="35"/>
        <v>8</v>
      </c>
      <c r="R202" s="212">
        <f t="shared" si="36"/>
        <v>164.66666666666669</v>
      </c>
      <c r="S202" s="369" t="s">
        <v>1123</v>
      </c>
      <c r="T202" s="372" t="s">
        <v>1122</v>
      </c>
      <c r="U202" s="280">
        <v>200</v>
      </c>
      <c r="V202" s="280">
        <v>189</v>
      </c>
      <c r="W202" s="280">
        <v>189</v>
      </c>
      <c r="X202" s="276">
        <v>44063</v>
      </c>
      <c r="Y202" s="276">
        <v>44180</v>
      </c>
      <c r="Z202" s="276">
        <v>44211</v>
      </c>
      <c r="AA202" s="273">
        <f t="shared" si="37"/>
        <v>2021</v>
      </c>
      <c r="AB202" s="273">
        <f t="shared" si="38"/>
        <v>1</v>
      </c>
      <c r="AC202" s="278" t="s">
        <v>920</v>
      </c>
      <c r="AD202" s="278" t="s">
        <v>422</v>
      </c>
      <c r="AE202" s="278" t="s">
        <v>422</v>
      </c>
      <c r="AF202" s="278" t="s">
        <v>422</v>
      </c>
      <c r="AG202" s="278" t="s">
        <v>422</v>
      </c>
      <c r="AH202" s="278" t="s">
        <v>422</v>
      </c>
      <c r="AI202" s="278" t="s">
        <v>422</v>
      </c>
      <c r="AJ202" s="278" t="s">
        <v>423</v>
      </c>
      <c r="AK202" s="278" t="s">
        <v>423</v>
      </c>
      <c r="AL202" s="279" t="s">
        <v>1372</v>
      </c>
      <c r="AM202" s="241"/>
      <c r="AN202" s="243" t="s">
        <v>1433</v>
      </c>
    </row>
    <row r="203" spans="1:40" ht="15" customHeight="1" x14ac:dyDescent="0.3">
      <c r="A203" s="185">
        <v>158</v>
      </c>
      <c r="B203" s="247" t="s">
        <v>1110</v>
      </c>
      <c r="C203" s="247" t="s">
        <v>1616</v>
      </c>
      <c r="D203" s="199" t="s">
        <v>1848</v>
      </c>
      <c r="E203" s="370" t="s">
        <v>1596</v>
      </c>
      <c r="F203" s="247"/>
      <c r="G203" s="248" t="s">
        <v>355</v>
      </c>
      <c r="H203" s="248" t="s">
        <v>1943</v>
      </c>
      <c r="I203" s="359">
        <v>2</v>
      </c>
      <c r="J203" s="248">
        <v>8.5</v>
      </c>
      <c r="K203" s="248">
        <v>8.5</v>
      </c>
      <c r="L203" s="212">
        <v>1</v>
      </c>
      <c r="M203" s="212">
        <f t="shared" si="31"/>
        <v>20</v>
      </c>
      <c r="N203" s="212">
        <f t="shared" si="32"/>
        <v>16</v>
      </c>
      <c r="O203" s="212">
        <f t="shared" si="33"/>
        <v>34</v>
      </c>
      <c r="P203" s="212">
        <f t="shared" si="34"/>
        <v>56.666666666666671</v>
      </c>
      <c r="Q203" s="212">
        <f t="shared" si="35"/>
        <v>8</v>
      </c>
      <c r="R203" s="212">
        <f t="shared" si="36"/>
        <v>114.66666666666667</v>
      </c>
      <c r="S203" s="369" t="s">
        <v>1124</v>
      </c>
      <c r="T203" s="372" t="s">
        <v>1125</v>
      </c>
      <c r="U203" s="280">
        <v>114</v>
      </c>
      <c r="V203" s="280">
        <v>115</v>
      </c>
      <c r="W203" s="280">
        <v>115</v>
      </c>
      <c r="X203" s="276">
        <v>44063</v>
      </c>
      <c r="Y203" s="276">
        <v>44180</v>
      </c>
      <c r="Z203" s="26">
        <v>44211</v>
      </c>
      <c r="AA203" s="273">
        <f t="shared" si="37"/>
        <v>2021</v>
      </c>
      <c r="AB203" s="273">
        <f t="shared" si="38"/>
        <v>1</v>
      </c>
      <c r="AC203" s="278" t="s">
        <v>920</v>
      </c>
      <c r="AD203" s="278" t="s">
        <v>422</v>
      </c>
      <c r="AE203" s="278" t="s">
        <v>422</v>
      </c>
      <c r="AF203" s="278" t="s">
        <v>422</v>
      </c>
      <c r="AG203" s="278" t="s">
        <v>422</v>
      </c>
      <c r="AH203" s="278" t="s">
        <v>422</v>
      </c>
      <c r="AI203" s="278" t="s">
        <v>422</v>
      </c>
      <c r="AJ203" s="278" t="s">
        <v>423</v>
      </c>
      <c r="AK203" s="278" t="s">
        <v>423</v>
      </c>
      <c r="AL203" s="279" t="s">
        <v>1372</v>
      </c>
      <c r="AM203" s="241"/>
      <c r="AN203" s="243" t="s">
        <v>1433</v>
      </c>
    </row>
    <row r="204" spans="1:40" ht="15" customHeight="1" x14ac:dyDescent="0.3">
      <c r="A204" s="185">
        <v>159</v>
      </c>
      <c r="B204" s="247" t="s">
        <v>1111</v>
      </c>
      <c r="C204" s="247" t="s">
        <v>1616</v>
      </c>
      <c r="D204" s="199" t="s">
        <v>1848</v>
      </c>
      <c r="E204" s="370" t="s">
        <v>1596</v>
      </c>
      <c r="F204" s="247"/>
      <c r="G204" s="248" t="s">
        <v>355</v>
      </c>
      <c r="H204" s="248" t="s">
        <v>1943</v>
      </c>
      <c r="I204" s="359">
        <v>2</v>
      </c>
      <c r="J204" s="248">
        <v>8.5</v>
      </c>
      <c r="K204" s="248">
        <v>8.1999999999999993</v>
      </c>
      <c r="L204" s="212">
        <v>1</v>
      </c>
      <c r="M204" s="212">
        <f t="shared" si="31"/>
        <v>19.7</v>
      </c>
      <c r="N204" s="212">
        <f t="shared" si="32"/>
        <v>16</v>
      </c>
      <c r="O204" s="212">
        <f t="shared" si="33"/>
        <v>34</v>
      </c>
      <c r="P204" s="212">
        <f t="shared" si="34"/>
        <v>54.666666666666664</v>
      </c>
      <c r="Q204" s="212">
        <f t="shared" si="35"/>
        <v>8</v>
      </c>
      <c r="R204" s="212">
        <f t="shared" si="36"/>
        <v>112.66666666666666</v>
      </c>
      <c r="S204" s="369" t="s">
        <v>1124</v>
      </c>
      <c r="T204" s="372" t="s">
        <v>1125</v>
      </c>
      <c r="U204" s="280">
        <v>174</v>
      </c>
      <c r="V204" s="280">
        <f>+U204</f>
        <v>174</v>
      </c>
      <c r="W204" s="280">
        <f>+V204</f>
        <v>174</v>
      </c>
      <c r="X204" s="276">
        <v>44063</v>
      </c>
      <c r="Y204" s="276">
        <v>44180</v>
      </c>
      <c r="Z204" s="26">
        <v>44211</v>
      </c>
      <c r="AA204" s="273">
        <f t="shared" si="37"/>
        <v>2021</v>
      </c>
      <c r="AB204" s="273">
        <f t="shared" si="38"/>
        <v>1</v>
      </c>
      <c r="AC204" s="278" t="s">
        <v>920</v>
      </c>
      <c r="AD204" s="278" t="s">
        <v>422</v>
      </c>
      <c r="AE204" s="278" t="s">
        <v>422</v>
      </c>
      <c r="AF204" s="278" t="s">
        <v>422</v>
      </c>
      <c r="AG204" s="278" t="s">
        <v>422</v>
      </c>
      <c r="AH204" s="278" t="s">
        <v>422</v>
      </c>
      <c r="AI204" s="278" t="s">
        <v>422</v>
      </c>
      <c r="AJ204" s="278" t="s">
        <v>423</v>
      </c>
      <c r="AK204" s="278" t="s">
        <v>423</v>
      </c>
      <c r="AL204" s="279" t="s">
        <v>1372</v>
      </c>
      <c r="AM204" s="241"/>
      <c r="AN204" s="242" t="s">
        <v>1432</v>
      </c>
    </row>
    <row r="205" spans="1:40" ht="15" customHeight="1" x14ac:dyDescent="0.3">
      <c r="A205" s="185">
        <v>163</v>
      </c>
      <c r="B205" s="247" t="s">
        <v>1132</v>
      </c>
      <c r="C205" s="247" t="s">
        <v>1623</v>
      </c>
      <c r="D205" s="199" t="s">
        <v>1848</v>
      </c>
      <c r="E205" s="247"/>
      <c r="F205" s="247"/>
      <c r="G205" s="281" t="s">
        <v>1953</v>
      </c>
      <c r="H205" s="248" t="s">
        <v>1956</v>
      </c>
      <c r="I205" s="359">
        <v>2</v>
      </c>
      <c r="J205" s="248">
        <v>10</v>
      </c>
      <c r="K205" s="248">
        <v>8.5</v>
      </c>
      <c r="L205" s="212">
        <v>1</v>
      </c>
      <c r="M205" s="212">
        <f t="shared" si="31"/>
        <v>21.5</v>
      </c>
      <c r="N205" s="212">
        <f t="shared" si="32"/>
        <v>16</v>
      </c>
      <c r="O205" s="212">
        <f t="shared" si="33"/>
        <v>40</v>
      </c>
      <c r="P205" s="212">
        <f t="shared" si="34"/>
        <v>56.666666666666671</v>
      </c>
      <c r="Q205" s="212">
        <f t="shared" si="35"/>
        <v>8</v>
      </c>
      <c r="R205" s="212">
        <f t="shared" si="36"/>
        <v>120.66666666666667</v>
      </c>
      <c r="S205" s="369" t="s">
        <v>1243</v>
      </c>
      <c r="T205" s="369" t="s">
        <v>1245</v>
      </c>
      <c r="U205" s="280">
        <v>102</v>
      </c>
      <c r="V205" s="280">
        <v>102</v>
      </c>
      <c r="W205" s="280">
        <v>102</v>
      </c>
      <c r="X205" s="276">
        <v>44074</v>
      </c>
      <c r="Y205" s="276">
        <v>44145</v>
      </c>
      <c r="Z205" s="26">
        <v>44215</v>
      </c>
      <c r="AA205" s="273">
        <f t="shared" si="37"/>
        <v>2021</v>
      </c>
      <c r="AB205" s="273">
        <f t="shared" si="38"/>
        <v>1</v>
      </c>
      <c r="AC205" s="278" t="s">
        <v>920</v>
      </c>
      <c r="AD205" s="278" t="s">
        <v>449</v>
      </c>
      <c r="AE205" s="278" t="s">
        <v>422</v>
      </c>
      <c r="AF205" s="278" t="s">
        <v>422</v>
      </c>
      <c r="AG205" s="278" t="s">
        <v>422</v>
      </c>
      <c r="AH205" s="278" t="s">
        <v>422</v>
      </c>
      <c r="AI205" s="278" t="s">
        <v>422</v>
      </c>
      <c r="AJ205" s="278" t="s">
        <v>423</v>
      </c>
      <c r="AK205" s="278" t="s">
        <v>423</v>
      </c>
      <c r="AL205" s="279" t="s">
        <v>1240</v>
      </c>
      <c r="AM205" s="241"/>
      <c r="AN205" s="241"/>
    </row>
    <row r="206" spans="1:40" ht="15" customHeight="1" x14ac:dyDescent="0.3">
      <c r="A206" s="185">
        <v>164</v>
      </c>
      <c r="B206" s="247" t="s">
        <v>1133</v>
      </c>
      <c r="C206" s="247" t="s">
        <v>1623</v>
      </c>
      <c r="D206" s="199" t="s">
        <v>1848</v>
      </c>
      <c r="E206" s="247"/>
      <c r="F206" s="247"/>
      <c r="G206" s="281" t="s">
        <v>1953</v>
      </c>
      <c r="H206" s="248" t="s">
        <v>1956</v>
      </c>
      <c r="I206" s="359">
        <v>2</v>
      </c>
      <c r="J206" s="248">
        <v>10</v>
      </c>
      <c r="K206" s="248">
        <v>13</v>
      </c>
      <c r="L206" s="212">
        <v>1</v>
      </c>
      <c r="M206" s="212">
        <f t="shared" si="31"/>
        <v>26</v>
      </c>
      <c r="N206" s="212">
        <f t="shared" si="32"/>
        <v>16</v>
      </c>
      <c r="O206" s="212">
        <f t="shared" si="33"/>
        <v>40</v>
      </c>
      <c r="P206" s="212">
        <f t="shared" si="34"/>
        <v>86.666666666666671</v>
      </c>
      <c r="Q206" s="212">
        <f t="shared" si="35"/>
        <v>8</v>
      </c>
      <c r="R206" s="212">
        <f t="shared" si="36"/>
        <v>150.66666666666669</v>
      </c>
      <c r="S206" s="369" t="s">
        <v>1244</v>
      </c>
      <c r="T206" s="369" t="s">
        <v>1246</v>
      </c>
      <c r="U206" s="280">
        <f>24+24+30</f>
        <v>78</v>
      </c>
      <c r="V206" s="280">
        <f>24+24+30</f>
        <v>78</v>
      </c>
      <c r="W206" s="280">
        <f>24+24+30</f>
        <v>78</v>
      </c>
      <c r="X206" s="276">
        <v>44074</v>
      </c>
      <c r="Y206" s="276">
        <v>44145</v>
      </c>
      <c r="Z206" s="26">
        <v>44215</v>
      </c>
      <c r="AA206" s="273">
        <f t="shared" si="37"/>
        <v>2021</v>
      </c>
      <c r="AB206" s="273">
        <f t="shared" si="38"/>
        <v>1</v>
      </c>
      <c r="AC206" s="278" t="s">
        <v>920</v>
      </c>
      <c r="AD206" s="278" t="s">
        <v>449</v>
      </c>
      <c r="AE206" s="278" t="s">
        <v>422</v>
      </c>
      <c r="AF206" s="278" t="s">
        <v>422</v>
      </c>
      <c r="AG206" s="278" t="s">
        <v>422</v>
      </c>
      <c r="AH206" s="278" t="s">
        <v>422</v>
      </c>
      <c r="AI206" s="278" t="s">
        <v>422</v>
      </c>
      <c r="AJ206" s="278" t="s">
        <v>423</v>
      </c>
      <c r="AK206" s="278" t="s">
        <v>423</v>
      </c>
      <c r="AL206" s="279" t="s">
        <v>1240</v>
      </c>
      <c r="AM206" s="241"/>
      <c r="AN206" s="241"/>
    </row>
    <row r="207" spans="1:40" ht="15" customHeight="1" x14ac:dyDescent="0.3">
      <c r="A207" s="185">
        <v>165</v>
      </c>
      <c r="B207" s="247" t="s">
        <v>1134</v>
      </c>
      <c r="C207" s="247" t="s">
        <v>1623</v>
      </c>
      <c r="D207" s="199" t="s">
        <v>1848</v>
      </c>
      <c r="E207" s="247"/>
      <c r="F207" s="247"/>
      <c r="G207" s="281" t="s">
        <v>1953</v>
      </c>
      <c r="H207" s="248" t="s">
        <v>1956</v>
      </c>
      <c r="I207" s="359">
        <v>2</v>
      </c>
      <c r="J207" s="248">
        <v>10</v>
      </c>
      <c r="K207" s="359">
        <v>13</v>
      </c>
      <c r="L207" s="212">
        <v>1</v>
      </c>
      <c r="M207" s="212">
        <f t="shared" si="31"/>
        <v>26</v>
      </c>
      <c r="N207" s="212">
        <f t="shared" si="32"/>
        <v>16</v>
      </c>
      <c r="O207" s="212">
        <f t="shared" si="33"/>
        <v>40</v>
      </c>
      <c r="P207" s="212">
        <f t="shared" si="34"/>
        <v>86.666666666666671</v>
      </c>
      <c r="Q207" s="212">
        <f t="shared" si="35"/>
        <v>8</v>
      </c>
      <c r="R207" s="212">
        <f t="shared" si="36"/>
        <v>150.66666666666669</v>
      </c>
      <c r="S207" s="369" t="s">
        <v>1247</v>
      </c>
      <c r="T207" s="369" t="s">
        <v>1251</v>
      </c>
      <c r="U207" s="280">
        <v>12</v>
      </c>
      <c r="V207" s="280">
        <v>12</v>
      </c>
      <c r="W207" s="280">
        <v>12</v>
      </c>
      <c r="X207" s="276">
        <v>44074</v>
      </c>
      <c r="Y207" s="276">
        <v>44175</v>
      </c>
      <c r="Z207" s="26">
        <v>44215</v>
      </c>
      <c r="AA207" s="273">
        <f t="shared" si="37"/>
        <v>2021</v>
      </c>
      <c r="AB207" s="273">
        <f t="shared" si="38"/>
        <v>1</v>
      </c>
      <c r="AC207" s="278" t="s">
        <v>920</v>
      </c>
      <c r="AD207" s="278" t="s">
        <v>449</v>
      </c>
      <c r="AE207" s="278" t="s">
        <v>422</v>
      </c>
      <c r="AF207" s="278" t="s">
        <v>422</v>
      </c>
      <c r="AG207" s="278" t="s">
        <v>422</v>
      </c>
      <c r="AH207" s="278" t="s">
        <v>422</v>
      </c>
      <c r="AI207" s="278" t="s">
        <v>422</v>
      </c>
      <c r="AJ207" s="278" t="s">
        <v>423</v>
      </c>
      <c r="AK207" s="278" t="s">
        <v>423</v>
      </c>
      <c r="AL207" s="279" t="s">
        <v>1240</v>
      </c>
      <c r="AM207" s="241"/>
      <c r="AN207" s="241"/>
    </row>
    <row r="208" spans="1:40" ht="15" customHeight="1" x14ac:dyDescent="0.3">
      <c r="A208" s="185">
        <v>166</v>
      </c>
      <c r="B208" s="247" t="s">
        <v>1135</v>
      </c>
      <c r="C208" s="247" t="s">
        <v>1623</v>
      </c>
      <c r="D208" s="199" t="s">
        <v>1848</v>
      </c>
      <c r="E208" s="247"/>
      <c r="F208" s="247"/>
      <c r="G208" s="281" t="s">
        <v>1953</v>
      </c>
      <c r="H208" s="248" t="s">
        <v>1956</v>
      </c>
      <c r="I208" s="359">
        <v>1</v>
      </c>
      <c r="J208" s="248">
        <v>2.5</v>
      </c>
      <c r="K208" s="248">
        <v>5.5</v>
      </c>
      <c r="L208" s="212">
        <v>0.5</v>
      </c>
      <c r="M208" s="212">
        <f t="shared" si="31"/>
        <v>9.5</v>
      </c>
      <c r="N208" s="212">
        <f t="shared" si="32"/>
        <v>8</v>
      </c>
      <c r="O208" s="212">
        <f t="shared" si="33"/>
        <v>10</v>
      </c>
      <c r="P208" s="212">
        <f t="shared" si="34"/>
        <v>36.666666666666671</v>
      </c>
      <c r="Q208" s="212">
        <f t="shared" si="35"/>
        <v>4</v>
      </c>
      <c r="R208" s="212">
        <f t="shared" si="36"/>
        <v>58.666666666666671</v>
      </c>
      <c r="S208" s="369" t="s">
        <v>1248</v>
      </c>
      <c r="T208" s="369" t="s">
        <v>1248</v>
      </c>
      <c r="U208" s="280">
        <v>12</v>
      </c>
      <c r="V208" s="280">
        <v>12</v>
      </c>
      <c r="W208" s="280">
        <v>12</v>
      </c>
      <c r="X208" s="276">
        <v>44074</v>
      </c>
      <c r="Y208" s="276">
        <v>44177</v>
      </c>
      <c r="Z208" s="26">
        <v>44215</v>
      </c>
      <c r="AA208" s="273">
        <f t="shared" si="37"/>
        <v>2021</v>
      </c>
      <c r="AB208" s="273">
        <f t="shared" si="38"/>
        <v>1</v>
      </c>
      <c r="AC208" s="278" t="s">
        <v>920</v>
      </c>
      <c r="AD208" s="278" t="s">
        <v>449</v>
      </c>
      <c r="AE208" s="278" t="s">
        <v>422</v>
      </c>
      <c r="AF208" s="278" t="s">
        <v>422</v>
      </c>
      <c r="AG208" s="278" t="s">
        <v>422</v>
      </c>
      <c r="AH208" s="278" t="s">
        <v>423</v>
      </c>
      <c r="AI208" s="278" t="s">
        <v>422</v>
      </c>
      <c r="AJ208" s="278" t="s">
        <v>423</v>
      </c>
      <c r="AK208" s="278" t="s">
        <v>423</v>
      </c>
      <c r="AL208" s="279" t="s">
        <v>1240</v>
      </c>
      <c r="AM208" s="241"/>
      <c r="AN208" s="241"/>
    </row>
    <row r="209" spans="1:46" ht="15" customHeight="1" x14ac:dyDescent="0.3">
      <c r="A209" s="185">
        <v>167</v>
      </c>
      <c r="B209" s="281" t="s">
        <v>1136</v>
      </c>
      <c r="C209" s="247" t="s">
        <v>1623</v>
      </c>
      <c r="D209" s="199" t="s">
        <v>1848</v>
      </c>
      <c r="E209" s="247"/>
      <c r="F209" s="281"/>
      <c r="G209" s="281" t="s">
        <v>1953</v>
      </c>
      <c r="H209" s="248" t="s">
        <v>1956</v>
      </c>
      <c r="I209" s="359">
        <v>2</v>
      </c>
      <c r="J209" s="317">
        <v>9</v>
      </c>
      <c r="K209" s="317">
        <v>10</v>
      </c>
      <c r="L209" s="212">
        <v>1</v>
      </c>
      <c r="M209" s="212">
        <f t="shared" si="31"/>
        <v>22</v>
      </c>
      <c r="N209" s="212">
        <f t="shared" si="32"/>
        <v>16</v>
      </c>
      <c r="O209" s="212">
        <f t="shared" si="33"/>
        <v>36</v>
      </c>
      <c r="P209" s="212">
        <f t="shared" si="34"/>
        <v>66.666666666666671</v>
      </c>
      <c r="Q209" s="212">
        <f t="shared" si="35"/>
        <v>8</v>
      </c>
      <c r="R209" s="212">
        <f t="shared" si="36"/>
        <v>126.66666666666667</v>
      </c>
      <c r="S209" s="379" t="s">
        <v>1137</v>
      </c>
      <c r="T209" s="379" t="s">
        <v>1252</v>
      </c>
      <c r="U209" s="280">
        <f>4+8+8</f>
        <v>20</v>
      </c>
      <c r="V209" s="280">
        <f>4+8+8</f>
        <v>20</v>
      </c>
      <c r="W209" s="280">
        <f>4+8+8</f>
        <v>20</v>
      </c>
      <c r="X209" s="276">
        <v>44074</v>
      </c>
      <c r="Y209" s="276">
        <v>44145</v>
      </c>
      <c r="Z209" s="277">
        <v>44215</v>
      </c>
      <c r="AA209" s="273">
        <f t="shared" si="37"/>
        <v>2021</v>
      </c>
      <c r="AB209" s="273">
        <f t="shared" si="38"/>
        <v>1</v>
      </c>
      <c r="AC209" s="278" t="s">
        <v>920</v>
      </c>
      <c r="AD209" s="278" t="s">
        <v>449</v>
      </c>
      <c r="AE209" s="278" t="s">
        <v>422</v>
      </c>
      <c r="AF209" s="278" t="s">
        <v>422</v>
      </c>
      <c r="AG209" s="278" t="s">
        <v>422</v>
      </c>
      <c r="AH209" s="278" t="s">
        <v>422</v>
      </c>
      <c r="AI209" s="278" t="s">
        <v>422</v>
      </c>
      <c r="AJ209" s="278" t="s">
        <v>423</v>
      </c>
      <c r="AK209" s="278" t="s">
        <v>423</v>
      </c>
      <c r="AL209" s="279" t="s">
        <v>1240</v>
      </c>
      <c r="AM209" s="241"/>
      <c r="AN209" s="241"/>
    </row>
    <row r="210" spans="1:46" ht="15" customHeight="1" x14ac:dyDescent="0.3">
      <c r="A210" s="185">
        <v>168</v>
      </c>
      <c r="B210" s="247" t="s">
        <v>1151</v>
      </c>
      <c r="C210" s="247" t="s">
        <v>1616</v>
      </c>
      <c r="D210" s="199" t="s">
        <v>1848</v>
      </c>
      <c r="E210" s="370" t="s">
        <v>1596</v>
      </c>
      <c r="F210" s="281"/>
      <c r="G210" s="317" t="s">
        <v>355</v>
      </c>
      <c r="H210" s="248" t="s">
        <v>1010</v>
      </c>
      <c r="I210" s="359">
        <v>1</v>
      </c>
      <c r="J210" s="317">
        <v>2.5</v>
      </c>
      <c r="K210" s="317">
        <v>5.5</v>
      </c>
      <c r="L210" s="212">
        <v>0.5</v>
      </c>
      <c r="M210" s="212">
        <f t="shared" si="31"/>
        <v>9.5</v>
      </c>
      <c r="N210" s="212">
        <f t="shared" si="32"/>
        <v>8</v>
      </c>
      <c r="O210" s="212">
        <f t="shared" si="33"/>
        <v>10</v>
      </c>
      <c r="P210" s="212">
        <f t="shared" si="34"/>
        <v>36.666666666666671</v>
      </c>
      <c r="Q210" s="212">
        <f t="shared" si="35"/>
        <v>4</v>
      </c>
      <c r="R210" s="212">
        <f t="shared" si="36"/>
        <v>58.666666666666671</v>
      </c>
      <c r="S210" s="379" t="s">
        <v>731</v>
      </c>
      <c r="T210" s="380" t="s">
        <v>1112</v>
      </c>
      <c r="U210" s="280">
        <f>52+18</f>
        <v>70</v>
      </c>
      <c r="V210" s="280">
        <f t="shared" ref="V210:W218" si="39">+U210</f>
        <v>70</v>
      </c>
      <c r="W210" s="280">
        <f t="shared" si="39"/>
        <v>70</v>
      </c>
      <c r="X210" s="276">
        <v>44063</v>
      </c>
      <c r="Y210" s="276">
        <v>44180</v>
      </c>
      <c r="Z210" s="277">
        <v>44211</v>
      </c>
      <c r="AA210" s="273">
        <f t="shared" si="37"/>
        <v>2021</v>
      </c>
      <c r="AB210" s="273">
        <f t="shared" si="38"/>
        <v>1</v>
      </c>
      <c r="AC210" s="278" t="s">
        <v>920</v>
      </c>
      <c r="AD210" s="278" t="s">
        <v>422</v>
      </c>
      <c r="AE210" s="278" t="s">
        <v>423</v>
      </c>
      <c r="AF210" s="278" t="s">
        <v>422</v>
      </c>
      <c r="AG210" s="278" t="s">
        <v>422</v>
      </c>
      <c r="AH210" s="278" t="s">
        <v>423</v>
      </c>
      <c r="AI210" s="278" t="s">
        <v>422</v>
      </c>
      <c r="AJ210" s="278" t="s">
        <v>423</v>
      </c>
      <c r="AK210" s="278" t="s">
        <v>423</v>
      </c>
      <c r="AL210" s="279" t="s">
        <v>140</v>
      </c>
      <c r="AM210" s="241"/>
      <c r="AN210" s="243" t="s">
        <v>1433</v>
      </c>
    </row>
    <row r="211" spans="1:46" ht="15" customHeight="1" x14ac:dyDescent="0.3">
      <c r="A211" s="185">
        <v>169</v>
      </c>
      <c r="B211" s="247" t="s">
        <v>1152</v>
      </c>
      <c r="C211" s="247" t="s">
        <v>1616</v>
      </c>
      <c r="D211" s="199" t="s">
        <v>1848</v>
      </c>
      <c r="E211" s="370" t="s">
        <v>1596</v>
      </c>
      <c r="F211" s="281"/>
      <c r="G211" s="317" t="s">
        <v>1596</v>
      </c>
      <c r="H211" s="248" t="s">
        <v>1010</v>
      </c>
      <c r="I211" s="359">
        <v>1</v>
      </c>
      <c r="J211" s="317">
        <v>2.5</v>
      </c>
      <c r="K211" s="359">
        <v>5.5</v>
      </c>
      <c r="L211" s="212">
        <v>0.5</v>
      </c>
      <c r="M211" s="212">
        <f t="shared" si="31"/>
        <v>9.5</v>
      </c>
      <c r="N211" s="212">
        <f t="shared" si="32"/>
        <v>8</v>
      </c>
      <c r="O211" s="212">
        <f t="shared" si="33"/>
        <v>10</v>
      </c>
      <c r="P211" s="212">
        <f t="shared" si="34"/>
        <v>36.666666666666671</v>
      </c>
      <c r="Q211" s="212">
        <f t="shared" si="35"/>
        <v>4</v>
      </c>
      <c r="R211" s="212">
        <f t="shared" si="36"/>
        <v>58.666666666666671</v>
      </c>
      <c r="S211" s="379" t="s">
        <v>732</v>
      </c>
      <c r="T211" s="380" t="s">
        <v>1113</v>
      </c>
      <c r="U211" s="280">
        <f>84+56</f>
        <v>140</v>
      </c>
      <c r="V211" s="280">
        <f t="shared" si="39"/>
        <v>140</v>
      </c>
      <c r="W211" s="280">
        <f t="shared" si="39"/>
        <v>140</v>
      </c>
      <c r="X211" s="276">
        <v>44063</v>
      </c>
      <c r="Y211" s="276">
        <v>44180</v>
      </c>
      <c r="Z211" s="277">
        <v>44211</v>
      </c>
      <c r="AA211" s="273">
        <f t="shared" si="37"/>
        <v>2021</v>
      </c>
      <c r="AB211" s="273">
        <f t="shared" si="38"/>
        <v>1</v>
      </c>
      <c r="AC211" s="278" t="s">
        <v>920</v>
      </c>
      <c r="AD211" s="278" t="s">
        <v>422</v>
      </c>
      <c r="AE211" s="278" t="s">
        <v>423</v>
      </c>
      <c r="AF211" s="278" t="s">
        <v>422</v>
      </c>
      <c r="AG211" s="278" t="s">
        <v>422</v>
      </c>
      <c r="AH211" s="278" t="s">
        <v>423</v>
      </c>
      <c r="AI211" s="278" t="s">
        <v>422</v>
      </c>
      <c r="AJ211" s="278" t="s">
        <v>423</v>
      </c>
      <c r="AK211" s="278" t="s">
        <v>423</v>
      </c>
      <c r="AL211" s="279" t="s">
        <v>140</v>
      </c>
      <c r="AM211" s="241"/>
      <c r="AN211" s="243" t="s">
        <v>1433</v>
      </c>
    </row>
    <row r="212" spans="1:46" ht="15" customHeight="1" x14ac:dyDescent="0.3">
      <c r="A212" s="185">
        <v>170</v>
      </c>
      <c r="B212" s="247" t="s">
        <v>1153</v>
      </c>
      <c r="C212" s="247" t="s">
        <v>1616</v>
      </c>
      <c r="D212" s="200" t="s">
        <v>1848</v>
      </c>
      <c r="E212" s="381" t="s">
        <v>1596</v>
      </c>
      <c r="F212" s="281" t="s">
        <v>1600</v>
      </c>
      <c r="G212" s="317" t="s">
        <v>355</v>
      </c>
      <c r="H212" s="248" t="s">
        <v>1010</v>
      </c>
      <c r="I212" s="317">
        <v>1</v>
      </c>
      <c r="J212" s="317">
        <v>2.5</v>
      </c>
      <c r="K212" s="317">
        <v>6.5</v>
      </c>
      <c r="L212" s="212">
        <v>1</v>
      </c>
      <c r="M212" s="212">
        <f t="shared" si="31"/>
        <v>11</v>
      </c>
      <c r="N212" s="212">
        <f t="shared" si="32"/>
        <v>8</v>
      </c>
      <c r="O212" s="212">
        <f t="shared" si="33"/>
        <v>10</v>
      </c>
      <c r="P212" s="212">
        <f t="shared" si="34"/>
        <v>43.333333333333336</v>
      </c>
      <c r="Q212" s="212">
        <f t="shared" si="35"/>
        <v>8</v>
      </c>
      <c r="R212" s="212">
        <f t="shared" si="36"/>
        <v>69.333333333333343</v>
      </c>
      <c r="S212" s="379" t="s">
        <v>734</v>
      </c>
      <c r="T212" s="380" t="s">
        <v>1115</v>
      </c>
      <c r="U212" s="280">
        <f>50+28</f>
        <v>78</v>
      </c>
      <c r="V212" s="280">
        <f t="shared" si="39"/>
        <v>78</v>
      </c>
      <c r="W212" s="280">
        <f t="shared" si="39"/>
        <v>78</v>
      </c>
      <c r="X212" s="276">
        <v>44063</v>
      </c>
      <c r="Y212" s="276">
        <v>44180</v>
      </c>
      <c r="Z212" s="277">
        <v>44211</v>
      </c>
      <c r="AA212" s="273">
        <f t="shared" si="37"/>
        <v>2021</v>
      </c>
      <c r="AB212" s="273">
        <f t="shared" si="38"/>
        <v>1</v>
      </c>
      <c r="AC212" s="278" t="s">
        <v>920</v>
      </c>
      <c r="AD212" s="278" t="s">
        <v>422</v>
      </c>
      <c r="AE212" s="278" t="s">
        <v>423</v>
      </c>
      <c r="AF212" s="278" t="s">
        <v>422</v>
      </c>
      <c r="AG212" s="278" t="s">
        <v>422</v>
      </c>
      <c r="AH212" s="278" t="s">
        <v>423</v>
      </c>
      <c r="AI212" s="278" t="s">
        <v>422</v>
      </c>
      <c r="AJ212" s="278" t="s">
        <v>423</v>
      </c>
      <c r="AK212" s="278" t="s">
        <v>423</v>
      </c>
      <c r="AL212" s="279" t="s">
        <v>140</v>
      </c>
      <c r="AM212" s="241"/>
      <c r="AN212" s="243" t="s">
        <v>1433</v>
      </c>
    </row>
    <row r="213" spans="1:46" ht="15" customHeight="1" x14ac:dyDescent="0.3">
      <c r="A213" s="185">
        <v>171</v>
      </c>
      <c r="B213" s="247" t="s">
        <v>1154</v>
      </c>
      <c r="C213" s="247" t="s">
        <v>1616</v>
      </c>
      <c r="D213" s="200" t="s">
        <v>1848</v>
      </c>
      <c r="E213" s="381" t="s">
        <v>1596</v>
      </c>
      <c r="F213" s="281" t="s">
        <v>1600</v>
      </c>
      <c r="G213" s="248" t="s">
        <v>355</v>
      </c>
      <c r="H213" s="248" t="s">
        <v>1010</v>
      </c>
      <c r="I213" s="317">
        <v>1</v>
      </c>
      <c r="J213" s="317">
        <v>9</v>
      </c>
      <c r="K213" s="317">
        <v>9</v>
      </c>
      <c r="L213" s="212">
        <v>1</v>
      </c>
      <c r="M213" s="212">
        <f t="shared" si="31"/>
        <v>20</v>
      </c>
      <c r="N213" s="212">
        <f t="shared" si="32"/>
        <v>8</v>
      </c>
      <c r="O213" s="212">
        <f t="shared" si="33"/>
        <v>36</v>
      </c>
      <c r="P213" s="212">
        <f t="shared" si="34"/>
        <v>60</v>
      </c>
      <c r="Q213" s="212">
        <f t="shared" si="35"/>
        <v>8</v>
      </c>
      <c r="R213" s="212">
        <f t="shared" si="36"/>
        <v>112</v>
      </c>
      <c r="S213" s="379" t="s">
        <v>1162</v>
      </c>
      <c r="T213" s="380" t="s">
        <v>1160</v>
      </c>
      <c r="U213" s="280">
        <v>232</v>
      </c>
      <c r="V213" s="280">
        <f t="shared" si="39"/>
        <v>232</v>
      </c>
      <c r="W213" s="280">
        <f t="shared" si="39"/>
        <v>232</v>
      </c>
      <c r="X213" s="276">
        <v>44063</v>
      </c>
      <c r="Y213" s="276">
        <v>44180</v>
      </c>
      <c r="Z213" s="277">
        <v>44211</v>
      </c>
      <c r="AA213" s="273">
        <f t="shared" si="37"/>
        <v>2021</v>
      </c>
      <c r="AB213" s="273">
        <f t="shared" si="38"/>
        <v>1</v>
      </c>
      <c r="AC213" s="278" t="s">
        <v>920</v>
      </c>
      <c r="AD213" s="278" t="s">
        <v>422</v>
      </c>
      <c r="AE213" s="278" t="s">
        <v>422</v>
      </c>
      <c r="AF213" s="278" t="s">
        <v>422</v>
      </c>
      <c r="AG213" s="278" t="s">
        <v>422</v>
      </c>
      <c r="AH213" s="278" t="s">
        <v>422</v>
      </c>
      <c r="AI213" s="278" t="s">
        <v>422</v>
      </c>
      <c r="AJ213" s="278" t="s">
        <v>423</v>
      </c>
      <c r="AK213" s="278" t="s">
        <v>423</v>
      </c>
      <c r="AL213" s="279" t="s">
        <v>140</v>
      </c>
      <c r="AM213" s="241"/>
      <c r="AN213" s="243" t="s">
        <v>1433</v>
      </c>
    </row>
    <row r="214" spans="1:46" ht="15" customHeight="1" x14ac:dyDescent="0.3">
      <c r="A214" s="185">
        <v>172</v>
      </c>
      <c r="B214" s="247" t="s">
        <v>1155</v>
      </c>
      <c r="C214" s="247" t="s">
        <v>1616</v>
      </c>
      <c r="D214" s="200" t="s">
        <v>1848</v>
      </c>
      <c r="E214" s="381" t="s">
        <v>1596</v>
      </c>
      <c r="F214" s="281" t="s">
        <v>1600</v>
      </c>
      <c r="G214" s="248" t="s">
        <v>1596</v>
      </c>
      <c r="H214" s="248" t="s">
        <v>1010</v>
      </c>
      <c r="I214" s="317">
        <v>1</v>
      </c>
      <c r="J214" s="317">
        <v>9</v>
      </c>
      <c r="K214" s="356">
        <v>9</v>
      </c>
      <c r="L214" s="212">
        <v>1</v>
      </c>
      <c r="M214" s="212">
        <f t="shared" si="31"/>
        <v>20</v>
      </c>
      <c r="N214" s="212">
        <f t="shared" si="32"/>
        <v>8</v>
      </c>
      <c r="O214" s="212">
        <f t="shared" si="33"/>
        <v>36</v>
      </c>
      <c r="P214" s="212">
        <f t="shared" si="34"/>
        <v>60</v>
      </c>
      <c r="Q214" s="212">
        <f t="shared" si="35"/>
        <v>8</v>
      </c>
      <c r="R214" s="212">
        <f t="shared" si="36"/>
        <v>112</v>
      </c>
      <c r="S214" s="379" t="s">
        <v>1163</v>
      </c>
      <c r="T214" s="380" t="s">
        <v>1117</v>
      </c>
      <c r="U214" s="280">
        <v>140</v>
      </c>
      <c r="V214" s="280">
        <f t="shared" si="39"/>
        <v>140</v>
      </c>
      <c r="W214" s="280">
        <f t="shared" si="39"/>
        <v>140</v>
      </c>
      <c r="X214" s="276">
        <v>44063</v>
      </c>
      <c r="Y214" s="276">
        <v>44180</v>
      </c>
      <c r="Z214" s="277">
        <v>44211</v>
      </c>
      <c r="AA214" s="273">
        <f t="shared" si="37"/>
        <v>2021</v>
      </c>
      <c r="AB214" s="273">
        <f t="shared" si="38"/>
        <v>1</v>
      </c>
      <c r="AC214" s="278" t="s">
        <v>920</v>
      </c>
      <c r="AD214" s="278" t="s">
        <v>422</v>
      </c>
      <c r="AE214" s="278" t="s">
        <v>422</v>
      </c>
      <c r="AF214" s="278" t="s">
        <v>422</v>
      </c>
      <c r="AG214" s="278" t="s">
        <v>422</v>
      </c>
      <c r="AH214" s="278" t="s">
        <v>422</v>
      </c>
      <c r="AI214" s="278" t="s">
        <v>422</v>
      </c>
      <c r="AJ214" s="278" t="s">
        <v>423</v>
      </c>
      <c r="AK214" s="278" t="s">
        <v>423</v>
      </c>
      <c r="AL214" s="279" t="s">
        <v>140</v>
      </c>
      <c r="AM214" s="241"/>
      <c r="AN214" s="243" t="s">
        <v>1433</v>
      </c>
    </row>
    <row r="215" spans="1:46" ht="15" customHeight="1" x14ac:dyDescent="0.3">
      <c r="A215" s="185">
        <v>173</v>
      </c>
      <c r="B215" s="247" t="s">
        <v>1156</v>
      </c>
      <c r="C215" s="247" t="s">
        <v>1616</v>
      </c>
      <c r="D215" s="200" t="s">
        <v>1848</v>
      </c>
      <c r="E215" s="381" t="s">
        <v>1596</v>
      </c>
      <c r="F215" s="281" t="s">
        <v>1600</v>
      </c>
      <c r="G215" s="248" t="s">
        <v>1596</v>
      </c>
      <c r="H215" s="248" t="s">
        <v>1010</v>
      </c>
      <c r="I215" s="317">
        <v>1</v>
      </c>
      <c r="J215" s="317">
        <v>9</v>
      </c>
      <c r="K215" s="356">
        <v>9</v>
      </c>
      <c r="L215" s="212">
        <v>1</v>
      </c>
      <c r="M215" s="212">
        <f t="shared" si="31"/>
        <v>20</v>
      </c>
      <c r="N215" s="212">
        <f t="shared" si="32"/>
        <v>8</v>
      </c>
      <c r="O215" s="212">
        <f t="shared" si="33"/>
        <v>36</v>
      </c>
      <c r="P215" s="212">
        <f t="shared" si="34"/>
        <v>60</v>
      </c>
      <c r="Q215" s="212">
        <f t="shared" si="35"/>
        <v>8</v>
      </c>
      <c r="R215" s="212">
        <f t="shared" si="36"/>
        <v>112</v>
      </c>
      <c r="S215" s="379" t="s">
        <v>1164</v>
      </c>
      <c r="T215" s="380" t="s">
        <v>1161</v>
      </c>
      <c r="U215" s="280">
        <v>82</v>
      </c>
      <c r="V215" s="280">
        <f t="shared" si="39"/>
        <v>82</v>
      </c>
      <c r="W215" s="280">
        <f t="shared" si="39"/>
        <v>82</v>
      </c>
      <c r="X215" s="276">
        <v>44063</v>
      </c>
      <c r="Y215" s="276">
        <v>44180</v>
      </c>
      <c r="Z215" s="277">
        <v>44211</v>
      </c>
      <c r="AA215" s="273">
        <f t="shared" si="37"/>
        <v>2021</v>
      </c>
      <c r="AB215" s="273">
        <f t="shared" si="38"/>
        <v>1</v>
      </c>
      <c r="AC215" s="278" t="s">
        <v>920</v>
      </c>
      <c r="AD215" s="278" t="s">
        <v>422</v>
      </c>
      <c r="AE215" s="278" t="s">
        <v>422</v>
      </c>
      <c r="AF215" s="278" t="s">
        <v>422</v>
      </c>
      <c r="AG215" s="278" t="s">
        <v>422</v>
      </c>
      <c r="AH215" s="278" t="s">
        <v>422</v>
      </c>
      <c r="AI215" s="278" t="s">
        <v>422</v>
      </c>
      <c r="AJ215" s="278" t="s">
        <v>423</v>
      </c>
      <c r="AK215" s="278" t="s">
        <v>423</v>
      </c>
      <c r="AL215" s="279" t="s">
        <v>140</v>
      </c>
      <c r="AM215" s="241"/>
      <c r="AN215" s="243" t="s">
        <v>1433</v>
      </c>
    </row>
    <row r="216" spans="1:46" ht="15" customHeight="1" x14ac:dyDescent="0.3">
      <c r="A216" s="185">
        <v>174</v>
      </c>
      <c r="B216" s="247" t="s">
        <v>1157</v>
      </c>
      <c r="C216" s="247" t="s">
        <v>1616</v>
      </c>
      <c r="D216" s="200" t="s">
        <v>1848</v>
      </c>
      <c r="E216" s="381" t="s">
        <v>1596</v>
      </c>
      <c r="F216" s="281" t="s">
        <v>1600</v>
      </c>
      <c r="G216" s="248" t="s">
        <v>1596</v>
      </c>
      <c r="H216" s="248" t="s">
        <v>1010</v>
      </c>
      <c r="I216" s="317">
        <v>1</v>
      </c>
      <c r="J216" s="317">
        <v>9</v>
      </c>
      <c r="K216" s="356">
        <v>9</v>
      </c>
      <c r="L216" s="212">
        <v>1</v>
      </c>
      <c r="M216" s="212">
        <f t="shared" si="31"/>
        <v>20</v>
      </c>
      <c r="N216" s="212">
        <f t="shared" si="32"/>
        <v>8</v>
      </c>
      <c r="O216" s="212">
        <f t="shared" si="33"/>
        <v>36</v>
      </c>
      <c r="P216" s="212">
        <f t="shared" si="34"/>
        <v>60</v>
      </c>
      <c r="Q216" s="212">
        <f t="shared" si="35"/>
        <v>8</v>
      </c>
      <c r="R216" s="212">
        <f t="shared" si="36"/>
        <v>112</v>
      </c>
      <c r="S216" s="379" t="s">
        <v>1164</v>
      </c>
      <c r="T216" s="380" t="s">
        <v>1161</v>
      </c>
      <c r="U216" s="280">
        <v>92</v>
      </c>
      <c r="V216" s="280">
        <f t="shared" si="39"/>
        <v>92</v>
      </c>
      <c r="W216" s="280">
        <f t="shared" si="39"/>
        <v>92</v>
      </c>
      <c r="X216" s="276">
        <v>44063</v>
      </c>
      <c r="Y216" s="276">
        <v>44180</v>
      </c>
      <c r="Z216" s="277">
        <v>44211</v>
      </c>
      <c r="AA216" s="273">
        <f t="shared" si="37"/>
        <v>2021</v>
      </c>
      <c r="AB216" s="273">
        <f t="shared" si="38"/>
        <v>1</v>
      </c>
      <c r="AC216" s="278" t="s">
        <v>920</v>
      </c>
      <c r="AD216" s="278" t="s">
        <v>422</v>
      </c>
      <c r="AE216" s="278" t="s">
        <v>422</v>
      </c>
      <c r="AF216" s="278" t="s">
        <v>422</v>
      </c>
      <c r="AG216" s="278" t="s">
        <v>422</v>
      </c>
      <c r="AH216" s="278" t="s">
        <v>422</v>
      </c>
      <c r="AI216" s="278" t="s">
        <v>422</v>
      </c>
      <c r="AJ216" s="278" t="s">
        <v>423</v>
      </c>
      <c r="AK216" s="278" t="s">
        <v>423</v>
      </c>
      <c r="AL216" s="279" t="s">
        <v>140</v>
      </c>
      <c r="AM216" s="241"/>
      <c r="AN216" s="243" t="s">
        <v>1433</v>
      </c>
    </row>
    <row r="217" spans="1:46" ht="15" customHeight="1" x14ac:dyDescent="0.3">
      <c r="A217" s="185">
        <v>175</v>
      </c>
      <c r="B217" s="247" t="s">
        <v>1158</v>
      </c>
      <c r="C217" s="247" t="s">
        <v>1616</v>
      </c>
      <c r="D217" s="200" t="s">
        <v>1848</v>
      </c>
      <c r="E217" s="381" t="s">
        <v>1596</v>
      </c>
      <c r="F217" s="281" t="s">
        <v>1600</v>
      </c>
      <c r="G217" s="248" t="s">
        <v>1596</v>
      </c>
      <c r="H217" s="248" t="s">
        <v>1010</v>
      </c>
      <c r="I217" s="317">
        <v>1</v>
      </c>
      <c r="J217" s="317">
        <v>9</v>
      </c>
      <c r="K217" s="356">
        <v>9</v>
      </c>
      <c r="L217" s="212">
        <v>1</v>
      </c>
      <c r="M217" s="212">
        <f t="shared" si="31"/>
        <v>20</v>
      </c>
      <c r="N217" s="212">
        <f t="shared" si="32"/>
        <v>8</v>
      </c>
      <c r="O217" s="212">
        <f t="shared" si="33"/>
        <v>36</v>
      </c>
      <c r="P217" s="212">
        <f t="shared" si="34"/>
        <v>60</v>
      </c>
      <c r="Q217" s="212">
        <f t="shared" si="35"/>
        <v>8</v>
      </c>
      <c r="R217" s="212">
        <f t="shared" si="36"/>
        <v>112</v>
      </c>
      <c r="S217" s="379" t="s">
        <v>1165</v>
      </c>
      <c r="T217" s="380" t="s">
        <v>1119</v>
      </c>
      <c r="U217" s="280">
        <v>110</v>
      </c>
      <c r="V217" s="280">
        <f t="shared" si="39"/>
        <v>110</v>
      </c>
      <c r="W217" s="280">
        <f t="shared" si="39"/>
        <v>110</v>
      </c>
      <c r="X217" s="276">
        <v>44063</v>
      </c>
      <c r="Y217" s="276">
        <v>44180</v>
      </c>
      <c r="Z217" s="277">
        <v>44211</v>
      </c>
      <c r="AA217" s="273">
        <f t="shared" si="37"/>
        <v>2021</v>
      </c>
      <c r="AB217" s="273">
        <f t="shared" si="38"/>
        <v>1</v>
      </c>
      <c r="AC217" s="278" t="s">
        <v>920</v>
      </c>
      <c r="AD217" s="278" t="s">
        <v>422</v>
      </c>
      <c r="AE217" s="278" t="s">
        <v>422</v>
      </c>
      <c r="AF217" s="278" t="s">
        <v>422</v>
      </c>
      <c r="AG217" s="278" t="s">
        <v>422</v>
      </c>
      <c r="AH217" s="278" t="s">
        <v>422</v>
      </c>
      <c r="AI217" s="278" t="s">
        <v>422</v>
      </c>
      <c r="AJ217" s="278" t="s">
        <v>423</v>
      </c>
      <c r="AK217" s="278" t="s">
        <v>423</v>
      </c>
      <c r="AL217" s="279" t="s">
        <v>140</v>
      </c>
      <c r="AM217" s="241"/>
      <c r="AN217" s="243" t="s">
        <v>1433</v>
      </c>
    </row>
    <row r="218" spans="1:46" ht="15" customHeight="1" x14ac:dyDescent="0.3">
      <c r="A218" s="185">
        <v>176</v>
      </c>
      <c r="B218" s="247" t="s">
        <v>1159</v>
      </c>
      <c r="C218" s="247" t="s">
        <v>1616</v>
      </c>
      <c r="D218" s="200" t="s">
        <v>1848</v>
      </c>
      <c r="E218" s="370" t="s">
        <v>1596</v>
      </c>
      <c r="F218" s="281" t="s">
        <v>1600</v>
      </c>
      <c r="G218" s="317" t="s">
        <v>1596</v>
      </c>
      <c r="H218" s="248" t="s">
        <v>1010</v>
      </c>
      <c r="I218" s="317">
        <v>1</v>
      </c>
      <c r="J218" s="317">
        <v>7</v>
      </c>
      <c r="K218" s="356">
        <v>9</v>
      </c>
      <c r="L218" s="212">
        <v>1</v>
      </c>
      <c r="M218" s="212">
        <f t="shared" si="31"/>
        <v>18</v>
      </c>
      <c r="N218" s="212">
        <f t="shared" si="32"/>
        <v>8</v>
      </c>
      <c r="O218" s="212">
        <f t="shared" si="33"/>
        <v>28</v>
      </c>
      <c r="P218" s="212">
        <f t="shared" si="34"/>
        <v>60</v>
      </c>
      <c r="Q218" s="212">
        <f t="shared" si="35"/>
        <v>8</v>
      </c>
      <c r="R218" s="212">
        <f t="shared" si="36"/>
        <v>104</v>
      </c>
      <c r="S218" s="379" t="s">
        <v>729</v>
      </c>
      <c r="T218" s="380" t="s">
        <v>1125</v>
      </c>
      <c r="U218" s="280">
        <f>60+84</f>
        <v>144</v>
      </c>
      <c r="V218" s="280">
        <f t="shared" si="39"/>
        <v>144</v>
      </c>
      <c r="W218" s="280">
        <f t="shared" si="39"/>
        <v>144</v>
      </c>
      <c r="X218" s="276">
        <v>44063</v>
      </c>
      <c r="Y218" s="276">
        <v>44180</v>
      </c>
      <c r="Z218" s="277">
        <v>44211</v>
      </c>
      <c r="AA218" s="273">
        <f t="shared" si="37"/>
        <v>2021</v>
      </c>
      <c r="AB218" s="273">
        <f t="shared" si="38"/>
        <v>1</v>
      </c>
      <c r="AC218" s="278" t="s">
        <v>920</v>
      </c>
      <c r="AD218" s="278" t="s">
        <v>422</v>
      </c>
      <c r="AE218" s="278" t="s">
        <v>422</v>
      </c>
      <c r="AF218" s="278" t="s">
        <v>422</v>
      </c>
      <c r="AG218" s="278" t="s">
        <v>422</v>
      </c>
      <c r="AH218" s="278" t="s">
        <v>422</v>
      </c>
      <c r="AI218" s="278" t="s">
        <v>422</v>
      </c>
      <c r="AJ218" s="278" t="s">
        <v>423</v>
      </c>
      <c r="AK218" s="278" t="s">
        <v>423</v>
      </c>
      <c r="AL218" s="279" t="s">
        <v>140</v>
      </c>
      <c r="AM218" s="241"/>
      <c r="AN218" s="243" t="s">
        <v>1433</v>
      </c>
    </row>
    <row r="219" spans="1:46" ht="15" customHeight="1" x14ac:dyDescent="0.3">
      <c r="A219" s="185">
        <v>187</v>
      </c>
      <c r="B219" s="247" t="s">
        <v>1199</v>
      </c>
      <c r="C219" s="247" t="s">
        <v>1618</v>
      </c>
      <c r="D219" s="200" t="s">
        <v>1881</v>
      </c>
      <c r="E219" s="247"/>
      <c r="F219" s="281" t="s">
        <v>1598</v>
      </c>
      <c r="G219" s="317" t="s">
        <v>1596</v>
      </c>
      <c r="H219" s="248" t="s">
        <v>1010</v>
      </c>
      <c r="I219" s="317">
        <v>1.2</v>
      </c>
      <c r="J219" s="361">
        <v>8</v>
      </c>
      <c r="K219" s="317">
        <v>15</v>
      </c>
      <c r="L219" s="212">
        <v>1</v>
      </c>
      <c r="M219" s="212">
        <f t="shared" si="31"/>
        <v>25.2</v>
      </c>
      <c r="N219" s="212">
        <f t="shared" si="32"/>
        <v>9.6</v>
      </c>
      <c r="O219" s="212">
        <f t="shared" si="33"/>
        <v>32</v>
      </c>
      <c r="P219" s="212">
        <f t="shared" si="34"/>
        <v>100</v>
      </c>
      <c r="Q219" s="212">
        <f t="shared" si="35"/>
        <v>8</v>
      </c>
      <c r="R219" s="212">
        <f t="shared" si="36"/>
        <v>149.6</v>
      </c>
      <c r="S219" s="379" t="s">
        <v>1264</v>
      </c>
      <c r="T219" s="380" t="s">
        <v>1187</v>
      </c>
      <c r="U219" s="280">
        <v>89</v>
      </c>
      <c r="V219" s="280">
        <v>89</v>
      </c>
      <c r="W219" s="280">
        <v>89</v>
      </c>
      <c r="X219" s="276">
        <v>44073</v>
      </c>
      <c r="Y219" s="276">
        <v>44166</v>
      </c>
      <c r="Z219" s="276">
        <v>44223</v>
      </c>
      <c r="AA219" s="273">
        <f t="shared" si="37"/>
        <v>2021</v>
      </c>
      <c r="AB219" s="273">
        <f t="shared" si="38"/>
        <v>1</v>
      </c>
      <c r="AC219" s="278" t="s">
        <v>920</v>
      </c>
      <c r="AD219" s="278" t="s">
        <v>422</v>
      </c>
      <c r="AE219" s="278" t="s">
        <v>423</v>
      </c>
      <c r="AF219" s="278" t="s">
        <v>422</v>
      </c>
      <c r="AG219" s="278" t="s">
        <v>422</v>
      </c>
      <c r="AH219" s="278" t="s">
        <v>423</v>
      </c>
      <c r="AI219" s="278" t="s">
        <v>422</v>
      </c>
      <c r="AJ219" s="278" t="s">
        <v>423</v>
      </c>
      <c r="AK219" s="278" t="s">
        <v>423</v>
      </c>
      <c r="AL219" s="279" t="s">
        <v>140</v>
      </c>
      <c r="AM219" s="241"/>
      <c r="AN219" s="242" t="s">
        <v>1594</v>
      </c>
    </row>
    <row r="220" spans="1:46" ht="15" customHeight="1" x14ac:dyDescent="0.3">
      <c r="A220" s="185">
        <v>188</v>
      </c>
      <c r="B220" s="247" t="s">
        <v>1200</v>
      </c>
      <c r="C220" s="247" t="s">
        <v>1618</v>
      </c>
      <c r="D220" s="200" t="s">
        <v>1881</v>
      </c>
      <c r="E220" s="281"/>
      <c r="F220" s="281" t="s">
        <v>1598</v>
      </c>
      <c r="G220" s="317" t="s">
        <v>1596</v>
      </c>
      <c r="H220" s="248" t="s">
        <v>1010</v>
      </c>
      <c r="I220" s="317">
        <v>0.8</v>
      </c>
      <c r="J220" s="361">
        <v>8</v>
      </c>
      <c r="K220" s="317">
        <v>15</v>
      </c>
      <c r="L220" s="212">
        <v>1</v>
      </c>
      <c r="M220" s="212">
        <f t="shared" si="31"/>
        <v>24.8</v>
      </c>
      <c r="N220" s="212">
        <f t="shared" si="32"/>
        <v>6.4</v>
      </c>
      <c r="O220" s="212">
        <f t="shared" si="33"/>
        <v>32</v>
      </c>
      <c r="P220" s="212">
        <f t="shared" si="34"/>
        <v>100</v>
      </c>
      <c r="Q220" s="212">
        <f t="shared" si="35"/>
        <v>8</v>
      </c>
      <c r="R220" s="212">
        <f t="shared" si="36"/>
        <v>146.4</v>
      </c>
      <c r="S220" s="379" t="s">
        <v>1264</v>
      </c>
      <c r="T220" s="380" t="s">
        <v>1188</v>
      </c>
      <c r="U220" s="280">
        <v>86</v>
      </c>
      <c r="V220" s="280">
        <v>86</v>
      </c>
      <c r="W220" s="280">
        <v>86</v>
      </c>
      <c r="X220" s="276">
        <v>44073</v>
      </c>
      <c r="Y220" s="276">
        <v>44166</v>
      </c>
      <c r="Z220" s="276">
        <v>44223</v>
      </c>
      <c r="AA220" s="273">
        <f t="shared" si="37"/>
        <v>2021</v>
      </c>
      <c r="AB220" s="273">
        <f t="shared" si="38"/>
        <v>1</v>
      </c>
      <c r="AC220" s="278" t="s">
        <v>920</v>
      </c>
      <c r="AD220" s="278" t="s">
        <v>422</v>
      </c>
      <c r="AE220" s="278" t="s">
        <v>423</v>
      </c>
      <c r="AF220" s="278" t="s">
        <v>422</v>
      </c>
      <c r="AG220" s="278" t="s">
        <v>422</v>
      </c>
      <c r="AH220" s="278" t="s">
        <v>423</v>
      </c>
      <c r="AI220" s="278" t="s">
        <v>422</v>
      </c>
      <c r="AJ220" s="278" t="s">
        <v>423</v>
      </c>
      <c r="AK220" s="278" t="s">
        <v>423</v>
      </c>
      <c r="AL220" s="279" t="s">
        <v>140</v>
      </c>
      <c r="AM220" s="241"/>
      <c r="AN220" s="242" t="s">
        <v>1594</v>
      </c>
    </row>
    <row r="221" spans="1:46" ht="15" customHeight="1" x14ac:dyDescent="0.3">
      <c r="A221" s="185">
        <v>189</v>
      </c>
      <c r="B221" s="247" t="s">
        <v>1201</v>
      </c>
      <c r="C221" s="247" t="s">
        <v>1618</v>
      </c>
      <c r="D221" s="200" t="s">
        <v>1881</v>
      </c>
      <c r="E221" s="281"/>
      <c r="F221" s="281" t="s">
        <v>1598</v>
      </c>
      <c r="G221" s="317" t="s">
        <v>1596</v>
      </c>
      <c r="H221" s="317" t="s">
        <v>1010</v>
      </c>
      <c r="I221" s="317">
        <v>0.9</v>
      </c>
      <c r="J221" s="361">
        <v>8</v>
      </c>
      <c r="K221" s="317">
        <v>12</v>
      </c>
      <c r="L221" s="212">
        <v>1</v>
      </c>
      <c r="M221" s="212">
        <f t="shared" si="31"/>
        <v>21.9</v>
      </c>
      <c r="N221" s="212">
        <f t="shared" si="32"/>
        <v>7.2</v>
      </c>
      <c r="O221" s="212">
        <f t="shared" si="33"/>
        <v>32</v>
      </c>
      <c r="P221" s="212">
        <f t="shared" si="34"/>
        <v>80</v>
      </c>
      <c r="Q221" s="212">
        <f t="shared" si="35"/>
        <v>8</v>
      </c>
      <c r="R221" s="212">
        <f t="shared" si="36"/>
        <v>127.2</v>
      </c>
      <c r="S221" s="379" t="s">
        <v>1265</v>
      </c>
      <c r="T221" s="380" t="s">
        <v>1189</v>
      </c>
      <c r="U221" s="280">
        <v>45</v>
      </c>
      <c r="V221" s="280">
        <v>46</v>
      </c>
      <c r="W221" s="280">
        <v>46</v>
      </c>
      <c r="X221" s="276">
        <v>44073</v>
      </c>
      <c r="Y221" s="276">
        <v>44166</v>
      </c>
      <c r="Z221" s="276">
        <v>44223</v>
      </c>
      <c r="AA221" s="273">
        <f t="shared" si="37"/>
        <v>2021</v>
      </c>
      <c r="AB221" s="273">
        <f t="shared" si="38"/>
        <v>1</v>
      </c>
      <c r="AC221" s="278" t="s">
        <v>920</v>
      </c>
      <c r="AD221" s="278" t="s">
        <v>422</v>
      </c>
      <c r="AE221" s="278" t="s">
        <v>423</v>
      </c>
      <c r="AF221" s="278" t="s">
        <v>422</v>
      </c>
      <c r="AG221" s="278" t="s">
        <v>422</v>
      </c>
      <c r="AH221" s="278" t="s">
        <v>423</v>
      </c>
      <c r="AI221" s="278" t="s">
        <v>422</v>
      </c>
      <c r="AJ221" s="278" t="s">
        <v>423</v>
      </c>
      <c r="AK221" s="278" t="s">
        <v>423</v>
      </c>
      <c r="AL221" s="279" t="s">
        <v>140</v>
      </c>
      <c r="AM221" s="241"/>
      <c r="AN221" s="242" t="s">
        <v>1594</v>
      </c>
      <c r="AO221" s="188"/>
      <c r="AP221" s="188"/>
      <c r="AQ221" s="188"/>
      <c r="AR221" s="188"/>
      <c r="AS221" s="188"/>
      <c r="AT221" s="188"/>
    </row>
    <row r="222" spans="1:46" ht="15" customHeight="1" x14ac:dyDescent="0.3">
      <c r="A222" s="185">
        <v>191</v>
      </c>
      <c r="B222" s="247" t="s">
        <v>1203</v>
      </c>
      <c r="C222" s="247" t="s">
        <v>1618</v>
      </c>
      <c r="D222" s="200" t="s">
        <v>1881</v>
      </c>
      <c r="E222" s="281"/>
      <c r="F222" s="281"/>
      <c r="G222" s="382" t="s">
        <v>1604</v>
      </c>
      <c r="H222" s="317" t="s">
        <v>1956</v>
      </c>
      <c r="I222" s="356">
        <v>2</v>
      </c>
      <c r="J222" s="317">
        <v>7.5</v>
      </c>
      <c r="K222" s="317">
        <v>0</v>
      </c>
      <c r="L222" s="212">
        <v>1</v>
      </c>
      <c r="M222" s="212">
        <f t="shared" si="31"/>
        <v>10.5</v>
      </c>
      <c r="N222" s="212">
        <f t="shared" si="32"/>
        <v>16</v>
      </c>
      <c r="O222" s="212">
        <f t="shared" si="33"/>
        <v>30</v>
      </c>
      <c r="P222" s="212">
        <f t="shared" si="34"/>
        <v>0</v>
      </c>
      <c r="Q222" s="212">
        <f t="shared" si="35"/>
        <v>8</v>
      </c>
      <c r="R222" s="212">
        <f t="shared" si="36"/>
        <v>54</v>
      </c>
      <c r="S222" s="379" t="s">
        <v>1268</v>
      </c>
      <c r="T222" s="380" t="s">
        <v>1190</v>
      </c>
      <c r="U222" s="280">
        <v>210</v>
      </c>
      <c r="V222" s="280">
        <v>210</v>
      </c>
      <c r="W222" s="280">
        <v>210</v>
      </c>
      <c r="X222" s="276">
        <v>44073</v>
      </c>
      <c r="Y222" s="276">
        <v>44166</v>
      </c>
      <c r="Z222" s="276">
        <v>44223</v>
      </c>
      <c r="AA222" s="273">
        <f t="shared" si="37"/>
        <v>2021</v>
      </c>
      <c r="AB222" s="273">
        <f t="shared" si="38"/>
        <v>1</v>
      </c>
      <c r="AC222" s="278" t="s">
        <v>920</v>
      </c>
      <c r="AD222" s="278" t="s">
        <v>422</v>
      </c>
      <c r="AE222" s="278" t="s">
        <v>423</v>
      </c>
      <c r="AF222" s="278" t="s">
        <v>422</v>
      </c>
      <c r="AG222" s="278" t="s">
        <v>422</v>
      </c>
      <c r="AH222" s="278" t="s">
        <v>423</v>
      </c>
      <c r="AI222" s="278" t="s">
        <v>422</v>
      </c>
      <c r="AJ222" s="278" t="s">
        <v>423</v>
      </c>
      <c r="AK222" s="278" t="s">
        <v>423</v>
      </c>
      <c r="AL222" s="279" t="s">
        <v>1240</v>
      </c>
      <c r="AM222" s="241"/>
      <c r="AN222" s="241"/>
      <c r="AO222" s="188"/>
      <c r="AP222" s="188"/>
      <c r="AQ222" s="188"/>
      <c r="AR222" s="188"/>
      <c r="AS222" s="188"/>
      <c r="AT222" s="188"/>
    </row>
    <row r="223" spans="1:46" ht="15" customHeight="1" x14ac:dyDescent="0.3">
      <c r="A223" s="185">
        <v>192</v>
      </c>
      <c r="B223" s="247" t="s">
        <v>1204</v>
      </c>
      <c r="C223" s="247" t="s">
        <v>1618</v>
      </c>
      <c r="D223" s="200" t="s">
        <v>1881</v>
      </c>
      <c r="E223" s="247"/>
      <c r="F223" s="281"/>
      <c r="G223" s="382" t="s">
        <v>1604</v>
      </c>
      <c r="H223" s="248" t="s">
        <v>1956</v>
      </c>
      <c r="I223" s="317">
        <v>5.5</v>
      </c>
      <c r="J223" s="361">
        <v>10</v>
      </c>
      <c r="K223" s="317">
        <v>0</v>
      </c>
      <c r="L223" s="212">
        <v>1</v>
      </c>
      <c r="M223" s="212">
        <f t="shared" si="31"/>
        <v>16.5</v>
      </c>
      <c r="N223" s="212">
        <f t="shared" si="32"/>
        <v>44</v>
      </c>
      <c r="O223" s="212">
        <f t="shared" si="33"/>
        <v>40</v>
      </c>
      <c r="P223" s="212">
        <f t="shared" si="34"/>
        <v>0</v>
      </c>
      <c r="Q223" s="212">
        <f t="shared" si="35"/>
        <v>8</v>
      </c>
      <c r="R223" s="212">
        <f t="shared" si="36"/>
        <v>92</v>
      </c>
      <c r="S223" s="379" t="s">
        <v>1269</v>
      </c>
      <c r="T223" s="380" t="s">
        <v>1191</v>
      </c>
      <c r="U223" s="280">
        <v>210</v>
      </c>
      <c r="V223" s="280">
        <v>210</v>
      </c>
      <c r="W223" s="280">
        <v>210</v>
      </c>
      <c r="X223" s="276">
        <v>44073</v>
      </c>
      <c r="Y223" s="276">
        <v>44166</v>
      </c>
      <c r="Z223" s="276">
        <v>44223</v>
      </c>
      <c r="AA223" s="273">
        <f t="shared" si="37"/>
        <v>2021</v>
      </c>
      <c r="AB223" s="273">
        <f t="shared" si="38"/>
        <v>1</v>
      </c>
      <c r="AC223" s="278" t="s">
        <v>920</v>
      </c>
      <c r="AD223" s="278" t="s">
        <v>422</v>
      </c>
      <c r="AE223" s="278" t="s">
        <v>423</v>
      </c>
      <c r="AF223" s="278" t="s">
        <v>422</v>
      </c>
      <c r="AG223" s="278" t="s">
        <v>422</v>
      </c>
      <c r="AH223" s="278" t="s">
        <v>423</v>
      </c>
      <c r="AI223" s="278" t="s">
        <v>422</v>
      </c>
      <c r="AJ223" s="278" t="s">
        <v>423</v>
      </c>
      <c r="AK223" s="278" t="s">
        <v>423</v>
      </c>
      <c r="AL223" s="279" t="s">
        <v>1240</v>
      </c>
      <c r="AM223" s="241"/>
      <c r="AN223" s="241"/>
    </row>
    <row r="224" spans="1:46" ht="15" customHeight="1" x14ac:dyDescent="0.3">
      <c r="A224" s="185">
        <v>193</v>
      </c>
      <c r="B224" s="247" t="s">
        <v>1205</v>
      </c>
      <c r="C224" s="247" t="s">
        <v>1618</v>
      </c>
      <c r="D224" s="200" t="s">
        <v>1881</v>
      </c>
      <c r="E224" s="247"/>
      <c r="F224" s="383" t="s">
        <v>1598</v>
      </c>
      <c r="G224" s="382" t="s">
        <v>1604</v>
      </c>
      <c r="H224" s="248" t="s">
        <v>1956</v>
      </c>
      <c r="I224" s="317">
        <v>1.8</v>
      </c>
      <c r="J224" s="317">
        <v>13</v>
      </c>
      <c r="K224" s="317">
        <v>0</v>
      </c>
      <c r="L224" s="212">
        <v>1</v>
      </c>
      <c r="M224" s="212">
        <f t="shared" si="31"/>
        <v>15.8</v>
      </c>
      <c r="N224" s="212">
        <f t="shared" si="32"/>
        <v>14.4</v>
      </c>
      <c r="O224" s="212">
        <f t="shared" si="33"/>
        <v>52</v>
      </c>
      <c r="P224" s="212">
        <f t="shared" si="34"/>
        <v>0</v>
      </c>
      <c r="Q224" s="212">
        <f t="shared" si="35"/>
        <v>8</v>
      </c>
      <c r="R224" s="212">
        <f t="shared" si="36"/>
        <v>74.400000000000006</v>
      </c>
      <c r="S224" s="379" t="s">
        <v>1270</v>
      </c>
      <c r="T224" s="380" t="s">
        <v>1192</v>
      </c>
      <c r="U224" s="280">
        <v>90</v>
      </c>
      <c r="V224" s="280">
        <v>90</v>
      </c>
      <c r="W224" s="280">
        <v>90</v>
      </c>
      <c r="X224" s="276">
        <v>44073</v>
      </c>
      <c r="Y224" s="276">
        <v>44166</v>
      </c>
      <c r="Z224" s="276">
        <v>44223</v>
      </c>
      <c r="AA224" s="273">
        <f t="shared" si="37"/>
        <v>2021</v>
      </c>
      <c r="AB224" s="273">
        <f t="shared" si="38"/>
        <v>1</v>
      </c>
      <c r="AC224" s="278" t="s">
        <v>920</v>
      </c>
      <c r="AD224" s="278" t="s">
        <v>422</v>
      </c>
      <c r="AE224" s="278" t="s">
        <v>422</v>
      </c>
      <c r="AF224" s="278" t="s">
        <v>422</v>
      </c>
      <c r="AG224" s="278" t="s">
        <v>422</v>
      </c>
      <c r="AH224" s="278" t="s">
        <v>422</v>
      </c>
      <c r="AI224" s="278" t="s">
        <v>422</v>
      </c>
      <c r="AJ224" s="278" t="s">
        <v>423</v>
      </c>
      <c r="AK224" s="278" t="s">
        <v>423</v>
      </c>
      <c r="AL224" s="279" t="s">
        <v>1240</v>
      </c>
      <c r="AM224" s="241"/>
      <c r="AN224" s="241"/>
    </row>
    <row r="225" spans="1:40" ht="15" customHeight="1" x14ac:dyDescent="0.3">
      <c r="A225" s="185">
        <v>211</v>
      </c>
      <c r="B225" s="230" t="s">
        <v>1224</v>
      </c>
      <c r="C225" s="247" t="s">
        <v>1615</v>
      </c>
      <c r="D225" s="200" t="s">
        <v>1881</v>
      </c>
      <c r="E225" s="230"/>
      <c r="F225" s="383" t="s">
        <v>1598</v>
      </c>
      <c r="G225" s="382" t="s">
        <v>1604</v>
      </c>
      <c r="H225" s="248" t="s">
        <v>422</v>
      </c>
      <c r="I225" s="317">
        <v>1.8</v>
      </c>
      <c r="J225" s="317">
        <v>10.5</v>
      </c>
      <c r="K225" s="317">
        <v>0</v>
      </c>
      <c r="L225" s="212">
        <v>1</v>
      </c>
      <c r="M225" s="212">
        <f t="shared" si="31"/>
        <v>13.3</v>
      </c>
      <c r="N225" s="212">
        <f t="shared" si="32"/>
        <v>14.4</v>
      </c>
      <c r="O225" s="212">
        <f t="shared" si="33"/>
        <v>42</v>
      </c>
      <c r="P225" s="212">
        <f t="shared" si="34"/>
        <v>0</v>
      </c>
      <c r="Q225" s="212">
        <f t="shared" si="35"/>
        <v>8</v>
      </c>
      <c r="R225" s="212">
        <f t="shared" si="36"/>
        <v>64.400000000000006</v>
      </c>
      <c r="S225" s="384" t="s">
        <v>1235</v>
      </c>
      <c r="T225" s="384" t="s">
        <v>1255</v>
      </c>
      <c r="U225" s="280">
        <v>70</v>
      </c>
      <c r="V225" s="280">
        <v>72</v>
      </c>
      <c r="W225" s="280">
        <v>72</v>
      </c>
      <c r="X225" s="374">
        <v>44089</v>
      </c>
      <c r="Y225" s="374">
        <v>44211</v>
      </c>
      <c r="Z225" s="276">
        <v>44211</v>
      </c>
      <c r="AA225" s="273">
        <f t="shared" si="37"/>
        <v>2021</v>
      </c>
      <c r="AB225" s="273">
        <f t="shared" si="38"/>
        <v>1</v>
      </c>
      <c r="AC225" s="278" t="s">
        <v>920</v>
      </c>
      <c r="AD225" s="278" t="s">
        <v>422</v>
      </c>
      <c r="AE225" s="278" t="s">
        <v>422</v>
      </c>
      <c r="AF225" s="278" t="s">
        <v>422</v>
      </c>
      <c r="AG225" s="278" t="s">
        <v>422</v>
      </c>
      <c r="AH225" s="278" t="s">
        <v>422</v>
      </c>
      <c r="AI225" s="278" t="s">
        <v>423</v>
      </c>
      <c r="AJ225" s="278" t="s">
        <v>423</v>
      </c>
      <c r="AK225" s="278" t="s">
        <v>423</v>
      </c>
      <c r="AL225" s="279" t="s">
        <v>138</v>
      </c>
      <c r="AM225" s="241"/>
      <c r="AN225" s="241"/>
    </row>
    <row r="226" spans="1:40" ht="15" customHeight="1" x14ac:dyDescent="0.3">
      <c r="A226" s="185">
        <v>216</v>
      </c>
      <c r="B226" s="230" t="s">
        <v>1229</v>
      </c>
      <c r="C226" s="247" t="s">
        <v>1615</v>
      </c>
      <c r="D226" s="200" t="s">
        <v>1881</v>
      </c>
      <c r="E226" s="370" t="s">
        <v>1596</v>
      </c>
      <c r="F226" s="383" t="s">
        <v>1600</v>
      </c>
      <c r="G226" s="382" t="s">
        <v>1604</v>
      </c>
      <c r="H226" s="248" t="s">
        <v>1943</v>
      </c>
      <c r="I226" s="356">
        <v>1</v>
      </c>
      <c r="J226" s="317">
        <v>10</v>
      </c>
      <c r="K226" s="317">
        <v>0</v>
      </c>
      <c r="L226" s="212">
        <v>1</v>
      </c>
      <c r="M226" s="212">
        <f t="shared" si="31"/>
        <v>12</v>
      </c>
      <c r="N226" s="212">
        <f t="shared" si="32"/>
        <v>8</v>
      </c>
      <c r="O226" s="212">
        <f t="shared" si="33"/>
        <v>40</v>
      </c>
      <c r="P226" s="212">
        <f t="shared" si="34"/>
        <v>0</v>
      </c>
      <c r="Q226" s="212">
        <f t="shared" si="35"/>
        <v>8</v>
      </c>
      <c r="R226" s="212">
        <f t="shared" si="36"/>
        <v>56</v>
      </c>
      <c r="S226" s="384" t="s">
        <v>1233</v>
      </c>
      <c r="T226" s="384" t="s">
        <v>1260</v>
      </c>
      <c r="U226" s="280">
        <v>112</v>
      </c>
      <c r="V226" s="280">
        <v>112</v>
      </c>
      <c r="W226" s="280">
        <v>112</v>
      </c>
      <c r="X226" s="374">
        <v>44089</v>
      </c>
      <c r="Y226" s="374">
        <v>44211</v>
      </c>
      <c r="Z226" s="276">
        <v>44211</v>
      </c>
      <c r="AA226" s="273">
        <f t="shared" si="37"/>
        <v>2021</v>
      </c>
      <c r="AB226" s="273">
        <f t="shared" si="38"/>
        <v>1</v>
      </c>
      <c r="AC226" s="278" t="s">
        <v>920</v>
      </c>
      <c r="AD226" s="278" t="s">
        <v>422</v>
      </c>
      <c r="AE226" s="278" t="s">
        <v>422</v>
      </c>
      <c r="AF226" s="278" t="s">
        <v>422</v>
      </c>
      <c r="AG226" s="278" t="s">
        <v>422</v>
      </c>
      <c r="AH226" s="278" t="s">
        <v>422</v>
      </c>
      <c r="AI226" s="278" t="s">
        <v>423</v>
      </c>
      <c r="AJ226" s="278" t="s">
        <v>422</v>
      </c>
      <c r="AK226" s="278" t="s">
        <v>423</v>
      </c>
      <c r="AL226" s="279" t="s">
        <v>1372</v>
      </c>
      <c r="AM226" s="241"/>
      <c r="AN226" s="241"/>
    </row>
    <row r="227" spans="1:40" ht="15" customHeight="1" x14ac:dyDescent="0.3">
      <c r="A227" s="185">
        <v>257</v>
      </c>
      <c r="B227" s="230" t="s">
        <v>1374</v>
      </c>
      <c r="C227" s="247" t="s">
        <v>1618</v>
      </c>
      <c r="D227" s="200" t="s">
        <v>1881</v>
      </c>
      <c r="E227" s="383"/>
      <c r="F227" s="383"/>
      <c r="G227" s="368" t="s">
        <v>1604</v>
      </c>
      <c r="H227" s="248" t="s">
        <v>422</v>
      </c>
      <c r="I227" s="356">
        <v>2</v>
      </c>
      <c r="J227" s="317">
        <v>7.5</v>
      </c>
      <c r="K227" s="317">
        <v>0</v>
      </c>
      <c r="L227" s="212">
        <v>1.5</v>
      </c>
      <c r="M227" s="212">
        <f t="shared" si="31"/>
        <v>11</v>
      </c>
      <c r="N227" s="212">
        <f t="shared" si="32"/>
        <v>16</v>
      </c>
      <c r="O227" s="212">
        <f t="shared" si="33"/>
        <v>30</v>
      </c>
      <c r="P227" s="212">
        <f t="shared" si="34"/>
        <v>0</v>
      </c>
      <c r="Q227" s="212">
        <f t="shared" si="35"/>
        <v>12</v>
      </c>
      <c r="R227" s="212">
        <f t="shared" si="36"/>
        <v>58</v>
      </c>
      <c r="S227" s="384" t="s">
        <v>1380</v>
      </c>
      <c r="T227" s="384" t="s">
        <v>1380</v>
      </c>
      <c r="U227" s="280">
        <v>80</v>
      </c>
      <c r="V227" s="280">
        <v>81</v>
      </c>
      <c r="W227" s="280">
        <v>81</v>
      </c>
      <c r="X227" s="374">
        <v>44123</v>
      </c>
      <c r="Y227" s="374">
        <v>44173</v>
      </c>
      <c r="Z227" s="276">
        <v>44223</v>
      </c>
      <c r="AA227" s="273">
        <f t="shared" si="37"/>
        <v>2021</v>
      </c>
      <c r="AB227" s="273">
        <f t="shared" si="38"/>
        <v>1</v>
      </c>
      <c r="AC227" s="278" t="s">
        <v>920</v>
      </c>
      <c r="AD227" s="278" t="s">
        <v>422</v>
      </c>
      <c r="AE227" s="278" t="s">
        <v>423</v>
      </c>
      <c r="AF227" s="278" t="s">
        <v>422</v>
      </c>
      <c r="AG227" s="278" t="s">
        <v>422</v>
      </c>
      <c r="AH227" s="278" t="s">
        <v>422</v>
      </c>
      <c r="AI227" s="278" t="s">
        <v>423</v>
      </c>
      <c r="AJ227" s="278" t="s">
        <v>423</v>
      </c>
      <c r="AK227" s="278" t="s">
        <v>423</v>
      </c>
      <c r="AL227" s="279" t="s">
        <v>1240</v>
      </c>
      <c r="AM227" s="241"/>
      <c r="AN227" s="241"/>
    </row>
    <row r="228" spans="1:40" ht="15" customHeight="1" x14ac:dyDescent="0.3">
      <c r="A228" s="185">
        <v>258</v>
      </c>
      <c r="B228" s="230" t="s">
        <v>1375</v>
      </c>
      <c r="C228" s="247" t="s">
        <v>1618</v>
      </c>
      <c r="D228" s="200" t="s">
        <v>1881</v>
      </c>
      <c r="E228" s="383"/>
      <c r="F228" s="383" t="s">
        <v>1600</v>
      </c>
      <c r="G228" s="368" t="s">
        <v>1604</v>
      </c>
      <c r="H228" s="248" t="s">
        <v>422</v>
      </c>
      <c r="I228" s="356">
        <v>1.5</v>
      </c>
      <c r="J228" s="317">
        <v>6.3</v>
      </c>
      <c r="K228" s="317">
        <v>5.5</v>
      </c>
      <c r="L228" s="212">
        <v>1</v>
      </c>
      <c r="M228" s="212">
        <f t="shared" si="31"/>
        <v>14.3</v>
      </c>
      <c r="N228" s="212">
        <f t="shared" si="32"/>
        <v>12</v>
      </c>
      <c r="O228" s="212">
        <f t="shared" si="33"/>
        <v>25.2</v>
      </c>
      <c r="P228" s="212">
        <f t="shared" si="34"/>
        <v>36.666666666666671</v>
      </c>
      <c r="Q228" s="212">
        <f t="shared" si="35"/>
        <v>8</v>
      </c>
      <c r="R228" s="212">
        <f t="shared" si="36"/>
        <v>81.866666666666674</v>
      </c>
      <c r="S228" s="384" t="s">
        <v>1381</v>
      </c>
      <c r="T228" s="384" t="s">
        <v>1381</v>
      </c>
      <c r="U228" s="280">
        <v>80</v>
      </c>
      <c r="V228" s="280">
        <v>80</v>
      </c>
      <c r="W228" s="280">
        <v>80</v>
      </c>
      <c r="X228" s="374">
        <v>44123</v>
      </c>
      <c r="Y228" s="374">
        <v>44173</v>
      </c>
      <c r="Z228" s="276">
        <v>44223</v>
      </c>
      <c r="AA228" s="273">
        <f t="shared" si="37"/>
        <v>2021</v>
      </c>
      <c r="AB228" s="273">
        <f t="shared" si="38"/>
        <v>1</v>
      </c>
      <c r="AC228" s="278" t="s">
        <v>920</v>
      </c>
      <c r="AD228" s="278" t="s">
        <v>422</v>
      </c>
      <c r="AE228" s="278" t="s">
        <v>423</v>
      </c>
      <c r="AF228" s="278" t="s">
        <v>422</v>
      </c>
      <c r="AG228" s="278" t="s">
        <v>422</v>
      </c>
      <c r="AH228" s="278" t="s">
        <v>422</v>
      </c>
      <c r="AI228" s="278" t="s">
        <v>423</v>
      </c>
      <c r="AJ228" s="278" t="s">
        <v>423</v>
      </c>
      <c r="AK228" s="278" t="s">
        <v>423</v>
      </c>
      <c r="AL228" s="279" t="s">
        <v>1240</v>
      </c>
      <c r="AM228" s="241"/>
      <c r="AN228" s="241"/>
    </row>
    <row r="229" spans="1:40" ht="15" customHeight="1" x14ac:dyDescent="0.3">
      <c r="A229" s="185">
        <v>259</v>
      </c>
      <c r="B229" s="230" t="s">
        <v>1376</v>
      </c>
      <c r="C229" s="247" t="s">
        <v>1618</v>
      </c>
      <c r="D229" s="200" t="s">
        <v>1881</v>
      </c>
      <c r="E229" s="383"/>
      <c r="F229" s="383" t="s">
        <v>1598</v>
      </c>
      <c r="G229" s="368" t="s">
        <v>1604</v>
      </c>
      <c r="H229" s="248" t="s">
        <v>1956</v>
      </c>
      <c r="I229" s="317">
        <v>0.8</v>
      </c>
      <c r="J229" s="317">
        <v>5</v>
      </c>
      <c r="K229" s="317">
        <v>0</v>
      </c>
      <c r="L229" s="212">
        <v>1</v>
      </c>
      <c r="M229" s="212">
        <f t="shared" si="31"/>
        <v>6.8</v>
      </c>
      <c r="N229" s="212">
        <f t="shared" si="32"/>
        <v>6.4</v>
      </c>
      <c r="O229" s="212">
        <f t="shared" si="33"/>
        <v>20</v>
      </c>
      <c r="P229" s="212">
        <f t="shared" si="34"/>
        <v>0</v>
      </c>
      <c r="Q229" s="212">
        <f t="shared" si="35"/>
        <v>8</v>
      </c>
      <c r="R229" s="212">
        <f t="shared" si="36"/>
        <v>34.4</v>
      </c>
      <c r="S229" s="384" t="s">
        <v>1382</v>
      </c>
      <c r="T229" s="384" t="s">
        <v>1383</v>
      </c>
      <c r="U229" s="280">
        <v>80</v>
      </c>
      <c r="V229" s="280">
        <v>80</v>
      </c>
      <c r="W229" s="280">
        <v>80</v>
      </c>
      <c r="X229" s="374">
        <v>44123</v>
      </c>
      <c r="Y229" s="374">
        <v>44173</v>
      </c>
      <c r="Z229" s="276">
        <v>44223</v>
      </c>
      <c r="AA229" s="273">
        <f t="shared" si="37"/>
        <v>2021</v>
      </c>
      <c r="AB229" s="273">
        <f t="shared" si="38"/>
        <v>1</v>
      </c>
      <c r="AC229" s="278" t="s">
        <v>920</v>
      </c>
      <c r="AD229" s="278" t="s">
        <v>422</v>
      </c>
      <c r="AE229" s="278" t="s">
        <v>422</v>
      </c>
      <c r="AF229" s="278" t="s">
        <v>422</v>
      </c>
      <c r="AG229" s="278" t="s">
        <v>422</v>
      </c>
      <c r="AH229" s="278" t="s">
        <v>422</v>
      </c>
      <c r="AI229" s="278" t="s">
        <v>423</v>
      </c>
      <c r="AJ229" s="278" t="s">
        <v>423</v>
      </c>
      <c r="AK229" s="278" t="s">
        <v>423</v>
      </c>
      <c r="AL229" s="279" t="s">
        <v>1240</v>
      </c>
      <c r="AM229" s="241"/>
      <c r="AN229" s="241"/>
    </row>
    <row r="230" spans="1:40" ht="15" customHeight="1" x14ac:dyDescent="0.3">
      <c r="A230" s="185">
        <v>260</v>
      </c>
      <c r="B230" s="230" t="s">
        <v>1377</v>
      </c>
      <c r="C230" s="247" t="s">
        <v>1618</v>
      </c>
      <c r="D230" s="200" t="s">
        <v>1881</v>
      </c>
      <c r="E230" s="383"/>
      <c r="F230" s="383" t="s">
        <v>1598</v>
      </c>
      <c r="G230" s="368" t="s">
        <v>1604</v>
      </c>
      <c r="H230" s="248" t="s">
        <v>422</v>
      </c>
      <c r="I230" s="317">
        <v>1.8</v>
      </c>
      <c r="J230" s="361">
        <v>11</v>
      </c>
      <c r="K230" s="317">
        <v>0</v>
      </c>
      <c r="L230" s="212">
        <v>1</v>
      </c>
      <c r="M230" s="212">
        <f t="shared" si="31"/>
        <v>13.8</v>
      </c>
      <c r="N230" s="212">
        <f t="shared" si="32"/>
        <v>14.4</v>
      </c>
      <c r="O230" s="212">
        <f t="shared" si="33"/>
        <v>44</v>
      </c>
      <c r="P230" s="212">
        <f t="shared" si="34"/>
        <v>0</v>
      </c>
      <c r="Q230" s="212">
        <f t="shared" si="35"/>
        <v>8</v>
      </c>
      <c r="R230" s="212">
        <f t="shared" si="36"/>
        <v>66.400000000000006</v>
      </c>
      <c r="S230" s="384" t="s">
        <v>1270</v>
      </c>
      <c r="T230" s="384" t="s">
        <v>1270</v>
      </c>
      <c r="U230" s="280">
        <v>45</v>
      </c>
      <c r="V230" s="280">
        <v>45</v>
      </c>
      <c r="W230" s="280">
        <v>45</v>
      </c>
      <c r="X230" s="374">
        <v>44123</v>
      </c>
      <c r="Y230" s="374">
        <v>44173</v>
      </c>
      <c r="Z230" s="276">
        <v>44223</v>
      </c>
      <c r="AA230" s="273">
        <f t="shared" si="37"/>
        <v>2021</v>
      </c>
      <c r="AB230" s="273">
        <f t="shared" si="38"/>
        <v>1</v>
      </c>
      <c r="AC230" s="278" t="s">
        <v>920</v>
      </c>
      <c r="AD230" s="278" t="s">
        <v>422</v>
      </c>
      <c r="AE230" s="278" t="s">
        <v>422</v>
      </c>
      <c r="AF230" s="278" t="s">
        <v>422</v>
      </c>
      <c r="AG230" s="278" t="s">
        <v>422</v>
      </c>
      <c r="AH230" s="278" t="s">
        <v>422</v>
      </c>
      <c r="AI230" s="278" t="s">
        <v>423</v>
      </c>
      <c r="AJ230" s="278" t="s">
        <v>423</v>
      </c>
      <c r="AK230" s="278" t="s">
        <v>423</v>
      </c>
      <c r="AL230" s="279" t="s">
        <v>1240</v>
      </c>
      <c r="AM230" s="241"/>
      <c r="AN230" s="241"/>
    </row>
    <row r="231" spans="1:40" ht="15" customHeight="1" x14ac:dyDescent="0.3">
      <c r="A231" s="185">
        <v>261</v>
      </c>
      <c r="B231" s="230" t="s">
        <v>1378</v>
      </c>
      <c r="C231" s="247" t="s">
        <v>1618</v>
      </c>
      <c r="D231" s="200" t="s">
        <v>1881</v>
      </c>
      <c r="E231" s="230"/>
      <c r="F231" s="383" t="s">
        <v>1598</v>
      </c>
      <c r="G231" s="368" t="s">
        <v>1604</v>
      </c>
      <c r="H231" s="248" t="s">
        <v>422</v>
      </c>
      <c r="I231" s="317">
        <v>1.8</v>
      </c>
      <c r="J231" s="317">
        <v>7.8</v>
      </c>
      <c r="K231" s="317">
        <v>0</v>
      </c>
      <c r="L231" s="212">
        <v>1</v>
      </c>
      <c r="M231" s="212">
        <f t="shared" si="31"/>
        <v>10.6</v>
      </c>
      <c r="N231" s="212">
        <f t="shared" si="32"/>
        <v>14.4</v>
      </c>
      <c r="O231" s="212">
        <f t="shared" si="33"/>
        <v>31.2</v>
      </c>
      <c r="P231" s="212">
        <f t="shared" si="34"/>
        <v>0</v>
      </c>
      <c r="Q231" s="212">
        <f t="shared" si="35"/>
        <v>8</v>
      </c>
      <c r="R231" s="212">
        <f t="shared" si="36"/>
        <v>53.6</v>
      </c>
      <c r="S231" s="384" t="s">
        <v>1384</v>
      </c>
      <c r="T231" s="384" t="s">
        <v>1385</v>
      </c>
      <c r="U231" s="280">
        <v>90</v>
      </c>
      <c r="V231" s="280">
        <v>91</v>
      </c>
      <c r="W231" s="280">
        <v>91</v>
      </c>
      <c r="X231" s="374">
        <v>44123</v>
      </c>
      <c r="Y231" s="374">
        <v>44173</v>
      </c>
      <c r="Z231" s="276">
        <v>44223</v>
      </c>
      <c r="AA231" s="273">
        <f t="shared" si="37"/>
        <v>2021</v>
      </c>
      <c r="AB231" s="273">
        <f t="shared" si="38"/>
        <v>1</v>
      </c>
      <c r="AC231" s="278" t="s">
        <v>920</v>
      </c>
      <c r="AD231" s="278" t="s">
        <v>422</v>
      </c>
      <c r="AE231" s="278" t="s">
        <v>423</v>
      </c>
      <c r="AF231" s="278" t="s">
        <v>422</v>
      </c>
      <c r="AG231" s="278" t="s">
        <v>422</v>
      </c>
      <c r="AH231" s="278" t="s">
        <v>422</v>
      </c>
      <c r="AI231" s="278" t="s">
        <v>423</v>
      </c>
      <c r="AJ231" s="278" t="s">
        <v>423</v>
      </c>
      <c r="AK231" s="278" t="s">
        <v>423</v>
      </c>
      <c r="AL231" s="279" t="s">
        <v>1240</v>
      </c>
      <c r="AM231" s="241"/>
      <c r="AN231" s="241"/>
    </row>
    <row r="232" spans="1:40" ht="15" customHeight="1" x14ac:dyDescent="0.3">
      <c r="A232" s="185">
        <v>194</v>
      </c>
      <c r="B232" s="230" t="s">
        <v>1206</v>
      </c>
      <c r="C232" s="247" t="s">
        <v>1616</v>
      </c>
      <c r="D232" s="200" t="s">
        <v>1848</v>
      </c>
      <c r="E232" s="370" t="s">
        <v>1596</v>
      </c>
      <c r="F232" s="383"/>
      <c r="G232" s="383" t="s">
        <v>1953</v>
      </c>
      <c r="H232" s="248" t="s">
        <v>422</v>
      </c>
      <c r="I232" s="356">
        <v>1</v>
      </c>
      <c r="J232" s="317">
        <v>2.5</v>
      </c>
      <c r="K232" s="317">
        <v>5.5</v>
      </c>
      <c r="L232" s="212">
        <v>0.5</v>
      </c>
      <c r="M232" s="212">
        <f t="shared" si="31"/>
        <v>9.5</v>
      </c>
      <c r="N232" s="212">
        <f t="shared" si="32"/>
        <v>8</v>
      </c>
      <c r="O232" s="212">
        <f t="shared" si="33"/>
        <v>10</v>
      </c>
      <c r="P232" s="212">
        <f t="shared" si="34"/>
        <v>36.666666666666671</v>
      </c>
      <c r="Q232" s="212">
        <f t="shared" si="35"/>
        <v>4</v>
      </c>
      <c r="R232" s="212">
        <f t="shared" si="36"/>
        <v>58.666666666666671</v>
      </c>
      <c r="S232" s="384" t="s">
        <v>731</v>
      </c>
      <c r="T232" s="384" t="s">
        <v>1112</v>
      </c>
      <c r="U232" s="385">
        <v>90</v>
      </c>
      <c r="V232" s="280">
        <v>90</v>
      </c>
      <c r="W232" s="280">
        <v>90</v>
      </c>
      <c r="X232" s="374">
        <v>44091</v>
      </c>
      <c r="Y232" s="374">
        <v>44211</v>
      </c>
      <c r="Z232" s="276">
        <v>44253</v>
      </c>
      <c r="AA232" s="273">
        <f t="shared" si="37"/>
        <v>2021</v>
      </c>
      <c r="AB232" s="273">
        <f t="shared" si="38"/>
        <v>2</v>
      </c>
      <c r="AC232" s="278" t="s">
        <v>920</v>
      </c>
      <c r="AD232" s="278" t="s">
        <v>422</v>
      </c>
      <c r="AE232" s="278" t="s">
        <v>423</v>
      </c>
      <c r="AF232" s="278" t="s">
        <v>422</v>
      </c>
      <c r="AG232" s="278" t="s">
        <v>422</v>
      </c>
      <c r="AH232" s="278" t="s">
        <v>422</v>
      </c>
      <c r="AI232" s="278" t="s">
        <v>422</v>
      </c>
      <c r="AJ232" s="278" t="s">
        <v>423</v>
      </c>
      <c r="AK232" s="278" t="s">
        <v>423</v>
      </c>
      <c r="AL232" s="279" t="s">
        <v>140</v>
      </c>
      <c r="AM232" s="241"/>
      <c r="AN232" s="241"/>
    </row>
    <row r="233" spans="1:40" ht="15" customHeight="1" x14ac:dyDescent="0.3">
      <c r="A233" s="185">
        <v>195</v>
      </c>
      <c r="B233" s="230" t="s">
        <v>1207</v>
      </c>
      <c r="C233" s="247" t="s">
        <v>1616</v>
      </c>
      <c r="D233" s="200" t="s">
        <v>1848</v>
      </c>
      <c r="E233" s="381" t="s">
        <v>1596</v>
      </c>
      <c r="F233" s="383"/>
      <c r="G233" s="383" t="s">
        <v>1953</v>
      </c>
      <c r="H233" s="248" t="s">
        <v>422</v>
      </c>
      <c r="I233" s="356">
        <v>1</v>
      </c>
      <c r="J233" s="317">
        <v>2.5</v>
      </c>
      <c r="K233" s="356">
        <v>5.5</v>
      </c>
      <c r="L233" s="212">
        <v>0.5</v>
      </c>
      <c r="M233" s="212">
        <f t="shared" si="31"/>
        <v>9.5</v>
      </c>
      <c r="N233" s="212">
        <f t="shared" si="32"/>
        <v>8</v>
      </c>
      <c r="O233" s="212">
        <f t="shared" si="33"/>
        <v>10</v>
      </c>
      <c r="P233" s="212">
        <f t="shared" si="34"/>
        <v>36.666666666666671</v>
      </c>
      <c r="Q233" s="212">
        <f t="shared" si="35"/>
        <v>4</v>
      </c>
      <c r="R233" s="212">
        <f t="shared" si="36"/>
        <v>58.666666666666671</v>
      </c>
      <c r="S233" s="384" t="s">
        <v>732</v>
      </c>
      <c r="T233" s="384" t="s">
        <v>1113</v>
      </c>
      <c r="U233" s="385">
        <f>56+86</f>
        <v>142</v>
      </c>
      <c r="V233" s="280">
        <v>142</v>
      </c>
      <c r="W233" s="280">
        <v>142</v>
      </c>
      <c r="X233" s="374">
        <v>44091</v>
      </c>
      <c r="Y233" s="374">
        <v>44211</v>
      </c>
      <c r="Z233" s="276">
        <v>44253</v>
      </c>
      <c r="AA233" s="273">
        <f t="shared" si="37"/>
        <v>2021</v>
      </c>
      <c r="AB233" s="273">
        <f t="shared" si="38"/>
        <v>2</v>
      </c>
      <c r="AC233" s="278" t="s">
        <v>920</v>
      </c>
      <c r="AD233" s="278" t="s">
        <v>422</v>
      </c>
      <c r="AE233" s="278" t="s">
        <v>423</v>
      </c>
      <c r="AF233" s="278" t="s">
        <v>422</v>
      </c>
      <c r="AG233" s="278" t="s">
        <v>422</v>
      </c>
      <c r="AH233" s="278" t="s">
        <v>422</v>
      </c>
      <c r="AI233" s="278" t="s">
        <v>422</v>
      </c>
      <c r="AJ233" s="278" t="s">
        <v>423</v>
      </c>
      <c r="AK233" s="278" t="s">
        <v>423</v>
      </c>
      <c r="AL233" s="279" t="s">
        <v>140</v>
      </c>
      <c r="AM233" s="241"/>
      <c r="AN233" s="241"/>
    </row>
    <row r="234" spans="1:40" ht="15" customHeight="1" x14ac:dyDescent="0.3">
      <c r="A234" s="185">
        <v>196</v>
      </c>
      <c r="B234" s="230" t="s">
        <v>1208</v>
      </c>
      <c r="C234" s="247" t="s">
        <v>1616</v>
      </c>
      <c r="D234" s="200" t="s">
        <v>1848</v>
      </c>
      <c r="E234" s="381" t="s">
        <v>1596</v>
      </c>
      <c r="F234" s="383"/>
      <c r="G234" s="383" t="s">
        <v>1953</v>
      </c>
      <c r="H234" s="317" t="s">
        <v>422</v>
      </c>
      <c r="I234" s="356">
        <v>2</v>
      </c>
      <c r="J234" s="317">
        <v>4.7</v>
      </c>
      <c r="K234" s="317">
        <v>8</v>
      </c>
      <c r="L234" s="212">
        <v>1</v>
      </c>
      <c r="M234" s="212">
        <f t="shared" si="31"/>
        <v>15.7</v>
      </c>
      <c r="N234" s="212">
        <f t="shared" si="32"/>
        <v>16</v>
      </c>
      <c r="O234" s="212">
        <f t="shared" si="33"/>
        <v>18.8</v>
      </c>
      <c r="P234" s="212">
        <f t="shared" si="34"/>
        <v>53.333333333333336</v>
      </c>
      <c r="Q234" s="212">
        <f t="shared" si="35"/>
        <v>8</v>
      </c>
      <c r="R234" s="212">
        <f t="shared" si="36"/>
        <v>96.133333333333326</v>
      </c>
      <c r="S234" s="384" t="s">
        <v>734</v>
      </c>
      <c r="T234" s="384" t="s">
        <v>1115</v>
      </c>
      <c r="U234" s="385">
        <v>46</v>
      </c>
      <c r="V234" s="280">
        <v>46</v>
      </c>
      <c r="W234" s="280">
        <v>46</v>
      </c>
      <c r="X234" s="374">
        <v>44091</v>
      </c>
      <c r="Y234" s="374">
        <v>44211</v>
      </c>
      <c r="Z234" s="276">
        <v>44253</v>
      </c>
      <c r="AA234" s="273">
        <f t="shared" si="37"/>
        <v>2021</v>
      </c>
      <c r="AB234" s="273">
        <f t="shared" si="38"/>
        <v>2</v>
      </c>
      <c r="AC234" s="278" t="s">
        <v>920</v>
      </c>
      <c r="AD234" s="278" t="s">
        <v>422</v>
      </c>
      <c r="AE234" s="278" t="s">
        <v>423</v>
      </c>
      <c r="AF234" s="278" t="s">
        <v>422</v>
      </c>
      <c r="AG234" s="278" t="s">
        <v>422</v>
      </c>
      <c r="AH234" s="278" t="s">
        <v>422</v>
      </c>
      <c r="AI234" s="278" t="s">
        <v>422</v>
      </c>
      <c r="AJ234" s="278" t="s">
        <v>423</v>
      </c>
      <c r="AK234" s="278" t="s">
        <v>423</v>
      </c>
      <c r="AL234" s="279" t="s">
        <v>140</v>
      </c>
      <c r="AM234" s="241"/>
      <c r="AN234" s="241"/>
    </row>
    <row r="235" spans="1:40" ht="15" customHeight="1" x14ac:dyDescent="0.3">
      <c r="A235" s="185">
        <v>197</v>
      </c>
      <c r="B235" s="230" t="s">
        <v>1209</v>
      </c>
      <c r="C235" s="247" t="s">
        <v>1616</v>
      </c>
      <c r="D235" s="200" t="s">
        <v>1848</v>
      </c>
      <c r="E235" s="381" t="s">
        <v>1596</v>
      </c>
      <c r="F235" s="383"/>
      <c r="G235" s="383" t="s">
        <v>1953</v>
      </c>
      <c r="H235" s="317" t="s">
        <v>422</v>
      </c>
      <c r="I235" s="356">
        <v>2</v>
      </c>
      <c r="J235" s="317">
        <v>9</v>
      </c>
      <c r="K235" s="356">
        <v>9</v>
      </c>
      <c r="L235" s="212">
        <v>1</v>
      </c>
      <c r="M235" s="212">
        <f t="shared" si="31"/>
        <v>21</v>
      </c>
      <c r="N235" s="212">
        <f t="shared" si="32"/>
        <v>16</v>
      </c>
      <c r="O235" s="212">
        <f t="shared" si="33"/>
        <v>36</v>
      </c>
      <c r="P235" s="212">
        <f t="shared" si="34"/>
        <v>60</v>
      </c>
      <c r="Q235" s="212">
        <f t="shared" si="35"/>
        <v>8</v>
      </c>
      <c r="R235" s="212">
        <f t="shared" si="36"/>
        <v>120</v>
      </c>
      <c r="S235" s="384" t="s">
        <v>1163</v>
      </c>
      <c r="T235" s="384" t="s">
        <v>1117</v>
      </c>
      <c r="U235" s="385">
        <f>106+80+52+72</f>
        <v>310</v>
      </c>
      <c r="V235" s="280">
        <v>310</v>
      </c>
      <c r="W235" s="280">
        <v>310</v>
      </c>
      <c r="X235" s="374">
        <v>44091</v>
      </c>
      <c r="Y235" s="374">
        <v>44211</v>
      </c>
      <c r="Z235" s="276">
        <v>44253</v>
      </c>
      <c r="AA235" s="273">
        <f t="shared" si="37"/>
        <v>2021</v>
      </c>
      <c r="AB235" s="273">
        <f t="shared" si="38"/>
        <v>2</v>
      </c>
      <c r="AC235" s="278" t="s">
        <v>920</v>
      </c>
      <c r="AD235" s="278" t="s">
        <v>422</v>
      </c>
      <c r="AE235" s="278" t="s">
        <v>422</v>
      </c>
      <c r="AF235" s="278" t="s">
        <v>422</v>
      </c>
      <c r="AG235" s="278" t="s">
        <v>422</v>
      </c>
      <c r="AH235" s="278" t="s">
        <v>422</v>
      </c>
      <c r="AI235" s="278" t="s">
        <v>422</v>
      </c>
      <c r="AJ235" s="278" t="s">
        <v>423</v>
      </c>
      <c r="AK235" s="278" t="s">
        <v>423</v>
      </c>
      <c r="AL235" s="279" t="s">
        <v>140</v>
      </c>
      <c r="AM235" s="241"/>
      <c r="AN235" s="241"/>
    </row>
    <row r="236" spans="1:40" ht="15" customHeight="1" x14ac:dyDescent="0.3">
      <c r="A236" s="185">
        <v>198</v>
      </c>
      <c r="B236" s="230" t="s">
        <v>1210</v>
      </c>
      <c r="C236" s="247" t="s">
        <v>1616</v>
      </c>
      <c r="D236" s="200" t="s">
        <v>1848</v>
      </c>
      <c r="E236" s="381" t="s">
        <v>1596</v>
      </c>
      <c r="F236" s="383"/>
      <c r="G236" s="383" t="s">
        <v>1953</v>
      </c>
      <c r="H236" s="317" t="s">
        <v>422</v>
      </c>
      <c r="I236" s="356">
        <v>2</v>
      </c>
      <c r="J236" s="317">
        <v>9</v>
      </c>
      <c r="K236" s="356">
        <v>9</v>
      </c>
      <c r="L236" s="212">
        <v>1</v>
      </c>
      <c r="M236" s="212">
        <f t="shared" si="31"/>
        <v>21</v>
      </c>
      <c r="N236" s="212">
        <f t="shared" si="32"/>
        <v>16</v>
      </c>
      <c r="O236" s="212">
        <f t="shared" si="33"/>
        <v>36</v>
      </c>
      <c r="P236" s="212">
        <f t="shared" si="34"/>
        <v>60</v>
      </c>
      <c r="Q236" s="212">
        <f t="shared" si="35"/>
        <v>8</v>
      </c>
      <c r="R236" s="212">
        <f t="shared" si="36"/>
        <v>120</v>
      </c>
      <c r="S236" s="384" t="s">
        <v>1165</v>
      </c>
      <c r="T236" s="384" t="s">
        <v>1119</v>
      </c>
      <c r="U236" s="385">
        <f>20+22+22+24</f>
        <v>88</v>
      </c>
      <c r="V236" s="280">
        <v>88</v>
      </c>
      <c r="W236" s="280">
        <v>88</v>
      </c>
      <c r="X236" s="374">
        <v>44091</v>
      </c>
      <c r="Y236" s="374">
        <v>44211</v>
      </c>
      <c r="Z236" s="276">
        <v>44253</v>
      </c>
      <c r="AA236" s="273">
        <f t="shared" si="37"/>
        <v>2021</v>
      </c>
      <c r="AB236" s="273">
        <f t="shared" si="38"/>
        <v>2</v>
      </c>
      <c r="AC236" s="278" t="s">
        <v>920</v>
      </c>
      <c r="AD236" s="278" t="s">
        <v>422</v>
      </c>
      <c r="AE236" s="278" t="s">
        <v>422</v>
      </c>
      <c r="AF236" s="278" t="s">
        <v>422</v>
      </c>
      <c r="AG236" s="278" t="s">
        <v>422</v>
      </c>
      <c r="AH236" s="278" t="s">
        <v>422</v>
      </c>
      <c r="AI236" s="278" t="s">
        <v>422</v>
      </c>
      <c r="AJ236" s="278" t="s">
        <v>423</v>
      </c>
      <c r="AK236" s="278" t="s">
        <v>423</v>
      </c>
      <c r="AL236" s="279" t="s">
        <v>140</v>
      </c>
      <c r="AM236" s="241"/>
      <c r="AN236" s="241"/>
    </row>
    <row r="237" spans="1:40" ht="15" customHeight="1" x14ac:dyDescent="0.3">
      <c r="A237" s="185">
        <v>199</v>
      </c>
      <c r="B237" s="230" t="s">
        <v>1211</v>
      </c>
      <c r="C237" s="247" t="s">
        <v>1616</v>
      </c>
      <c r="D237" s="200" t="s">
        <v>1848</v>
      </c>
      <c r="E237" s="381" t="s">
        <v>1596</v>
      </c>
      <c r="F237" s="383"/>
      <c r="G237" s="383" t="s">
        <v>1953</v>
      </c>
      <c r="H237" s="317" t="s">
        <v>422</v>
      </c>
      <c r="I237" s="356">
        <v>2</v>
      </c>
      <c r="J237" s="317">
        <v>9.5</v>
      </c>
      <c r="K237" s="356">
        <v>9</v>
      </c>
      <c r="L237" s="212">
        <v>1</v>
      </c>
      <c r="M237" s="212">
        <f t="shared" si="31"/>
        <v>21.5</v>
      </c>
      <c r="N237" s="212">
        <f t="shared" si="32"/>
        <v>16</v>
      </c>
      <c r="O237" s="212">
        <f t="shared" si="33"/>
        <v>38</v>
      </c>
      <c r="P237" s="212">
        <f t="shared" si="34"/>
        <v>60</v>
      </c>
      <c r="Q237" s="212">
        <f t="shared" si="35"/>
        <v>8</v>
      </c>
      <c r="R237" s="212">
        <f t="shared" si="36"/>
        <v>122</v>
      </c>
      <c r="S237" s="384" t="s">
        <v>1164</v>
      </c>
      <c r="T237" s="384" t="s">
        <v>1161</v>
      </c>
      <c r="U237" s="385">
        <f>46+66+64+50</f>
        <v>226</v>
      </c>
      <c r="V237" s="280">
        <v>226</v>
      </c>
      <c r="W237" s="280">
        <v>226</v>
      </c>
      <c r="X237" s="374">
        <v>44091</v>
      </c>
      <c r="Y237" s="374">
        <v>44211</v>
      </c>
      <c r="Z237" s="276">
        <v>44253</v>
      </c>
      <c r="AA237" s="273">
        <f t="shared" si="37"/>
        <v>2021</v>
      </c>
      <c r="AB237" s="273">
        <f t="shared" si="38"/>
        <v>2</v>
      </c>
      <c r="AC237" s="278" t="s">
        <v>920</v>
      </c>
      <c r="AD237" s="278" t="s">
        <v>422</v>
      </c>
      <c r="AE237" s="278" t="s">
        <v>422</v>
      </c>
      <c r="AF237" s="278" t="s">
        <v>422</v>
      </c>
      <c r="AG237" s="278" t="s">
        <v>422</v>
      </c>
      <c r="AH237" s="278" t="s">
        <v>422</v>
      </c>
      <c r="AI237" s="278" t="s">
        <v>422</v>
      </c>
      <c r="AJ237" s="278" t="s">
        <v>423</v>
      </c>
      <c r="AK237" s="278" t="s">
        <v>423</v>
      </c>
      <c r="AL237" s="279" t="s">
        <v>140</v>
      </c>
      <c r="AM237" s="241"/>
      <c r="AN237" s="241"/>
    </row>
    <row r="238" spans="1:40" ht="15" customHeight="1" x14ac:dyDescent="0.3">
      <c r="A238" s="185">
        <v>200</v>
      </c>
      <c r="B238" s="230" t="s">
        <v>1212</v>
      </c>
      <c r="C238" s="247" t="s">
        <v>1616</v>
      </c>
      <c r="D238" s="200" t="s">
        <v>1848</v>
      </c>
      <c r="E238" s="381" t="s">
        <v>1596</v>
      </c>
      <c r="F238" s="383"/>
      <c r="G238" s="383" t="s">
        <v>1953</v>
      </c>
      <c r="H238" s="317" t="s">
        <v>422</v>
      </c>
      <c r="I238" s="356">
        <v>2</v>
      </c>
      <c r="J238" s="317">
        <v>7</v>
      </c>
      <c r="K238" s="317">
        <v>9</v>
      </c>
      <c r="L238" s="212">
        <v>1</v>
      </c>
      <c r="M238" s="212">
        <f t="shared" si="31"/>
        <v>19</v>
      </c>
      <c r="N238" s="212">
        <f t="shared" si="32"/>
        <v>16</v>
      </c>
      <c r="O238" s="212">
        <f t="shared" si="33"/>
        <v>28</v>
      </c>
      <c r="P238" s="212">
        <f t="shared" si="34"/>
        <v>60</v>
      </c>
      <c r="Q238" s="212">
        <f t="shared" si="35"/>
        <v>8</v>
      </c>
      <c r="R238" s="212">
        <f t="shared" si="36"/>
        <v>112</v>
      </c>
      <c r="S238" s="384" t="s">
        <v>729</v>
      </c>
      <c r="T238" s="384" t="s">
        <v>1125</v>
      </c>
      <c r="U238" s="385">
        <f>70+88</f>
        <v>158</v>
      </c>
      <c r="V238" s="280">
        <v>158</v>
      </c>
      <c r="W238" s="280">
        <v>158</v>
      </c>
      <c r="X238" s="374">
        <v>44091</v>
      </c>
      <c r="Y238" s="374">
        <v>44211</v>
      </c>
      <c r="Z238" s="276">
        <v>44253</v>
      </c>
      <c r="AA238" s="273">
        <f t="shared" si="37"/>
        <v>2021</v>
      </c>
      <c r="AB238" s="273">
        <f t="shared" si="38"/>
        <v>2</v>
      </c>
      <c r="AC238" s="278" t="s">
        <v>920</v>
      </c>
      <c r="AD238" s="278" t="s">
        <v>422</v>
      </c>
      <c r="AE238" s="278" t="s">
        <v>422</v>
      </c>
      <c r="AF238" s="278" t="s">
        <v>422</v>
      </c>
      <c r="AG238" s="278" t="s">
        <v>422</v>
      </c>
      <c r="AH238" s="278" t="s">
        <v>422</v>
      </c>
      <c r="AI238" s="278" t="s">
        <v>422</v>
      </c>
      <c r="AJ238" s="278" t="s">
        <v>423</v>
      </c>
      <c r="AK238" s="278" t="s">
        <v>423</v>
      </c>
      <c r="AL238" s="279" t="s">
        <v>140</v>
      </c>
      <c r="AM238" s="241"/>
      <c r="AN238" s="241"/>
    </row>
    <row r="239" spans="1:40" ht="15" customHeight="1" x14ac:dyDescent="0.3">
      <c r="A239" s="185">
        <v>201</v>
      </c>
      <c r="B239" s="230" t="s">
        <v>1213</v>
      </c>
      <c r="C239" s="247" t="s">
        <v>1616</v>
      </c>
      <c r="D239" s="200" t="s">
        <v>1848</v>
      </c>
      <c r="E239" s="381" t="s">
        <v>1596</v>
      </c>
      <c r="F239" s="383"/>
      <c r="G239" s="383" t="s">
        <v>1953</v>
      </c>
      <c r="H239" s="317" t="s">
        <v>422</v>
      </c>
      <c r="I239" s="356">
        <v>1</v>
      </c>
      <c r="J239" s="317">
        <v>2.5</v>
      </c>
      <c r="K239" s="317">
        <v>4.5</v>
      </c>
      <c r="L239" s="212">
        <v>0.5</v>
      </c>
      <c r="M239" s="212">
        <f t="shared" si="31"/>
        <v>8.5</v>
      </c>
      <c r="N239" s="212">
        <f t="shared" si="32"/>
        <v>8</v>
      </c>
      <c r="O239" s="212">
        <f t="shared" si="33"/>
        <v>10</v>
      </c>
      <c r="P239" s="212">
        <f t="shared" si="34"/>
        <v>30</v>
      </c>
      <c r="Q239" s="212">
        <f t="shared" si="35"/>
        <v>4</v>
      </c>
      <c r="R239" s="212">
        <f t="shared" si="36"/>
        <v>52</v>
      </c>
      <c r="S239" s="384" t="s">
        <v>714</v>
      </c>
      <c r="T239" s="384" t="s">
        <v>1112</v>
      </c>
      <c r="U239" s="385">
        <v>90</v>
      </c>
      <c r="V239" s="280">
        <v>90</v>
      </c>
      <c r="W239" s="280">
        <v>90</v>
      </c>
      <c r="X239" s="374">
        <v>44091</v>
      </c>
      <c r="Y239" s="374">
        <v>44211</v>
      </c>
      <c r="Z239" s="276">
        <v>44253</v>
      </c>
      <c r="AA239" s="273">
        <f t="shared" si="37"/>
        <v>2021</v>
      </c>
      <c r="AB239" s="273">
        <f t="shared" si="38"/>
        <v>2</v>
      </c>
      <c r="AC239" s="278" t="s">
        <v>920</v>
      </c>
      <c r="AD239" s="278" t="s">
        <v>422</v>
      </c>
      <c r="AE239" s="278" t="s">
        <v>423</v>
      </c>
      <c r="AF239" s="278" t="s">
        <v>422</v>
      </c>
      <c r="AG239" s="278" t="s">
        <v>422</v>
      </c>
      <c r="AH239" s="278" t="s">
        <v>422</v>
      </c>
      <c r="AI239" s="278" t="s">
        <v>422</v>
      </c>
      <c r="AJ239" s="278" t="s">
        <v>423</v>
      </c>
      <c r="AK239" s="278" t="s">
        <v>423</v>
      </c>
      <c r="AL239" s="279" t="s">
        <v>254</v>
      </c>
      <c r="AM239" s="241"/>
      <c r="AN239" s="241"/>
    </row>
    <row r="240" spans="1:40" ht="15" customHeight="1" x14ac:dyDescent="0.3">
      <c r="A240" s="185">
        <v>202</v>
      </c>
      <c r="B240" s="230" t="s">
        <v>1214</v>
      </c>
      <c r="C240" s="247" t="s">
        <v>1616</v>
      </c>
      <c r="D240" s="200" t="s">
        <v>1848</v>
      </c>
      <c r="E240" s="381" t="s">
        <v>1596</v>
      </c>
      <c r="F240" s="383"/>
      <c r="G240" s="383" t="s">
        <v>1953</v>
      </c>
      <c r="H240" s="317" t="s">
        <v>422</v>
      </c>
      <c r="I240" s="356">
        <v>1</v>
      </c>
      <c r="J240" s="317">
        <v>2</v>
      </c>
      <c r="K240" s="356">
        <v>4.5</v>
      </c>
      <c r="L240" s="212">
        <v>0.5</v>
      </c>
      <c r="M240" s="212">
        <f t="shared" si="31"/>
        <v>8</v>
      </c>
      <c r="N240" s="212">
        <f t="shared" si="32"/>
        <v>8</v>
      </c>
      <c r="O240" s="212">
        <f t="shared" si="33"/>
        <v>8</v>
      </c>
      <c r="P240" s="212">
        <f t="shared" si="34"/>
        <v>30</v>
      </c>
      <c r="Q240" s="212">
        <f t="shared" si="35"/>
        <v>4</v>
      </c>
      <c r="R240" s="212">
        <f t="shared" si="36"/>
        <v>50</v>
      </c>
      <c r="S240" s="384" t="s">
        <v>716</v>
      </c>
      <c r="T240" s="384" t="s">
        <v>1113</v>
      </c>
      <c r="U240" s="385">
        <f>80+84</f>
        <v>164</v>
      </c>
      <c r="V240" s="280">
        <v>164</v>
      </c>
      <c r="W240" s="280">
        <v>164</v>
      </c>
      <c r="X240" s="374">
        <v>44091</v>
      </c>
      <c r="Y240" s="374">
        <v>44211</v>
      </c>
      <c r="Z240" s="276">
        <v>44253</v>
      </c>
      <c r="AA240" s="273">
        <f t="shared" si="37"/>
        <v>2021</v>
      </c>
      <c r="AB240" s="273">
        <f t="shared" si="38"/>
        <v>2</v>
      </c>
      <c r="AC240" s="278" t="s">
        <v>920</v>
      </c>
      <c r="AD240" s="278" t="s">
        <v>422</v>
      </c>
      <c r="AE240" s="278" t="s">
        <v>423</v>
      </c>
      <c r="AF240" s="278" t="s">
        <v>422</v>
      </c>
      <c r="AG240" s="278" t="s">
        <v>422</v>
      </c>
      <c r="AH240" s="278" t="s">
        <v>422</v>
      </c>
      <c r="AI240" s="278" t="s">
        <v>422</v>
      </c>
      <c r="AJ240" s="278" t="s">
        <v>423</v>
      </c>
      <c r="AK240" s="278" t="s">
        <v>423</v>
      </c>
      <c r="AL240" s="279" t="s">
        <v>254</v>
      </c>
      <c r="AM240" s="241"/>
      <c r="AN240" s="241"/>
    </row>
    <row r="241" spans="1:40" ht="15" customHeight="1" x14ac:dyDescent="0.3">
      <c r="A241" s="185">
        <v>203</v>
      </c>
      <c r="B241" s="230" t="s">
        <v>1215</v>
      </c>
      <c r="C241" s="247" t="s">
        <v>1616</v>
      </c>
      <c r="D241" s="200" t="s">
        <v>1848</v>
      </c>
      <c r="E241" s="370" t="s">
        <v>1596</v>
      </c>
      <c r="F241" s="383"/>
      <c r="G241" s="383" t="s">
        <v>1953</v>
      </c>
      <c r="H241" s="248" t="s">
        <v>422</v>
      </c>
      <c r="I241" s="356">
        <v>1</v>
      </c>
      <c r="J241" s="317">
        <v>4</v>
      </c>
      <c r="K241" s="317">
        <v>5.5</v>
      </c>
      <c r="L241" s="212">
        <v>0.8</v>
      </c>
      <c r="M241" s="212">
        <f t="shared" si="31"/>
        <v>11.3</v>
      </c>
      <c r="N241" s="212">
        <f t="shared" si="32"/>
        <v>8</v>
      </c>
      <c r="O241" s="212">
        <f t="shared" si="33"/>
        <v>16</v>
      </c>
      <c r="P241" s="212">
        <f t="shared" si="34"/>
        <v>36.666666666666671</v>
      </c>
      <c r="Q241" s="212">
        <f t="shared" si="35"/>
        <v>6.4</v>
      </c>
      <c r="R241" s="212">
        <f t="shared" si="36"/>
        <v>67.066666666666677</v>
      </c>
      <c r="S241" s="384" t="s">
        <v>736</v>
      </c>
      <c r="T241" s="384" t="s">
        <v>1114</v>
      </c>
      <c r="U241" s="280">
        <v>96</v>
      </c>
      <c r="V241" s="280">
        <v>96</v>
      </c>
      <c r="W241" s="280">
        <v>96</v>
      </c>
      <c r="X241" s="374">
        <v>44091</v>
      </c>
      <c r="Y241" s="374">
        <v>44211</v>
      </c>
      <c r="Z241" s="276">
        <v>44253</v>
      </c>
      <c r="AA241" s="273">
        <f t="shared" si="37"/>
        <v>2021</v>
      </c>
      <c r="AB241" s="273">
        <f t="shared" si="38"/>
        <v>2</v>
      </c>
      <c r="AC241" s="278" t="s">
        <v>920</v>
      </c>
      <c r="AD241" s="278" t="s">
        <v>422</v>
      </c>
      <c r="AE241" s="278" t="s">
        <v>423</v>
      </c>
      <c r="AF241" s="278" t="s">
        <v>422</v>
      </c>
      <c r="AG241" s="278" t="s">
        <v>422</v>
      </c>
      <c r="AH241" s="278" t="s">
        <v>422</v>
      </c>
      <c r="AI241" s="278" t="s">
        <v>422</v>
      </c>
      <c r="AJ241" s="278" t="s">
        <v>423</v>
      </c>
      <c r="AK241" s="278" t="s">
        <v>423</v>
      </c>
      <c r="AL241" s="279" t="s">
        <v>254</v>
      </c>
      <c r="AM241" s="241"/>
      <c r="AN241" s="241"/>
    </row>
    <row r="242" spans="1:40" ht="15" customHeight="1" x14ac:dyDescent="0.3">
      <c r="A242" s="185">
        <v>204</v>
      </c>
      <c r="B242" s="230" t="s">
        <v>1216</v>
      </c>
      <c r="C242" s="247" t="s">
        <v>1616</v>
      </c>
      <c r="D242" s="200" t="s">
        <v>1848</v>
      </c>
      <c r="E242" s="370" t="s">
        <v>1596</v>
      </c>
      <c r="F242" s="383"/>
      <c r="G242" s="383" t="s">
        <v>1953</v>
      </c>
      <c r="H242" s="248" t="s">
        <v>422</v>
      </c>
      <c r="I242" s="356">
        <v>2</v>
      </c>
      <c r="J242" s="317">
        <v>4.7</v>
      </c>
      <c r="K242" s="317">
        <v>10</v>
      </c>
      <c r="L242" s="212">
        <v>1</v>
      </c>
      <c r="M242" s="212">
        <f t="shared" si="31"/>
        <v>17.7</v>
      </c>
      <c r="N242" s="212">
        <f t="shared" si="32"/>
        <v>16</v>
      </c>
      <c r="O242" s="212">
        <f t="shared" si="33"/>
        <v>18.8</v>
      </c>
      <c r="P242" s="212">
        <f t="shared" si="34"/>
        <v>66.666666666666671</v>
      </c>
      <c r="Q242" s="212">
        <f t="shared" si="35"/>
        <v>8</v>
      </c>
      <c r="R242" s="212">
        <f t="shared" si="36"/>
        <v>109.46666666666667</v>
      </c>
      <c r="S242" s="384" t="s">
        <v>718</v>
      </c>
      <c r="T242" s="384" t="s">
        <v>1115</v>
      </c>
      <c r="U242" s="280">
        <v>104</v>
      </c>
      <c r="V242" s="280">
        <v>104</v>
      </c>
      <c r="W242" s="280">
        <v>104</v>
      </c>
      <c r="X242" s="374">
        <v>44091</v>
      </c>
      <c r="Y242" s="374">
        <v>44211</v>
      </c>
      <c r="Z242" s="276">
        <v>44253</v>
      </c>
      <c r="AA242" s="273">
        <f t="shared" si="37"/>
        <v>2021</v>
      </c>
      <c r="AB242" s="273">
        <f t="shared" si="38"/>
        <v>2</v>
      </c>
      <c r="AC242" s="278" t="s">
        <v>920</v>
      </c>
      <c r="AD242" s="278" t="s">
        <v>422</v>
      </c>
      <c r="AE242" s="278" t="s">
        <v>423</v>
      </c>
      <c r="AF242" s="278" t="s">
        <v>422</v>
      </c>
      <c r="AG242" s="278" t="s">
        <v>422</v>
      </c>
      <c r="AH242" s="278" t="s">
        <v>422</v>
      </c>
      <c r="AI242" s="278" t="s">
        <v>422</v>
      </c>
      <c r="AJ242" s="278" t="s">
        <v>423</v>
      </c>
      <c r="AK242" s="278" t="s">
        <v>423</v>
      </c>
      <c r="AL242" s="279" t="s">
        <v>254</v>
      </c>
      <c r="AM242" s="241"/>
      <c r="AN242" s="241"/>
    </row>
    <row r="243" spans="1:40" ht="15" customHeight="1" x14ac:dyDescent="0.3">
      <c r="A243" s="185">
        <v>205</v>
      </c>
      <c r="B243" s="230" t="s">
        <v>1218</v>
      </c>
      <c r="C243" s="247" t="s">
        <v>1616</v>
      </c>
      <c r="D243" s="200" t="s">
        <v>1848</v>
      </c>
      <c r="E243" s="370" t="s">
        <v>1596</v>
      </c>
      <c r="F243" s="383"/>
      <c r="G243" s="383" t="s">
        <v>1953</v>
      </c>
      <c r="H243" s="248" t="s">
        <v>422</v>
      </c>
      <c r="I243" s="356">
        <v>2</v>
      </c>
      <c r="J243" s="317">
        <v>10.5</v>
      </c>
      <c r="K243" s="317">
        <v>10</v>
      </c>
      <c r="L243" s="212">
        <v>1</v>
      </c>
      <c r="M243" s="212">
        <f t="shared" si="31"/>
        <v>23.5</v>
      </c>
      <c r="N243" s="212">
        <f t="shared" si="32"/>
        <v>16</v>
      </c>
      <c r="O243" s="212">
        <f t="shared" si="33"/>
        <v>42</v>
      </c>
      <c r="P243" s="212">
        <f t="shared" si="34"/>
        <v>66.666666666666671</v>
      </c>
      <c r="Q243" s="212">
        <f t="shared" si="35"/>
        <v>8</v>
      </c>
      <c r="R243" s="212">
        <f t="shared" si="36"/>
        <v>132.66666666666669</v>
      </c>
      <c r="S243" s="384" t="s">
        <v>1120</v>
      </c>
      <c r="T243" s="384" t="s">
        <v>1219</v>
      </c>
      <c r="U243" s="280">
        <f>72+85+80+64</f>
        <v>301</v>
      </c>
      <c r="V243" s="280">
        <v>301</v>
      </c>
      <c r="W243" s="280">
        <v>301</v>
      </c>
      <c r="X243" s="374">
        <v>44091</v>
      </c>
      <c r="Y243" s="374">
        <v>44211</v>
      </c>
      <c r="Z243" s="276">
        <v>44253</v>
      </c>
      <c r="AA243" s="273">
        <f t="shared" si="37"/>
        <v>2021</v>
      </c>
      <c r="AB243" s="273">
        <f t="shared" si="38"/>
        <v>2</v>
      </c>
      <c r="AC243" s="278" t="s">
        <v>920</v>
      </c>
      <c r="AD243" s="278" t="s">
        <v>422</v>
      </c>
      <c r="AE243" s="278" t="s">
        <v>422</v>
      </c>
      <c r="AF243" s="278" t="s">
        <v>422</v>
      </c>
      <c r="AG243" s="278" t="s">
        <v>422</v>
      </c>
      <c r="AH243" s="278" t="s">
        <v>422</v>
      </c>
      <c r="AI243" s="278" t="s">
        <v>422</v>
      </c>
      <c r="AJ243" s="278" t="s">
        <v>423</v>
      </c>
      <c r="AK243" s="278" t="s">
        <v>423</v>
      </c>
      <c r="AL243" s="279" t="s">
        <v>1372</v>
      </c>
      <c r="AM243" s="241"/>
      <c r="AN243" s="241"/>
    </row>
    <row r="244" spans="1:40" ht="15" customHeight="1" x14ac:dyDescent="0.3">
      <c r="A244" s="185">
        <v>206</v>
      </c>
      <c r="B244" s="230" t="s">
        <v>1217</v>
      </c>
      <c r="C244" s="247" t="s">
        <v>1616</v>
      </c>
      <c r="D244" s="200" t="s">
        <v>1848</v>
      </c>
      <c r="E244" s="370" t="s">
        <v>1596</v>
      </c>
      <c r="F244" s="383"/>
      <c r="G244" s="383" t="s">
        <v>1953</v>
      </c>
      <c r="H244" s="248" t="s">
        <v>422</v>
      </c>
      <c r="I244" s="356">
        <v>2</v>
      </c>
      <c r="J244" s="317">
        <v>11</v>
      </c>
      <c r="K244" s="317">
        <v>10</v>
      </c>
      <c r="L244" s="212">
        <v>1</v>
      </c>
      <c r="M244" s="212">
        <f t="shared" si="31"/>
        <v>24</v>
      </c>
      <c r="N244" s="212">
        <f t="shared" si="32"/>
        <v>16</v>
      </c>
      <c r="O244" s="212">
        <f t="shared" si="33"/>
        <v>44</v>
      </c>
      <c r="P244" s="212">
        <f t="shared" si="34"/>
        <v>66.666666666666671</v>
      </c>
      <c r="Q244" s="212">
        <f t="shared" si="35"/>
        <v>8</v>
      </c>
      <c r="R244" s="212">
        <f t="shared" si="36"/>
        <v>134.66666666666669</v>
      </c>
      <c r="S244" s="384" t="s">
        <v>1116</v>
      </c>
      <c r="T244" s="384" t="s">
        <v>1117</v>
      </c>
      <c r="U244" s="280">
        <f>96+88+60+86</f>
        <v>330</v>
      </c>
      <c r="V244" s="280">
        <v>330</v>
      </c>
      <c r="W244" s="280">
        <v>330</v>
      </c>
      <c r="X244" s="374">
        <v>44091</v>
      </c>
      <c r="Y244" s="374">
        <v>44211</v>
      </c>
      <c r="Z244" s="276">
        <v>44253</v>
      </c>
      <c r="AA244" s="273">
        <f t="shared" si="37"/>
        <v>2021</v>
      </c>
      <c r="AB244" s="273">
        <f t="shared" si="38"/>
        <v>2</v>
      </c>
      <c r="AC244" s="278" t="s">
        <v>920</v>
      </c>
      <c r="AD244" s="278" t="s">
        <v>422</v>
      </c>
      <c r="AE244" s="278" t="s">
        <v>422</v>
      </c>
      <c r="AF244" s="278" t="s">
        <v>422</v>
      </c>
      <c r="AG244" s="278" t="s">
        <v>422</v>
      </c>
      <c r="AH244" s="278" t="s">
        <v>422</v>
      </c>
      <c r="AI244" s="278" t="s">
        <v>422</v>
      </c>
      <c r="AJ244" s="278" t="s">
        <v>423</v>
      </c>
      <c r="AK244" s="278" t="s">
        <v>423</v>
      </c>
      <c r="AL244" s="279" t="s">
        <v>1372</v>
      </c>
      <c r="AM244" s="241"/>
      <c r="AN244" s="241"/>
    </row>
    <row r="245" spans="1:40" ht="15" customHeight="1" x14ac:dyDescent="0.3">
      <c r="A245" s="185">
        <v>207</v>
      </c>
      <c r="B245" s="230" t="s">
        <v>1221</v>
      </c>
      <c r="C245" s="247" t="s">
        <v>1616</v>
      </c>
      <c r="D245" s="200" t="s">
        <v>1848</v>
      </c>
      <c r="E245" s="381" t="s">
        <v>1596</v>
      </c>
      <c r="F245" s="383"/>
      <c r="G245" s="383" t="s">
        <v>1953</v>
      </c>
      <c r="H245" s="317" t="s">
        <v>422</v>
      </c>
      <c r="I245" s="356">
        <v>2</v>
      </c>
      <c r="J245" s="317">
        <v>9.3000000000000007</v>
      </c>
      <c r="K245" s="317">
        <v>10</v>
      </c>
      <c r="L245" s="212">
        <v>1</v>
      </c>
      <c r="M245" s="212">
        <f t="shared" si="31"/>
        <v>22.3</v>
      </c>
      <c r="N245" s="212">
        <f t="shared" si="32"/>
        <v>16</v>
      </c>
      <c r="O245" s="212">
        <f t="shared" si="33"/>
        <v>37.200000000000003</v>
      </c>
      <c r="P245" s="212">
        <f t="shared" si="34"/>
        <v>66.666666666666671</v>
      </c>
      <c r="Q245" s="212">
        <f t="shared" si="35"/>
        <v>8</v>
      </c>
      <c r="R245" s="212">
        <f t="shared" si="36"/>
        <v>127.86666666666667</v>
      </c>
      <c r="S245" s="384" t="s">
        <v>1118</v>
      </c>
      <c r="T245" s="384" t="s">
        <v>1119</v>
      </c>
      <c r="U245" s="280">
        <f>28+40+36+30</f>
        <v>134</v>
      </c>
      <c r="V245" s="280">
        <v>134</v>
      </c>
      <c r="W245" s="280">
        <v>134</v>
      </c>
      <c r="X245" s="374">
        <v>44091</v>
      </c>
      <c r="Y245" s="374">
        <v>44211</v>
      </c>
      <c r="Z245" s="276">
        <v>44253</v>
      </c>
      <c r="AA245" s="273">
        <f t="shared" si="37"/>
        <v>2021</v>
      </c>
      <c r="AB245" s="273">
        <f t="shared" si="38"/>
        <v>2</v>
      </c>
      <c r="AC245" s="278" t="s">
        <v>920</v>
      </c>
      <c r="AD245" s="278" t="s">
        <v>422</v>
      </c>
      <c r="AE245" s="278" t="s">
        <v>422</v>
      </c>
      <c r="AF245" s="278" t="s">
        <v>422</v>
      </c>
      <c r="AG245" s="278" t="s">
        <v>422</v>
      </c>
      <c r="AH245" s="278" t="s">
        <v>422</v>
      </c>
      <c r="AI245" s="278" t="s">
        <v>422</v>
      </c>
      <c r="AJ245" s="278" t="s">
        <v>423</v>
      </c>
      <c r="AK245" s="278" t="s">
        <v>423</v>
      </c>
      <c r="AL245" s="279" t="s">
        <v>1424</v>
      </c>
      <c r="AM245" s="241"/>
      <c r="AN245" s="241"/>
    </row>
    <row r="246" spans="1:40" ht="15" customHeight="1" x14ac:dyDescent="0.3">
      <c r="A246" s="185">
        <v>208</v>
      </c>
      <c r="B246" s="230" t="s">
        <v>1220</v>
      </c>
      <c r="C246" s="247" t="s">
        <v>1616</v>
      </c>
      <c r="D246" s="200" t="s">
        <v>1848</v>
      </c>
      <c r="E246" s="381" t="s">
        <v>1596</v>
      </c>
      <c r="F246" s="383"/>
      <c r="G246" s="383" t="s">
        <v>1953</v>
      </c>
      <c r="H246" s="317" t="s">
        <v>422</v>
      </c>
      <c r="I246" s="356">
        <v>2</v>
      </c>
      <c r="J246" s="317">
        <v>8.5</v>
      </c>
      <c r="K246" s="317">
        <v>10</v>
      </c>
      <c r="L246" s="212">
        <v>1</v>
      </c>
      <c r="M246" s="212">
        <f t="shared" si="31"/>
        <v>21.5</v>
      </c>
      <c r="N246" s="212">
        <f t="shared" si="32"/>
        <v>16</v>
      </c>
      <c r="O246" s="212">
        <f t="shared" si="33"/>
        <v>34</v>
      </c>
      <c r="P246" s="212">
        <f t="shared" si="34"/>
        <v>66.666666666666671</v>
      </c>
      <c r="Q246" s="212">
        <f t="shared" si="35"/>
        <v>8</v>
      </c>
      <c r="R246" s="212">
        <f t="shared" si="36"/>
        <v>124.66666666666667</v>
      </c>
      <c r="S246" s="384" t="s">
        <v>1124</v>
      </c>
      <c r="T246" s="384" t="s">
        <v>1125</v>
      </c>
      <c r="U246" s="280">
        <f>100+110</f>
        <v>210</v>
      </c>
      <c r="V246" s="280">
        <v>210</v>
      </c>
      <c r="W246" s="280">
        <v>210</v>
      </c>
      <c r="X246" s="374">
        <v>44091</v>
      </c>
      <c r="Y246" s="374">
        <v>44211</v>
      </c>
      <c r="Z246" s="276">
        <v>44253</v>
      </c>
      <c r="AA246" s="273">
        <f t="shared" si="37"/>
        <v>2021</v>
      </c>
      <c r="AB246" s="273">
        <f t="shared" si="38"/>
        <v>2</v>
      </c>
      <c r="AC246" s="278" t="s">
        <v>920</v>
      </c>
      <c r="AD246" s="278" t="s">
        <v>422</v>
      </c>
      <c r="AE246" s="278" t="s">
        <v>422</v>
      </c>
      <c r="AF246" s="278" t="s">
        <v>422</v>
      </c>
      <c r="AG246" s="278" t="s">
        <v>422</v>
      </c>
      <c r="AH246" s="278" t="s">
        <v>422</v>
      </c>
      <c r="AI246" s="278" t="s">
        <v>422</v>
      </c>
      <c r="AJ246" s="278" t="s">
        <v>423</v>
      </c>
      <c r="AK246" s="278" t="s">
        <v>423</v>
      </c>
      <c r="AL246" s="279" t="s">
        <v>1424</v>
      </c>
      <c r="AM246" s="241"/>
      <c r="AN246" s="241"/>
    </row>
    <row r="247" spans="1:40" ht="15" customHeight="1" x14ac:dyDescent="0.3">
      <c r="A247" s="185">
        <v>210</v>
      </c>
      <c r="B247" s="230" t="s">
        <v>1223</v>
      </c>
      <c r="C247" s="247" t="s">
        <v>1615</v>
      </c>
      <c r="D247" s="200" t="s">
        <v>1881</v>
      </c>
      <c r="E247" s="383"/>
      <c r="F247" s="383" t="s">
        <v>1600</v>
      </c>
      <c r="G247" s="382" t="s">
        <v>1604</v>
      </c>
      <c r="H247" s="317" t="s">
        <v>422</v>
      </c>
      <c r="I247" s="356">
        <v>1.5</v>
      </c>
      <c r="J247" s="317">
        <v>10</v>
      </c>
      <c r="K247" s="317">
        <v>0</v>
      </c>
      <c r="L247" s="212">
        <v>1</v>
      </c>
      <c r="M247" s="212">
        <f t="shared" si="31"/>
        <v>12.5</v>
      </c>
      <c r="N247" s="212">
        <f t="shared" si="32"/>
        <v>12</v>
      </c>
      <c r="O247" s="212">
        <f t="shared" si="33"/>
        <v>40</v>
      </c>
      <c r="P247" s="212">
        <f t="shared" si="34"/>
        <v>0</v>
      </c>
      <c r="Q247" s="212">
        <f t="shared" si="35"/>
        <v>8</v>
      </c>
      <c r="R247" s="212">
        <f t="shared" si="36"/>
        <v>60</v>
      </c>
      <c r="S247" s="384" t="s">
        <v>1234</v>
      </c>
      <c r="T247" s="384" t="s">
        <v>1254</v>
      </c>
      <c r="U247" s="280">
        <v>84</v>
      </c>
      <c r="V247" s="280">
        <v>86</v>
      </c>
      <c r="W247" s="280">
        <v>86</v>
      </c>
      <c r="X247" s="374">
        <v>44089</v>
      </c>
      <c r="Y247" s="374">
        <v>44211</v>
      </c>
      <c r="Z247" s="276">
        <v>44230</v>
      </c>
      <c r="AA247" s="273">
        <f t="shared" si="37"/>
        <v>2021</v>
      </c>
      <c r="AB247" s="273">
        <f t="shared" si="38"/>
        <v>2</v>
      </c>
      <c r="AC247" s="278" t="s">
        <v>920</v>
      </c>
      <c r="AD247" s="278" t="s">
        <v>422</v>
      </c>
      <c r="AE247" s="278" t="s">
        <v>422</v>
      </c>
      <c r="AF247" s="278" t="s">
        <v>422</v>
      </c>
      <c r="AG247" s="278" t="s">
        <v>422</v>
      </c>
      <c r="AH247" s="278" t="s">
        <v>422</v>
      </c>
      <c r="AI247" s="278" t="s">
        <v>423</v>
      </c>
      <c r="AJ247" s="278" t="s">
        <v>422</v>
      </c>
      <c r="AK247" s="278" t="s">
        <v>423</v>
      </c>
      <c r="AL247" s="279" t="s">
        <v>1240</v>
      </c>
      <c r="AM247" s="241"/>
      <c r="AN247" s="241"/>
    </row>
    <row r="248" spans="1:40" ht="15" customHeight="1" x14ac:dyDescent="0.3">
      <c r="A248" s="185">
        <v>212</v>
      </c>
      <c r="B248" s="230" t="s">
        <v>1225</v>
      </c>
      <c r="C248" s="247" t="s">
        <v>1615</v>
      </c>
      <c r="D248" s="200" t="s">
        <v>1881</v>
      </c>
      <c r="E248" s="383"/>
      <c r="F248" s="383"/>
      <c r="G248" s="382" t="s">
        <v>1604</v>
      </c>
      <c r="H248" s="317" t="s">
        <v>422</v>
      </c>
      <c r="I248" s="356">
        <v>2</v>
      </c>
      <c r="J248" s="317">
        <v>13</v>
      </c>
      <c r="K248" s="317">
        <v>0</v>
      </c>
      <c r="L248" s="212">
        <v>1</v>
      </c>
      <c r="M248" s="212">
        <f t="shared" si="31"/>
        <v>16</v>
      </c>
      <c r="N248" s="212">
        <f t="shared" si="32"/>
        <v>16</v>
      </c>
      <c r="O248" s="212">
        <f t="shared" si="33"/>
        <v>52</v>
      </c>
      <c r="P248" s="212">
        <f t="shared" si="34"/>
        <v>0</v>
      </c>
      <c r="Q248" s="212">
        <f t="shared" si="35"/>
        <v>8</v>
      </c>
      <c r="R248" s="212">
        <f t="shared" si="36"/>
        <v>76</v>
      </c>
      <c r="S248" s="384" t="s">
        <v>1236</v>
      </c>
      <c r="T248" s="384" t="s">
        <v>1256</v>
      </c>
      <c r="U248" s="280">
        <v>78</v>
      </c>
      <c r="V248" s="280">
        <v>80</v>
      </c>
      <c r="W248" s="280">
        <v>80</v>
      </c>
      <c r="X248" s="374">
        <v>44089</v>
      </c>
      <c r="Y248" s="374">
        <v>44211</v>
      </c>
      <c r="Z248" s="276">
        <v>44253</v>
      </c>
      <c r="AA248" s="273">
        <f t="shared" si="37"/>
        <v>2021</v>
      </c>
      <c r="AB248" s="273">
        <f t="shared" si="38"/>
        <v>2</v>
      </c>
      <c r="AC248" s="278" t="s">
        <v>920</v>
      </c>
      <c r="AD248" s="278" t="s">
        <v>422</v>
      </c>
      <c r="AE248" s="278" t="s">
        <v>422</v>
      </c>
      <c r="AF248" s="278" t="s">
        <v>422</v>
      </c>
      <c r="AG248" s="278" t="s">
        <v>422</v>
      </c>
      <c r="AH248" s="278" t="s">
        <v>422</v>
      </c>
      <c r="AI248" s="278" t="s">
        <v>422</v>
      </c>
      <c r="AJ248" s="278" t="s">
        <v>423</v>
      </c>
      <c r="AK248" s="278" t="s">
        <v>423</v>
      </c>
      <c r="AL248" s="279" t="s">
        <v>491</v>
      </c>
      <c r="AM248" s="241"/>
      <c r="AN248" s="242" t="s">
        <v>1603</v>
      </c>
    </row>
    <row r="249" spans="1:40" ht="15" customHeight="1" x14ac:dyDescent="0.3">
      <c r="A249" s="185">
        <v>213</v>
      </c>
      <c r="B249" s="230" t="s">
        <v>1226</v>
      </c>
      <c r="C249" s="247" t="s">
        <v>1615</v>
      </c>
      <c r="D249" s="200" t="s">
        <v>1881</v>
      </c>
      <c r="E249" s="383"/>
      <c r="F249" s="383"/>
      <c r="G249" s="382" t="s">
        <v>1604</v>
      </c>
      <c r="H249" s="317" t="s">
        <v>422</v>
      </c>
      <c r="I249" s="356">
        <v>2</v>
      </c>
      <c r="J249" s="317">
        <v>13</v>
      </c>
      <c r="K249" s="317">
        <v>0</v>
      </c>
      <c r="L249" s="212">
        <v>1</v>
      </c>
      <c r="M249" s="212">
        <f t="shared" si="31"/>
        <v>16</v>
      </c>
      <c r="N249" s="212">
        <f t="shared" si="32"/>
        <v>16</v>
      </c>
      <c r="O249" s="212">
        <f t="shared" si="33"/>
        <v>52</v>
      </c>
      <c r="P249" s="212">
        <f t="shared" si="34"/>
        <v>0</v>
      </c>
      <c r="Q249" s="212">
        <f t="shared" si="35"/>
        <v>8</v>
      </c>
      <c r="R249" s="212">
        <f t="shared" si="36"/>
        <v>76</v>
      </c>
      <c r="S249" s="384" t="s">
        <v>1237</v>
      </c>
      <c r="T249" s="384" t="s">
        <v>1257</v>
      </c>
      <c r="U249" s="280">
        <v>58</v>
      </c>
      <c r="V249" s="280">
        <v>58</v>
      </c>
      <c r="W249" s="280">
        <v>58</v>
      </c>
      <c r="X249" s="374">
        <v>44089</v>
      </c>
      <c r="Y249" s="374">
        <v>44211</v>
      </c>
      <c r="Z249" s="276">
        <v>44253</v>
      </c>
      <c r="AA249" s="273">
        <f t="shared" si="37"/>
        <v>2021</v>
      </c>
      <c r="AB249" s="273">
        <f t="shared" si="38"/>
        <v>2</v>
      </c>
      <c r="AC249" s="278" t="s">
        <v>920</v>
      </c>
      <c r="AD249" s="278" t="s">
        <v>422</v>
      </c>
      <c r="AE249" s="278" t="s">
        <v>422</v>
      </c>
      <c r="AF249" s="278" t="s">
        <v>422</v>
      </c>
      <c r="AG249" s="278" t="s">
        <v>422</v>
      </c>
      <c r="AH249" s="278" t="s">
        <v>422</v>
      </c>
      <c r="AI249" s="278" t="s">
        <v>423</v>
      </c>
      <c r="AJ249" s="278" t="s">
        <v>423</v>
      </c>
      <c r="AK249" s="278" t="s">
        <v>423</v>
      </c>
      <c r="AL249" s="279" t="s">
        <v>1240</v>
      </c>
      <c r="AM249" s="241"/>
      <c r="AN249" s="241"/>
    </row>
    <row r="250" spans="1:40" ht="15" customHeight="1" x14ac:dyDescent="0.3">
      <c r="A250" s="185">
        <v>214</v>
      </c>
      <c r="B250" s="230" t="s">
        <v>1227</v>
      </c>
      <c r="C250" s="247" t="s">
        <v>1615</v>
      </c>
      <c r="D250" s="200" t="s">
        <v>1881</v>
      </c>
      <c r="E250" s="383"/>
      <c r="F250" s="383"/>
      <c r="G250" s="382" t="s">
        <v>1604</v>
      </c>
      <c r="H250" s="317" t="s">
        <v>422</v>
      </c>
      <c r="I250" s="356">
        <v>2</v>
      </c>
      <c r="J250" s="317">
        <v>7</v>
      </c>
      <c r="K250" s="317">
        <v>0</v>
      </c>
      <c r="L250" s="212">
        <v>1</v>
      </c>
      <c r="M250" s="212">
        <f t="shared" si="31"/>
        <v>10</v>
      </c>
      <c r="N250" s="212">
        <f t="shared" si="32"/>
        <v>16</v>
      </c>
      <c r="O250" s="212">
        <f t="shared" si="33"/>
        <v>28</v>
      </c>
      <c r="P250" s="212">
        <f t="shared" si="34"/>
        <v>0</v>
      </c>
      <c r="Q250" s="212">
        <f t="shared" si="35"/>
        <v>8</v>
      </c>
      <c r="R250" s="212">
        <f t="shared" si="36"/>
        <v>52</v>
      </c>
      <c r="S250" s="384" t="s">
        <v>1238</v>
      </c>
      <c r="T250" s="384" t="s">
        <v>1258</v>
      </c>
      <c r="U250" s="280">
        <v>72</v>
      </c>
      <c r="V250" s="280">
        <v>74</v>
      </c>
      <c r="W250" s="280">
        <v>74</v>
      </c>
      <c r="X250" s="374">
        <v>44089</v>
      </c>
      <c r="Y250" s="374">
        <v>44211</v>
      </c>
      <c r="Z250" s="276">
        <v>44230</v>
      </c>
      <c r="AA250" s="273">
        <f t="shared" si="37"/>
        <v>2021</v>
      </c>
      <c r="AB250" s="273">
        <f t="shared" si="38"/>
        <v>2</v>
      </c>
      <c r="AC250" s="278" t="s">
        <v>920</v>
      </c>
      <c r="AD250" s="278" t="s">
        <v>422</v>
      </c>
      <c r="AE250" s="278" t="s">
        <v>423</v>
      </c>
      <c r="AF250" s="278" t="s">
        <v>422</v>
      </c>
      <c r="AG250" s="278" t="s">
        <v>422</v>
      </c>
      <c r="AH250" s="278" t="s">
        <v>423</v>
      </c>
      <c r="AI250" s="278" t="s">
        <v>423</v>
      </c>
      <c r="AJ250" s="278" t="s">
        <v>423</v>
      </c>
      <c r="AK250" s="278" t="s">
        <v>423</v>
      </c>
      <c r="AL250" s="279" t="s">
        <v>491</v>
      </c>
      <c r="AM250" s="241"/>
      <c r="AN250" s="241"/>
    </row>
    <row r="251" spans="1:40" ht="15" customHeight="1" x14ac:dyDescent="0.3">
      <c r="A251" s="185">
        <v>217</v>
      </c>
      <c r="B251" s="230" t="s">
        <v>1230</v>
      </c>
      <c r="C251" s="247" t="s">
        <v>1615</v>
      </c>
      <c r="D251" s="200" t="s">
        <v>1881</v>
      </c>
      <c r="E251" s="383"/>
      <c r="F251" s="383" t="s">
        <v>1600</v>
      </c>
      <c r="G251" s="383" t="s">
        <v>1596</v>
      </c>
      <c r="H251" s="317" t="s">
        <v>422</v>
      </c>
      <c r="I251" s="356">
        <v>1.5</v>
      </c>
      <c r="J251" s="361">
        <v>7</v>
      </c>
      <c r="K251" s="317">
        <v>10</v>
      </c>
      <c r="L251" s="212">
        <v>1</v>
      </c>
      <c r="M251" s="212">
        <f t="shared" si="31"/>
        <v>19.5</v>
      </c>
      <c r="N251" s="212">
        <f t="shared" si="32"/>
        <v>12</v>
      </c>
      <c r="O251" s="212">
        <f t="shared" si="33"/>
        <v>28</v>
      </c>
      <c r="P251" s="212">
        <f t="shared" si="34"/>
        <v>66.666666666666671</v>
      </c>
      <c r="Q251" s="212">
        <f t="shared" si="35"/>
        <v>8</v>
      </c>
      <c r="R251" s="212">
        <f t="shared" si="36"/>
        <v>114.66666666666667</v>
      </c>
      <c r="S251" s="384" t="s">
        <v>1232</v>
      </c>
      <c r="T251" s="384" t="s">
        <v>1305</v>
      </c>
      <c r="U251" s="280">
        <v>134</v>
      </c>
      <c r="V251" s="280">
        <v>134</v>
      </c>
      <c r="W251" s="280">
        <v>134</v>
      </c>
      <c r="X251" s="374">
        <v>44089</v>
      </c>
      <c r="Y251" s="374">
        <v>44211</v>
      </c>
      <c r="Z251" s="276">
        <v>44253</v>
      </c>
      <c r="AA251" s="273">
        <f t="shared" si="37"/>
        <v>2021</v>
      </c>
      <c r="AB251" s="273">
        <f t="shared" si="38"/>
        <v>2</v>
      </c>
      <c r="AC251" s="278" t="s">
        <v>920</v>
      </c>
      <c r="AD251" s="278" t="s">
        <v>422</v>
      </c>
      <c r="AE251" s="278" t="s">
        <v>422</v>
      </c>
      <c r="AF251" s="278" t="s">
        <v>422</v>
      </c>
      <c r="AG251" s="278" t="s">
        <v>422</v>
      </c>
      <c r="AH251" s="278" t="s">
        <v>422</v>
      </c>
      <c r="AI251" s="278" t="s">
        <v>422</v>
      </c>
      <c r="AJ251" s="278" t="s">
        <v>422</v>
      </c>
      <c r="AK251" s="278" t="s">
        <v>423</v>
      </c>
      <c r="AL251" s="279" t="s">
        <v>140</v>
      </c>
      <c r="AM251" s="241"/>
      <c r="AN251" s="241"/>
    </row>
    <row r="252" spans="1:40" ht="15" customHeight="1" x14ac:dyDescent="0.3">
      <c r="A252" s="185">
        <v>228</v>
      </c>
      <c r="B252" s="230" t="s">
        <v>1280</v>
      </c>
      <c r="C252" s="247" t="s">
        <v>1615</v>
      </c>
      <c r="D252" s="200" t="s">
        <v>1881</v>
      </c>
      <c r="E252" s="381" t="s">
        <v>1596</v>
      </c>
      <c r="F252" s="383" t="s">
        <v>1600</v>
      </c>
      <c r="G252" s="382" t="s">
        <v>1604</v>
      </c>
      <c r="H252" s="317" t="s">
        <v>422</v>
      </c>
      <c r="I252" s="356">
        <v>1.5</v>
      </c>
      <c r="J252" s="317">
        <v>6.4</v>
      </c>
      <c r="K252" s="317">
        <v>0</v>
      </c>
      <c r="L252" s="212">
        <v>1</v>
      </c>
      <c r="M252" s="212">
        <f t="shared" si="31"/>
        <v>8.9</v>
      </c>
      <c r="N252" s="212">
        <f t="shared" si="32"/>
        <v>12</v>
      </c>
      <c r="O252" s="212">
        <f t="shared" si="33"/>
        <v>25.6</v>
      </c>
      <c r="P252" s="212">
        <f t="shared" si="34"/>
        <v>0</v>
      </c>
      <c r="Q252" s="212">
        <f t="shared" si="35"/>
        <v>8</v>
      </c>
      <c r="R252" s="212">
        <f t="shared" si="36"/>
        <v>45.6</v>
      </c>
      <c r="S252" s="384" t="s">
        <v>1300</v>
      </c>
      <c r="T252" s="384" t="s">
        <v>1301</v>
      </c>
      <c r="U252" s="280">
        <v>64</v>
      </c>
      <c r="V252" s="280">
        <v>65</v>
      </c>
      <c r="W252" s="280">
        <v>65</v>
      </c>
      <c r="X252" s="374">
        <v>44113</v>
      </c>
      <c r="Y252" s="374">
        <v>44208</v>
      </c>
      <c r="Z252" s="276">
        <v>44230</v>
      </c>
      <c r="AA252" s="273">
        <f t="shared" si="37"/>
        <v>2021</v>
      </c>
      <c r="AB252" s="273">
        <f t="shared" si="38"/>
        <v>2</v>
      </c>
      <c r="AC252" s="278" t="s">
        <v>920</v>
      </c>
      <c r="AD252" s="278" t="s">
        <v>422</v>
      </c>
      <c r="AE252" s="278" t="s">
        <v>423</v>
      </c>
      <c r="AF252" s="278" t="s">
        <v>422</v>
      </c>
      <c r="AG252" s="278" t="s">
        <v>422</v>
      </c>
      <c r="AH252" s="278" t="s">
        <v>423</v>
      </c>
      <c r="AI252" s="278" t="s">
        <v>423</v>
      </c>
      <c r="AJ252" s="278" t="s">
        <v>423</v>
      </c>
      <c r="AK252" s="278" t="s">
        <v>423</v>
      </c>
      <c r="AL252" s="279" t="s">
        <v>140</v>
      </c>
      <c r="AM252" s="241"/>
      <c r="AN252" s="241"/>
    </row>
    <row r="253" spans="1:40" ht="15" customHeight="1" x14ac:dyDescent="0.3">
      <c r="A253" s="185">
        <v>229</v>
      </c>
      <c r="B253" s="230" t="s">
        <v>1302</v>
      </c>
      <c r="C253" s="247" t="s">
        <v>1615</v>
      </c>
      <c r="D253" s="200" t="s">
        <v>1881</v>
      </c>
      <c r="E253" s="381" t="s">
        <v>1596</v>
      </c>
      <c r="F253" s="383" t="s">
        <v>1600</v>
      </c>
      <c r="G253" s="382" t="s">
        <v>1604</v>
      </c>
      <c r="H253" s="317" t="s">
        <v>1943</v>
      </c>
      <c r="I253" s="317">
        <v>1</v>
      </c>
      <c r="J253" s="317">
        <v>4.5</v>
      </c>
      <c r="K253" s="317">
        <v>0</v>
      </c>
      <c r="L253" s="212">
        <v>1</v>
      </c>
      <c r="M253" s="212">
        <f t="shared" si="31"/>
        <v>6.5</v>
      </c>
      <c r="N253" s="212">
        <f t="shared" si="32"/>
        <v>8</v>
      </c>
      <c r="O253" s="212">
        <f t="shared" si="33"/>
        <v>18</v>
      </c>
      <c r="P253" s="212">
        <f t="shared" si="34"/>
        <v>0</v>
      </c>
      <c r="Q253" s="212">
        <f t="shared" si="35"/>
        <v>8</v>
      </c>
      <c r="R253" s="212">
        <f t="shared" si="36"/>
        <v>34</v>
      </c>
      <c r="S253" s="384" t="s">
        <v>1303</v>
      </c>
      <c r="T253" s="384" t="s">
        <v>1304</v>
      </c>
      <c r="U253" s="375">
        <v>128</v>
      </c>
      <c r="V253" s="280">
        <v>128</v>
      </c>
      <c r="W253" s="280">
        <v>128</v>
      </c>
      <c r="X253" s="374">
        <v>44113</v>
      </c>
      <c r="Y253" s="374">
        <v>44208</v>
      </c>
      <c r="Z253" s="276">
        <v>44230</v>
      </c>
      <c r="AA253" s="273">
        <f t="shared" si="37"/>
        <v>2021</v>
      </c>
      <c r="AB253" s="273">
        <f t="shared" si="38"/>
        <v>2</v>
      </c>
      <c r="AC253" s="278" t="s">
        <v>920</v>
      </c>
      <c r="AD253" s="278" t="s">
        <v>422</v>
      </c>
      <c r="AE253" s="278" t="s">
        <v>422</v>
      </c>
      <c r="AF253" s="278" t="s">
        <v>422</v>
      </c>
      <c r="AG253" s="278" t="s">
        <v>422</v>
      </c>
      <c r="AH253" s="278" t="s">
        <v>422</v>
      </c>
      <c r="AI253" s="278" t="s">
        <v>423</v>
      </c>
      <c r="AJ253" s="278" t="s">
        <v>422</v>
      </c>
      <c r="AK253" s="278" t="s">
        <v>423</v>
      </c>
      <c r="AL253" s="279" t="s">
        <v>1372</v>
      </c>
      <c r="AM253" s="241"/>
      <c r="AN253" s="241"/>
    </row>
    <row r="254" spans="1:40" ht="15" customHeight="1" x14ac:dyDescent="0.3">
      <c r="A254" s="185">
        <v>240</v>
      </c>
      <c r="B254" s="230" t="s">
        <v>1333</v>
      </c>
      <c r="C254" s="247" t="s">
        <v>1615</v>
      </c>
      <c r="D254" s="200" t="s">
        <v>1881</v>
      </c>
      <c r="E254" s="381" t="s">
        <v>1596</v>
      </c>
      <c r="F254" s="383" t="s">
        <v>1600</v>
      </c>
      <c r="G254" s="382" t="s">
        <v>1604</v>
      </c>
      <c r="H254" s="317" t="s">
        <v>1943</v>
      </c>
      <c r="I254" s="317">
        <v>1</v>
      </c>
      <c r="J254" s="317">
        <v>8</v>
      </c>
      <c r="K254" s="317">
        <v>0</v>
      </c>
      <c r="L254" s="212">
        <v>1</v>
      </c>
      <c r="M254" s="212">
        <f t="shared" si="31"/>
        <v>10</v>
      </c>
      <c r="N254" s="212">
        <f t="shared" si="32"/>
        <v>8</v>
      </c>
      <c r="O254" s="212">
        <f t="shared" si="33"/>
        <v>32</v>
      </c>
      <c r="P254" s="212">
        <f t="shared" si="34"/>
        <v>0</v>
      </c>
      <c r="Q254" s="212">
        <f t="shared" si="35"/>
        <v>8</v>
      </c>
      <c r="R254" s="212">
        <f t="shared" si="36"/>
        <v>48</v>
      </c>
      <c r="S254" s="384" t="s">
        <v>1327</v>
      </c>
      <c r="T254" s="384" t="s">
        <v>1328</v>
      </c>
      <c r="U254" s="280">
        <v>132</v>
      </c>
      <c r="V254" s="280">
        <v>132</v>
      </c>
      <c r="W254" s="280">
        <v>132</v>
      </c>
      <c r="X254" s="374">
        <v>44119</v>
      </c>
      <c r="Y254" s="374">
        <v>44166</v>
      </c>
      <c r="Z254" s="276">
        <v>44230</v>
      </c>
      <c r="AA254" s="273">
        <f t="shared" si="37"/>
        <v>2021</v>
      </c>
      <c r="AB254" s="273">
        <f t="shared" si="38"/>
        <v>2</v>
      </c>
      <c r="AC254" s="278" t="s">
        <v>920</v>
      </c>
      <c r="AD254" s="278" t="s">
        <v>422</v>
      </c>
      <c r="AE254" s="278" t="s">
        <v>422</v>
      </c>
      <c r="AF254" s="278" t="s">
        <v>422</v>
      </c>
      <c r="AG254" s="278" t="s">
        <v>422</v>
      </c>
      <c r="AH254" s="278" t="s">
        <v>422</v>
      </c>
      <c r="AI254" s="278" t="s">
        <v>423</v>
      </c>
      <c r="AJ254" s="278" t="s">
        <v>422</v>
      </c>
      <c r="AK254" s="278" t="s">
        <v>423</v>
      </c>
      <c r="AL254" s="279" t="s">
        <v>1534</v>
      </c>
      <c r="AM254" s="241"/>
      <c r="AN254" s="241"/>
    </row>
    <row r="255" spans="1:40" ht="15" customHeight="1" x14ac:dyDescent="0.3">
      <c r="A255" s="185">
        <v>263</v>
      </c>
      <c r="B255" s="230" t="s">
        <v>1386</v>
      </c>
      <c r="C255" s="247" t="s">
        <v>1615</v>
      </c>
      <c r="D255" s="200" t="s">
        <v>1881</v>
      </c>
      <c r="E255" s="381" t="s">
        <v>1596</v>
      </c>
      <c r="F255" s="383" t="s">
        <v>1598</v>
      </c>
      <c r="G255" s="382" t="s">
        <v>1604</v>
      </c>
      <c r="H255" s="317" t="s">
        <v>422</v>
      </c>
      <c r="I255" s="317">
        <v>1.2</v>
      </c>
      <c r="J255" s="317">
        <v>7</v>
      </c>
      <c r="K255" s="317">
        <v>0</v>
      </c>
      <c r="L255" s="212">
        <v>1</v>
      </c>
      <c r="M255" s="212">
        <f t="shared" si="31"/>
        <v>9.1999999999999993</v>
      </c>
      <c r="N255" s="212">
        <f t="shared" si="32"/>
        <v>9.6</v>
      </c>
      <c r="O255" s="212">
        <f t="shared" si="33"/>
        <v>28</v>
      </c>
      <c r="P255" s="212">
        <f t="shared" si="34"/>
        <v>0</v>
      </c>
      <c r="Q255" s="212">
        <f t="shared" si="35"/>
        <v>8</v>
      </c>
      <c r="R255" s="212">
        <f t="shared" si="36"/>
        <v>45.6</v>
      </c>
      <c r="S255" s="384" t="s">
        <v>1388</v>
      </c>
      <c r="T255" s="384" t="s">
        <v>1389</v>
      </c>
      <c r="U255" s="280">
        <v>53</v>
      </c>
      <c r="V255" s="280">
        <v>53</v>
      </c>
      <c r="W255" s="280">
        <v>53</v>
      </c>
      <c r="X255" s="374">
        <v>44137</v>
      </c>
      <c r="Y255" s="374">
        <v>44180</v>
      </c>
      <c r="Z255" s="276">
        <v>44230</v>
      </c>
      <c r="AA255" s="273">
        <f t="shared" si="37"/>
        <v>2021</v>
      </c>
      <c r="AB255" s="273">
        <f t="shared" si="38"/>
        <v>2</v>
      </c>
      <c r="AC255" s="278" t="s">
        <v>920</v>
      </c>
      <c r="AD255" s="278" t="s">
        <v>422</v>
      </c>
      <c r="AE255" s="278" t="s">
        <v>422</v>
      </c>
      <c r="AF255" s="278" t="s">
        <v>422</v>
      </c>
      <c r="AG255" s="278" t="s">
        <v>422</v>
      </c>
      <c r="AH255" s="278" t="s">
        <v>422</v>
      </c>
      <c r="AI255" s="278" t="s">
        <v>423</v>
      </c>
      <c r="AJ255" s="278" t="s">
        <v>422</v>
      </c>
      <c r="AK255" s="278" t="s">
        <v>423</v>
      </c>
      <c r="AL255" s="279" t="s">
        <v>138</v>
      </c>
      <c r="AM255" s="241"/>
      <c r="AN255" s="241"/>
    </row>
    <row r="256" spans="1:40" ht="15" customHeight="1" x14ac:dyDescent="0.3">
      <c r="A256" s="185">
        <v>267</v>
      </c>
      <c r="B256" s="230" t="s">
        <v>1398</v>
      </c>
      <c r="C256" s="247" t="s">
        <v>1615</v>
      </c>
      <c r="D256" s="200" t="s">
        <v>1881</v>
      </c>
      <c r="E256" s="381"/>
      <c r="F256" s="383"/>
      <c r="G256" s="382" t="s">
        <v>1604</v>
      </c>
      <c r="H256" s="317" t="s">
        <v>422</v>
      </c>
      <c r="I256" s="356">
        <v>2</v>
      </c>
      <c r="J256" s="317">
        <v>4.5</v>
      </c>
      <c r="K256" s="317">
        <v>0</v>
      </c>
      <c r="L256" s="212">
        <v>1</v>
      </c>
      <c r="M256" s="212">
        <f t="shared" si="31"/>
        <v>7.5</v>
      </c>
      <c r="N256" s="212">
        <f t="shared" si="32"/>
        <v>16</v>
      </c>
      <c r="O256" s="212">
        <f t="shared" si="33"/>
        <v>18</v>
      </c>
      <c r="P256" s="212">
        <f t="shared" si="34"/>
        <v>0</v>
      </c>
      <c r="Q256" s="212">
        <f t="shared" si="35"/>
        <v>8</v>
      </c>
      <c r="R256" s="212">
        <f t="shared" si="36"/>
        <v>42</v>
      </c>
      <c r="S256" s="384" t="s">
        <v>1400</v>
      </c>
      <c r="T256" s="384" t="s">
        <v>1401</v>
      </c>
      <c r="U256" s="280">
        <v>45</v>
      </c>
      <c r="V256" s="280">
        <v>45</v>
      </c>
      <c r="W256" s="280">
        <v>45</v>
      </c>
      <c r="X256" s="374">
        <v>44137</v>
      </c>
      <c r="Y256" s="374">
        <v>44180</v>
      </c>
      <c r="Z256" s="276">
        <v>44230</v>
      </c>
      <c r="AA256" s="273">
        <f t="shared" si="37"/>
        <v>2021</v>
      </c>
      <c r="AB256" s="273">
        <f t="shared" si="38"/>
        <v>2</v>
      </c>
      <c r="AC256" s="278" t="s">
        <v>920</v>
      </c>
      <c r="AD256" s="278" t="s">
        <v>422</v>
      </c>
      <c r="AE256" s="278" t="s">
        <v>422</v>
      </c>
      <c r="AF256" s="278" t="s">
        <v>422</v>
      </c>
      <c r="AG256" s="278" t="s">
        <v>422</v>
      </c>
      <c r="AH256" s="278" t="s">
        <v>422</v>
      </c>
      <c r="AI256" s="278" t="s">
        <v>423</v>
      </c>
      <c r="AJ256" s="278" t="s">
        <v>422</v>
      </c>
      <c r="AK256" s="278" t="s">
        <v>423</v>
      </c>
      <c r="AL256" s="279" t="s">
        <v>888</v>
      </c>
      <c r="AM256" s="241"/>
      <c r="AN256" s="241"/>
    </row>
    <row r="257" spans="1:40" ht="15" customHeight="1" x14ac:dyDescent="0.3">
      <c r="A257" s="185">
        <v>122</v>
      </c>
      <c r="B257" s="247" t="s">
        <v>1026</v>
      </c>
      <c r="C257" s="247" t="s">
        <v>1615</v>
      </c>
      <c r="D257" s="335" t="s">
        <v>1881</v>
      </c>
      <c r="E257" s="381" t="s">
        <v>1596</v>
      </c>
      <c r="F257" s="281" t="s">
        <v>1598</v>
      </c>
      <c r="G257" s="382" t="s">
        <v>1604</v>
      </c>
      <c r="H257" s="317" t="s">
        <v>422</v>
      </c>
      <c r="I257" s="356">
        <v>2</v>
      </c>
      <c r="J257" s="317">
        <v>6.5</v>
      </c>
      <c r="K257" s="317">
        <v>0</v>
      </c>
      <c r="L257" s="212">
        <v>1</v>
      </c>
      <c r="M257" s="212">
        <f t="shared" si="31"/>
        <v>9.5</v>
      </c>
      <c r="N257" s="212">
        <f t="shared" si="32"/>
        <v>16</v>
      </c>
      <c r="O257" s="212">
        <f t="shared" si="33"/>
        <v>26</v>
      </c>
      <c r="P257" s="212">
        <f t="shared" si="34"/>
        <v>0</v>
      </c>
      <c r="Q257" s="212">
        <f t="shared" si="35"/>
        <v>8</v>
      </c>
      <c r="R257" s="212">
        <f t="shared" si="36"/>
        <v>50</v>
      </c>
      <c r="S257" s="379" t="s">
        <v>1031</v>
      </c>
      <c r="T257" s="313" t="s">
        <v>1034</v>
      </c>
      <c r="U257" s="280">
        <v>62</v>
      </c>
      <c r="V257" s="280">
        <v>62</v>
      </c>
      <c r="W257" s="280">
        <v>62</v>
      </c>
      <c r="X257" s="276">
        <v>44022</v>
      </c>
      <c r="Y257" s="277">
        <v>44042</v>
      </c>
      <c r="Z257" s="26">
        <v>44281</v>
      </c>
      <c r="AA257" s="273">
        <f t="shared" si="37"/>
        <v>2021</v>
      </c>
      <c r="AB257" s="273">
        <f t="shared" si="38"/>
        <v>3</v>
      </c>
      <c r="AC257" s="278" t="s">
        <v>920</v>
      </c>
      <c r="AD257" s="278" t="s">
        <v>422</v>
      </c>
      <c r="AE257" s="278" t="s">
        <v>422</v>
      </c>
      <c r="AF257" s="278" t="s">
        <v>422</v>
      </c>
      <c r="AG257" s="278" t="s">
        <v>422</v>
      </c>
      <c r="AH257" s="278" t="s">
        <v>422</v>
      </c>
      <c r="AI257" s="278" t="s">
        <v>423</v>
      </c>
      <c r="AJ257" s="278" t="s">
        <v>423</v>
      </c>
      <c r="AK257" s="278" t="s">
        <v>423</v>
      </c>
      <c r="AL257" s="279" t="s">
        <v>138</v>
      </c>
      <c r="AM257" s="244"/>
      <c r="AN257" s="244"/>
    </row>
    <row r="258" spans="1:40" ht="15" customHeight="1" x14ac:dyDescent="0.3">
      <c r="A258" s="185">
        <v>123</v>
      </c>
      <c r="B258" s="247" t="s">
        <v>1028</v>
      </c>
      <c r="C258" s="247" t="s">
        <v>1615</v>
      </c>
      <c r="D258" s="335" t="s">
        <v>1881</v>
      </c>
      <c r="E258" s="381" t="s">
        <v>1596</v>
      </c>
      <c r="F258" s="281" t="s">
        <v>1598</v>
      </c>
      <c r="G258" s="382" t="s">
        <v>1604</v>
      </c>
      <c r="H258" s="317" t="s">
        <v>422</v>
      </c>
      <c r="I258" s="356">
        <v>2</v>
      </c>
      <c r="J258" s="317">
        <v>10</v>
      </c>
      <c r="K258" s="317">
        <v>0</v>
      </c>
      <c r="L258" s="212">
        <v>1</v>
      </c>
      <c r="M258" s="212">
        <f t="shared" si="31"/>
        <v>13</v>
      </c>
      <c r="N258" s="212">
        <f t="shared" si="32"/>
        <v>16</v>
      </c>
      <c r="O258" s="212">
        <f t="shared" si="33"/>
        <v>40</v>
      </c>
      <c r="P258" s="212">
        <f t="shared" si="34"/>
        <v>0</v>
      </c>
      <c r="Q258" s="212">
        <f t="shared" si="35"/>
        <v>8</v>
      </c>
      <c r="R258" s="212">
        <f t="shared" si="36"/>
        <v>64</v>
      </c>
      <c r="S258" s="379" t="s">
        <v>1029</v>
      </c>
      <c r="T258" s="313" t="s">
        <v>1032</v>
      </c>
      <c r="U258" s="280">
        <v>57</v>
      </c>
      <c r="V258" s="280">
        <v>57</v>
      </c>
      <c r="W258" s="280">
        <v>57</v>
      </c>
      <c r="X258" s="276">
        <v>44026</v>
      </c>
      <c r="Y258" s="277">
        <v>44042</v>
      </c>
      <c r="Z258" s="26">
        <v>44281</v>
      </c>
      <c r="AA258" s="273">
        <f t="shared" si="37"/>
        <v>2021</v>
      </c>
      <c r="AB258" s="273">
        <f t="shared" si="38"/>
        <v>3</v>
      </c>
      <c r="AC258" s="278" t="s">
        <v>920</v>
      </c>
      <c r="AD258" s="278" t="s">
        <v>422</v>
      </c>
      <c r="AE258" s="278" t="s">
        <v>422</v>
      </c>
      <c r="AF258" s="278" t="s">
        <v>422</v>
      </c>
      <c r="AG258" s="278" t="s">
        <v>422</v>
      </c>
      <c r="AH258" s="278" t="s">
        <v>422</v>
      </c>
      <c r="AI258" s="278" t="s">
        <v>423</v>
      </c>
      <c r="AJ258" s="278" t="s">
        <v>423</v>
      </c>
      <c r="AK258" s="278" t="s">
        <v>423</v>
      </c>
      <c r="AL258" s="279" t="s">
        <v>1240</v>
      </c>
      <c r="AM258" s="244"/>
      <c r="AN258" s="244"/>
    </row>
    <row r="259" spans="1:40" ht="15" customHeight="1" x14ac:dyDescent="0.3">
      <c r="A259" s="185">
        <v>162</v>
      </c>
      <c r="B259" s="247" t="s">
        <v>1622</v>
      </c>
      <c r="C259" s="247" t="s">
        <v>1615</v>
      </c>
      <c r="D259" s="200" t="s">
        <v>1881</v>
      </c>
      <c r="E259" s="281"/>
      <c r="F259" s="281"/>
      <c r="G259" s="281" t="s">
        <v>1596</v>
      </c>
      <c r="H259" s="317" t="s">
        <v>422</v>
      </c>
      <c r="I259" s="356">
        <v>2</v>
      </c>
      <c r="J259" s="317">
        <v>6</v>
      </c>
      <c r="K259" s="317">
        <v>8</v>
      </c>
      <c r="L259" s="212">
        <v>1</v>
      </c>
      <c r="M259" s="212">
        <f t="shared" si="31"/>
        <v>17</v>
      </c>
      <c r="N259" s="212">
        <f t="shared" si="32"/>
        <v>16</v>
      </c>
      <c r="O259" s="212">
        <f t="shared" si="33"/>
        <v>24</v>
      </c>
      <c r="P259" s="212">
        <f t="shared" si="34"/>
        <v>53.333333333333336</v>
      </c>
      <c r="Q259" s="212">
        <f t="shared" si="35"/>
        <v>8</v>
      </c>
      <c r="R259" s="212">
        <f t="shared" si="36"/>
        <v>101.33333333333334</v>
      </c>
      <c r="S259" s="379" t="s">
        <v>1130</v>
      </c>
      <c r="T259" s="380" t="s">
        <v>1131</v>
      </c>
      <c r="U259" s="280">
        <v>66</v>
      </c>
      <c r="V259" s="280">
        <v>67</v>
      </c>
      <c r="W259" s="280">
        <v>67</v>
      </c>
      <c r="X259" s="276">
        <v>44064</v>
      </c>
      <c r="Y259" s="276">
        <v>44094</v>
      </c>
      <c r="Z259" s="26">
        <v>44281</v>
      </c>
      <c r="AA259" s="273">
        <f t="shared" si="37"/>
        <v>2021</v>
      </c>
      <c r="AB259" s="273">
        <f t="shared" si="38"/>
        <v>3</v>
      </c>
      <c r="AC259" s="278" t="s">
        <v>920</v>
      </c>
      <c r="AD259" s="278" t="s">
        <v>422</v>
      </c>
      <c r="AE259" s="278" t="s">
        <v>422</v>
      </c>
      <c r="AF259" s="278" t="s">
        <v>422</v>
      </c>
      <c r="AG259" s="278" t="s">
        <v>422</v>
      </c>
      <c r="AH259" s="278" t="s">
        <v>422</v>
      </c>
      <c r="AI259" s="278" t="s">
        <v>422</v>
      </c>
      <c r="AJ259" s="278" t="s">
        <v>422</v>
      </c>
      <c r="AK259" s="278" t="s">
        <v>422</v>
      </c>
      <c r="AL259" s="279" t="s">
        <v>140</v>
      </c>
      <c r="AM259" s="241"/>
      <c r="AN259" s="241"/>
    </row>
    <row r="260" spans="1:40" ht="15" customHeight="1" x14ac:dyDescent="0.3">
      <c r="A260" s="185">
        <v>190</v>
      </c>
      <c r="B260" s="247" t="s">
        <v>1202</v>
      </c>
      <c r="C260" s="247" t="s">
        <v>1618</v>
      </c>
      <c r="D260" s="200" t="s">
        <v>1881</v>
      </c>
      <c r="E260" s="281"/>
      <c r="F260" s="281" t="s">
        <v>1598</v>
      </c>
      <c r="G260" s="368" t="s">
        <v>1604</v>
      </c>
      <c r="H260" s="248" t="s">
        <v>422</v>
      </c>
      <c r="I260" s="317">
        <v>1.7</v>
      </c>
      <c r="J260" s="317">
        <v>8.1999999999999993</v>
      </c>
      <c r="K260" s="317">
        <v>0</v>
      </c>
      <c r="L260" s="212">
        <v>1.5</v>
      </c>
      <c r="M260" s="212">
        <f t="shared" si="31"/>
        <v>11.399999999999999</v>
      </c>
      <c r="N260" s="212">
        <f t="shared" si="32"/>
        <v>13.6</v>
      </c>
      <c r="O260" s="212">
        <f t="shared" si="33"/>
        <v>32.799999999999997</v>
      </c>
      <c r="P260" s="212">
        <f t="shared" si="34"/>
        <v>0</v>
      </c>
      <c r="Q260" s="212">
        <f t="shared" si="35"/>
        <v>12</v>
      </c>
      <c r="R260" s="212">
        <f t="shared" si="36"/>
        <v>58.4</v>
      </c>
      <c r="S260" s="379" t="s">
        <v>1266</v>
      </c>
      <c r="T260" s="380" t="s">
        <v>1267</v>
      </c>
      <c r="U260" s="280">
        <v>65</v>
      </c>
      <c r="V260" s="280">
        <v>66</v>
      </c>
      <c r="W260" s="280">
        <v>66</v>
      </c>
      <c r="X260" s="276">
        <v>44073</v>
      </c>
      <c r="Y260" s="276">
        <v>44166</v>
      </c>
      <c r="Z260" s="276">
        <v>44268</v>
      </c>
      <c r="AA260" s="273">
        <f t="shared" si="37"/>
        <v>2021</v>
      </c>
      <c r="AB260" s="273">
        <f t="shared" si="38"/>
        <v>3</v>
      </c>
      <c r="AC260" s="278" t="s">
        <v>920</v>
      </c>
      <c r="AD260" s="278" t="s">
        <v>422</v>
      </c>
      <c r="AE260" s="278" t="s">
        <v>422</v>
      </c>
      <c r="AF260" s="278" t="s">
        <v>422</v>
      </c>
      <c r="AG260" s="278" t="s">
        <v>422</v>
      </c>
      <c r="AH260" s="278" t="s">
        <v>422</v>
      </c>
      <c r="AI260" s="278" t="s">
        <v>423</v>
      </c>
      <c r="AJ260" s="278" t="s">
        <v>422</v>
      </c>
      <c r="AK260" s="278" t="s">
        <v>423</v>
      </c>
      <c r="AL260" s="279" t="s">
        <v>1240</v>
      </c>
      <c r="AM260" s="241"/>
      <c r="AN260" s="241"/>
    </row>
    <row r="261" spans="1:40" ht="15" customHeight="1" x14ac:dyDescent="0.3">
      <c r="A261" s="185">
        <v>220</v>
      </c>
      <c r="B261" s="230" t="s">
        <v>1272</v>
      </c>
      <c r="C261" s="247" t="s">
        <v>1615</v>
      </c>
      <c r="D261" s="200" t="s">
        <v>1881</v>
      </c>
      <c r="E261" s="381" t="s">
        <v>1596</v>
      </c>
      <c r="F261" s="383"/>
      <c r="G261" s="230" t="s">
        <v>1596</v>
      </c>
      <c r="H261" s="248" t="s">
        <v>422</v>
      </c>
      <c r="I261" s="356">
        <v>2</v>
      </c>
      <c r="J261" s="317">
        <v>7</v>
      </c>
      <c r="K261" s="317">
        <v>29</v>
      </c>
      <c r="L261" s="212">
        <v>1</v>
      </c>
      <c r="M261" s="212">
        <f t="shared" si="31"/>
        <v>39</v>
      </c>
      <c r="N261" s="212">
        <f t="shared" si="32"/>
        <v>16</v>
      </c>
      <c r="O261" s="212">
        <f t="shared" si="33"/>
        <v>28</v>
      </c>
      <c r="P261" s="212">
        <f t="shared" si="34"/>
        <v>193.33333333333334</v>
      </c>
      <c r="Q261" s="212">
        <f t="shared" si="35"/>
        <v>8</v>
      </c>
      <c r="R261" s="212">
        <f t="shared" si="36"/>
        <v>245.33333333333334</v>
      </c>
      <c r="S261" s="384" t="s">
        <v>1285</v>
      </c>
      <c r="T261" s="384" t="s">
        <v>1286</v>
      </c>
      <c r="U261" s="280">
        <v>94</v>
      </c>
      <c r="V261" s="280">
        <v>94</v>
      </c>
      <c r="W261" s="280">
        <v>94</v>
      </c>
      <c r="X261" s="374">
        <v>44113</v>
      </c>
      <c r="Y261" s="374">
        <v>44208</v>
      </c>
      <c r="Z261" s="276">
        <v>44281</v>
      </c>
      <c r="AA261" s="273">
        <f t="shared" si="37"/>
        <v>2021</v>
      </c>
      <c r="AB261" s="273">
        <f t="shared" si="38"/>
        <v>3</v>
      </c>
      <c r="AC261" s="278" t="s">
        <v>920</v>
      </c>
      <c r="AD261" s="278" t="s">
        <v>422</v>
      </c>
      <c r="AE261" s="278" t="s">
        <v>422</v>
      </c>
      <c r="AF261" s="278" t="s">
        <v>422</v>
      </c>
      <c r="AG261" s="278" t="s">
        <v>422</v>
      </c>
      <c r="AH261" s="278" t="s">
        <v>422</v>
      </c>
      <c r="AI261" s="278" t="s">
        <v>422</v>
      </c>
      <c r="AJ261" s="278" t="s">
        <v>422</v>
      </c>
      <c r="AK261" s="278" t="s">
        <v>423</v>
      </c>
      <c r="AL261" s="279" t="s">
        <v>1910</v>
      </c>
      <c r="AM261" s="241"/>
      <c r="AN261" s="241"/>
    </row>
    <row r="262" spans="1:40" ht="15" customHeight="1" x14ac:dyDescent="0.3">
      <c r="A262" s="185">
        <v>221</v>
      </c>
      <c r="B262" s="230" t="s">
        <v>1273</v>
      </c>
      <c r="C262" s="247" t="s">
        <v>1615</v>
      </c>
      <c r="D262" s="200" t="s">
        <v>1881</v>
      </c>
      <c r="E262" s="381" t="s">
        <v>1596</v>
      </c>
      <c r="F262" s="383"/>
      <c r="G262" s="230" t="s">
        <v>1596</v>
      </c>
      <c r="H262" s="248" t="s">
        <v>422</v>
      </c>
      <c r="I262" s="356">
        <v>2</v>
      </c>
      <c r="J262" s="317">
        <v>7.5</v>
      </c>
      <c r="K262" s="317">
        <v>29</v>
      </c>
      <c r="L262" s="212">
        <v>1</v>
      </c>
      <c r="M262" s="212">
        <f t="shared" si="31"/>
        <v>39.5</v>
      </c>
      <c r="N262" s="212">
        <f t="shared" si="32"/>
        <v>16</v>
      </c>
      <c r="O262" s="212">
        <f t="shared" si="33"/>
        <v>30</v>
      </c>
      <c r="P262" s="212">
        <f t="shared" si="34"/>
        <v>193.33333333333334</v>
      </c>
      <c r="Q262" s="212">
        <f t="shared" si="35"/>
        <v>8</v>
      </c>
      <c r="R262" s="212">
        <f t="shared" si="36"/>
        <v>247.33333333333334</v>
      </c>
      <c r="S262" s="384" t="s">
        <v>1287</v>
      </c>
      <c r="T262" s="384" t="s">
        <v>1288</v>
      </c>
      <c r="U262" s="280">
        <v>82</v>
      </c>
      <c r="V262" s="280">
        <v>82</v>
      </c>
      <c r="W262" s="280">
        <v>82</v>
      </c>
      <c r="X262" s="374">
        <v>44113</v>
      </c>
      <c r="Y262" s="374">
        <v>44208</v>
      </c>
      <c r="Z262" s="276">
        <v>44281</v>
      </c>
      <c r="AA262" s="273">
        <f t="shared" si="37"/>
        <v>2021</v>
      </c>
      <c r="AB262" s="273">
        <f t="shared" si="38"/>
        <v>3</v>
      </c>
      <c r="AC262" s="278" t="s">
        <v>920</v>
      </c>
      <c r="AD262" s="278" t="s">
        <v>422</v>
      </c>
      <c r="AE262" s="278" t="s">
        <v>422</v>
      </c>
      <c r="AF262" s="278" t="s">
        <v>422</v>
      </c>
      <c r="AG262" s="278" t="s">
        <v>422</v>
      </c>
      <c r="AH262" s="278" t="s">
        <v>422</v>
      </c>
      <c r="AI262" s="278" t="s">
        <v>422</v>
      </c>
      <c r="AJ262" s="278" t="s">
        <v>422</v>
      </c>
      <c r="AK262" s="278" t="s">
        <v>423</v>
      </c>
      <c r="AL262" s="279" t="s">
        <v>1910</v>
      </c>
      <c r="AM262" s="241"/>
      <c r="AN262" s="241"/>
    </row>
    <row r="263" spans="1:40" ht="15" customHeight="1" x14ac:dyDescent="0.3">
      <c r="A263" s="185">
        <v>222</v>
      </c>
      <c r="B263" s="230" t="s">
        <v>1274</v>
      </c>
      <c r="C263" s="247" t="s">
        <v>1615</v>
      </c>
      <c r="D263" s="200" t="s">
        <v>1881</v>
      </c>
      <c r="E263" s="381" t="s">
        <v>1596</v>
      </c>
      <c r="F263" s="383"/>
      <c r="G263" s="230" t="s">
        <v>1596</v>
      </c>
      <c r="H263" s="248" t="s">
        <v>422</v>
      </c>
      <c r="I263" s="356">
        <v>2</v>
      </c>
      <c r="J263" s="317">
        <v>7.5</v>
      </c>
      <c r="K263" s="317">
        <v>29</v>
      </c>
      <c r="L263" s="212">
        <v>1</v>
      </c>
      <c r="M263" s="212">
        <f t="shared" ref="M263:M326" si="40">SUM((I263:L263))</f>
        <v>39.5</v>
      </c>
      <c r="N263" s="212">
        <f t="shared" ref="N263:N326" si="41">+I263/0.125</f>
        <v>16</v>
      </c>
      <c r="O263" s="212">
        <f t="shared" ref="O263:O326" si="42">+J263/0.25</f>
        <v>30</v>
      </c>
      <c r="P263" s="212">
        <f t="shared" ref="P263:P326" si="43">+K263/0.15</f>
        <v>193.33333333333334</v>
      </c>
      <c r="Q263" s="212">
        <f t="shared" ref="Q263:Q326" si="44">+L263/0.125</f>
        <v>8</v>
      </c>
      <c r="R263" s="212">
        <f t="shared" ref="R263:R326" si="45">SUM(N263:Q263)</f>
        <v>247.33333333333334</v>
      </c>
      <c r="S263" s="384" t="s">
        <v>1289</v>
      </c>
      <c r="T263" s="384" t="s">
        <v>1290</v>
      </c>
      <c r="U263" s="280">
        <v>86</v>
      </c>
      <c r="V263" s="280">
        <v>86</v>
      </c>
      <c r="W263" s="280">
        <v>86</v>
      </c>
      <c r="X263" s="374">
        <v>44113</v>
      </c>
      <c r="Y263" s="374">
        <v>44208</v>
      </c>
      <c r="Z263" s="276">
        <v>44281</v>
      </c>
      <c r="AA263" s="273">
        <f t="shared" ref="AA263:AA326" si="46">IF(YEAR(Z263)&gt;2000,YEAR(Z263),YEAR(Y263))</f>
        <v>2021</v>
      </c>
      <c r="AB263" s="273">
        <f t="shared" ref="AB263:AB326" si="47">MONTH(Z263)</f>
        <v>3</v>
      </c>
      <c r="AC263" s="278" t="s">
        <v>920</v>
      </c>
      <c r="AD263" s="278" t="s">
        <v>422</v>
      </c>
      <c r="AE263" s="278" t="s">
        <v>422</v>
      </c>
      <c r="AF263" s="278" t="s">
        <v>422</v>
      </c>
      <c r="AG263" s="278" t="s">
        <v>422</v>
      </c>
      <c r="AH263" s="278" t="s">
        <v>422</v>
      </c>
      <c r="AI263" s="278" t="s">
        <v>422</v>
      </c>
      <c r="AJ263" s="278" t="s">
        <v>422</v>
      </c>
      <c r="AK263" s="278" t="s">
        <v>423</v>
      </c>
      <c r="AL263" s="279" t="s">
        <v>1910</v>
      </c>
      <c r="AM263" s="241"/>
      <c r="AN263" s="241"/>
    </row>
    <row r="264" spans="1:40" ht="15" customHeight="1" x14ac:dyDescent="0.3">
      <c r="A264" s="185">
        <v>223</v>
      </c>
      <c r="B264" s="230" t="s">
        <v>1275</v>
      </c>
      <c r="C264" s="247" t="s">
        <v>1615</v>
      </c>
      <c r="D264" s="200" t="s">
        <v>1881</v>
      </c>
      <c r="E264" s="381" t="s">
        <v>1596</v>
      </c>
      <c r="F264" s="383"/>
      <c r="G264" s="230" t="s">
        <v>1596</v>
      </c>
      <c r="H264" s="248" t="s">
        <v>422</v>
      </c>
      <c r="I264" s="356">
        <v>2</v>
      </c>
      <c r="J264" s="317">
        <v>8</v>
      </c>
      <c r="K264" s="317">
        <v>29</v>
      </c>
      <c r="L264" s="212">
        <v>1</v>
      </c>
      <c r="M264" s="212">
        <f t="shared" si="40"/>
        <v>40</v>
      </c>
      <c r="N264" s="212">
        <f t="shared" si="41"/>
        <v>16</v>
      </c>
      <c r="O264" s="212">
        <f t="shared" si="42"/>
        <v>32</v>
      </c>
      <c r="P264" s="212">
        <f t="shared" si="43"/>
        <v>193.33333333333334</v>
      </c>
      <c r="Q264" s="212">
        <f t="shared" si="44"/>
        <v>8</v>
      </c>
      <c r="R264" s="212">
        <f t="shared" si="45"/>
        <v>249.33333333333334</v>
      </c>
      <c r="S264" s="384" t="s">
        <v>1291</v>
      </c>
      <c r="T264" s="384" t="s">
        <v>697</v>
      </c>
      <c r="U264" s="280">
        <v>24</v>
      </c>
      <c r="V264" s="280">
        <v>24</v>
      </c>
      <c r="W264" s="280">
        <v>24</v>
      </c>
      <c r="X264" s="374">
        <v>44113</v>
      </c>
      <c r="Y264" s="374">
        <v>44208</v>
      </c>
      <c r="Z264" s="276">
        <v>44281</v>
      </c>
      <c r="AA264" s="273">
        <f t="shared" si="46"/>
        <v>2021</v>
      </c>
      <c r="AB264" s="273">
        <f t="shared" si="47"/>
        <v>3</v>
      </c>
      <c r="AC264" s="278" t="s">
        <v>920</v>
      </c>
      <c r="AD264" s="278" t="s">
        <v>422</v>
      </c>
      <c r="AE264" s="278" t="s">
        <v>422</v>
      </c>
      <c r="AF264" s="278" t="s">
        <v>422</v>
      </c>
      <c r="AG264" s="278" t="s">
        <v>422</v>
      </c>
      <c r="AH264" s="278" t="s">
        <v>422</v>
      </c>
      <c r="AI264" s="278" t="s">
        <v>422</v>
      </c>
      <c r="AJ264" s="278" t="s">
        <v>422</v>
      </c>
      <c r="AK264" s="278" t="s">
        <v>423</v>
      </c>
      <c r="AL264" s="279" t="s">
        <v>1533</v>
      </c>
      <c r="AM264" s="241"/>
      <c r="AN264" s="241"/>
    </row>
    <row r="265" spans="1:40" ht="15" customHeight="1" x14ac:dyDescent="0.3">
      <c r="A265" s="185">
        <v>224</v>
      </c>
      <c r="B265" s="230" t="s">
        <v>1276</v>
      </c>
      <c r="C265" s="247" t="s">
        <v>1615</v>
      </c>
      <c r="D265" s="200" t="s">
        <v>1881</v>
      </c>
      <c r="E265" s="383"/>
      <c r="F265" s="383"/>
      <c r="G265" s="368" t="s">
        <v>1604</v>
      </c>
      <c r="H265" s="248" t="s">
        <v>422</v>
      </c>
      <c r="I265" s="356">
        <v>2</v>
      </c>
      <c r="J265" s="317">
        <v>6</v>
      </c>
      <c r="K265" s="317">
        <v>0</v>
      </c>
      <c r="L265" s="212">
        <v>1</v>
      </c>
      <c r="M265" s="212">
        <f t="shared" si="40"/>
        <v>9</v>
      </c>
      <c r="N265" s="212">
        <f t="shared" si="41"/>
        <v>16</v>
      </c>
      <c r="O265" s="212">
        <f t="shared" si="42"/>
        <v>24</v>
      </c>
      <c r="P265" s="212">
        <f t="shared" si="43"/>
        <v>0</v>
      </c>
      <c r="Q265" s="212">
        <f t="shared" si="44"/>
        <v>8</v>
      </c>
      <c r="R265" s="212">
        <f t="shared" si="45"/>
        <v>48</v>
      </c>
      <c r="S265" s="384" t="s">
        <v>1292</v>
      </c>
      <c r="T265" s="384" t="s">
        <v>1293</v>
      </c>
      <c r="U265" s="280">
        <v>54</v>
      </c>
      <c r="V265" s="280">
        <v>56</v>
      </c>
      <c r="W265" s="280">
        <v>56</v>
      </c>
      <c r="X265" s="374">
        <v>44113</v>
      </c>
      <c r="Y265" s="374">
        <v>44208</v>
      </c>
      <c r="Z265" s="276">
        <v>44281</v>
      </c>
      <c r="AA265" s="273">
        <f t="shared" si="46"/>
        <v>2021</v>
      </c>
      <c r="AB265" s="273">
        <f t="shared" si="47"/>
        <v>3</v>
      </c>
      <c r="AC265" s="278" t="s">
        <v>920</v>
      </c>
      <c r="AD265" s="278" t="s">
        <v>422</v>
      </c>
      <c r="AE265" s="278" t="s">
        <v>422</v>
      </c>
      <c r="AF265" s="278" t="s">
        <v>422</v>
      </c>
      <c r="AG265" s="278" t="s">
        <v>422</v>
      </c>
      <c r="AH265" s="278" t="s">
        <v>422</v>
      </c>
      <c r="AI265" s="278" t="s">
        <v>423</v>
      </c>
      <c r="AJ265" s="278" t="s">
        <v>422</v>
      </c>
      <c r="AK265" s="278" t="s">
        <v>423</v>
      </c>
      <c r="AL265" s="279" t="s">
        <v>1372</v>
      </c>
      <c r="AM265" s="241"/>
      <c r="AN265" s="241"/>
    </row>
    <row r="266" spans="1:40" ht="15" customHeight="1" x14ac:dyDescent="0.3">
      <c r="A266" s="185">
        <v>225</v>
      </c>
      <c r="B266" s="230" t="s">
        <v>1277</v>
      </c>
      <c r="C266" s="247" t="s">
        <v>1615</v>
      </c>
      <c r="D266" s="200" t="s">
        <v>1881</v>
      </c>
      <c r="E266" s="230"/>
      <c r="F266" s="383"/>
      <c r="G266" s="368" t="s">
        <v>1604</v>
      </c>
      <c r="H266" s="248" t="s">
        <v>422</v>
      </c>
      <c r="I266" s="356">
        <v>2</v>
      </c>
      <c r="J266" s="317">
        <v>6.5</v>
      </c>
      <c r="K266" s="317">
        <v>0</v>
      </c>
      <c r="L266" s="212">
        <v>1</v>
      </c>
      <c r="M266" s="212">
        <f t="shared" si="40"/>
        <v>9.5</v>
      </c>
      <c r="N266" s="212">
        <f t="shared" si="41"/>
        <v>16</v>
      </c>
      <c r="O266" s="212">
        <f t="shared" si="42"/>
        <v>26</v>
      </c>
      <c r="P266" s="212">
        <f t="shared" si="43"/>
        <v>0</v>
      </c>
      <c r="Q266" s="212">
        <f t="shared" si="44"/>
        <v>8</v>
      </c>
      <c r="R266" s="212">
        <f t="shared" si="45"/>
        <v>50</v>
      </c>
      <c r="S266" s="384" t="s">
        <v>1294</v>
      </c>
      <c r="T266" s="384" t="s">
        <v>1295</v>
      </c>
      <c r="U266" s="280">
        <v>45</v>
      </c>
      <c r="V266" s="280">
        <v>47</v>
      </c>
      <c r="W266" s="280">
        <v>47</v>
      </c>
      <c r="X266" s="374">
        <v>44113</v>
      </c>
      <c r="Y266" s="374">
        <v>44208</v>
      </c>
      <c r="Z266" s="276">
        <v>44281</v>
      </c>
      <c r="AA266" s="273">
        <f t="shared" si="46"/>
        <v>2021</v>
      </c>
      <c r="AB266" s="273">
        <f t="shared" si="47"/>
        <v>3</v>
      </c>
      <c r="AC266" s="278" t="s">
        <v>920</v>
      </c>
      <c r="AD266" s="278" t="s">
        <v>422</v>
      </c>
      <c r="AE266" s="278" t="s">
        <v>422</v>
      </c>
      <c r="AF266" s="278" t="s">
        <v>422</v>
      </c>
      <c r="AG266" s="278" t="s">
        <v>422</v>
      </c>
      <c r="AH266" s="278" t="s">
        <v>422</v>
      </c>
      <c r="AI266" s="278" t="s">
        <v>423</v>
      </c>
      <c r="AJ266" s="278" t="s">
        <v>422</v>
      </c>
      <c r="AK266" s="278" t="s">
        <v>423</v>
      </c>
      <c r="AL266" s="279" t="s">
        <v>1372</v>
      </c>
      <c r="AM266" s="241"/>
      <c r="AN266" s="241"/>
    </row>
    <row r="267" spans="1:40" ht="15" customHeight="1" x14ac:dyDescent="0.3">
      <c r="A267" s="185">
        <v>226</v>
      </c>
      <c r="B267" s="230" t="s">
        <v>1278</v>
      </c>
      <c r="C267" s="247" t="s">
        <v>1615</v>
      </c>
      <c r="D267" s="200" t="s">
        <v>1881</v>
      </c>
      <c r="E267" s="230"/>
      <c r="F267" s="383"/>
      <c r="G267" s="368" t="s">
        <v>1604</v>
      </c>
      <c r="H267" s="248" t="s">
        <v>422</v>
      </c>
      <c r="I267" s="356">
        <v>2</v>
      </c>
      <c r="J267" s="317">
        <v>7</v>
      </c>
      <c r="K267" s="317">
        <v>0</v>
      </c>
      <c r="L267" s="212">
        <v>1</v>
      </c>
      <c r="M267" s="212">
        <f t="shared" si="40"/>
        <v>10</v>
      </c>
      <c r="N267" s="212">
        <f t="shared" si="41"/>
        <v>16</v>
      </c>
      <c r="O267" s="212">
        <f t="shared" si="42"/>
        <v>28</v>
      </c>
      <c r="P267" s="212">
        <f t="shared" si="43"/>
        <v>0</v>
      </c>
      <c r="Q267" s="212">
        <f t="shared" si="44"/>
        <v>8</v>
      </c>
      <c r="R267" s="212">
        <f t="shared" si="45"/>
        <v>52</v>
      </c>
      <c r="S267" s="384" t="s">
        <v>1296</v>
      </c>
      <c r="T267" s="384" t="s">
        <v>1297</v>
      </c>
      <c r="U267" s="280">
        <v>73</v>
      </c>
      <c r="V267" s="280">
        <v>69</v>
      </c>
      <c r="W267" s="280">
        <v>69</v>
      </c>
      <c r="X267" s="374">
        <v>44113</v>
      </c>
      <c r="Y267" s="374">
        <v>44208</v>
      </c>
      <c r="Z267" s="276">
        <v>44281</v>
      </c>
      <c r="AA267" s="273">
        <f t="shared" si="46"/>
        <v>2021</v>
      </c>
      <c r="AB267" s="273">
        <f t="shared" si="47"/>
        <v>3</v>
      </c>
      <c r="AC267" s="278" t="s">
        <v>920</v>
      </c>
      <c r="AD267" s="278" t="s">
        <v>422</v>
      </c>
      <c r="AE267" s="278" t="s">
        <v>422</v>
      </c>
      <c r="AF267" s="278" t="s">
        <v>422</v>
      </c>
      <c r="AG267" s="278" t="s">
        <v>422</v>
      </c>
      <c r="AH267" s="278" t="s">
        <v>422</v>
      </c>
      <c r="AI267" s="278" t="s">
        <v>423</v>
      </c>
      <c r="AJ267" s="278" t="s">
        <v>422</v>
      </c>
      <c r="AK267" s="278" t="s">
        <v>423</v>
      </c>
      <c r="AL267" s="279" t="s">
        <v>1372</v>
      </c>
      <c r="AM267" s="241"/>
      <c r="AN267" s="241"/>
    </row>
    <row r="268" spans="1:40" ht="15" customHeight="1" x14ac:dyDescent="0.3">
      <c r="A268" s="185">
        <v>227</v>
      </c>
      <c r="B268" s="230" t="s">
        <v>1279</v>
      </c>
      <c r="C268" s="247" t="s">
        <v>1615</v>
      </c>
      <c r="D268" s="200" t="s">
        <v>1881</v>
      </c>
      <c r="E268" s="230"/>
      <c r="F268" s="383" t="s">
        <v>1598</v>
      </c>
      <c r="G268" s="368" t="s">
        <v>1604</v>
      </c>
      <c r="H268" s="248" t="s">
        <v>422</v>
      </c>
      <c r="I268" s="317">
        <v>1.8</v>
      </c>
      <c r="J268" s="317">
        <v>15</v>
      </c>
      <c r="K268" s="317">
        <v>0</v>
      </c>
      <c r="L268" s="212">
        <v>1</v>
      </c>
      <c r="M268" s="212">
        <f t="shared" si="40"/>
        <v>17.8</v>
      </c>
      <c r="N268" s="212">
        <f t="shared" si="41"/>
        <v>14.4</v>
      </c>
      <c r="O268" s="212">
        <f t="shared" si="42"/>
        <v>60</v>
      </c>
      <c r="P268" s="212">
        <f t="shared" si="43"/>
        <v>0</v>
      </c>
      <c r="Q268" s="212">
        <f t="shared" si="44"/>
        <v>8</v>
      </c>
      <c r="R268" s="212">
        <f t="shared" si="45"/>
        <v>82.4</v>
      </c>
      <c r="S268" s="384" t="s">
        <v>1298</v>
      </c>
      <c r="T268" s="384" t="s">
        <v>1299</v>
      </c>
      <c r="U268" s="280">
        <v>168</v>
      </c>
      <c r="V268" s="280">
        <v>170</v>
      </c>
      <c r="W268" s="280">
        <v>170</v>
      </c>
      <c r="X268" s="374">
        <v>44113</v>
      </c>
      <c r="Y268" s="374">
        <v>44208</v>
      </c>
      <c r="Z268" s="276">
        <v>44281</v>
      </c>
      <c r="AA268" s="273">
        <f t="shared" si="46"/>
        <v>2021</v>
      </c>
      <c r="AB268" s="273">
        <f t="shared" si="47"/>
        <v>3</v>
      </c>
      <c r="AC268" s="278" t="s">
        <v>920</v>
      </c>
      <c r="AD268" s="278" t="s">
        <v>422</v>
      </c>
      <c r="AE268" s="278" t="s">
        <v>422</v>
      </c>
      <c r="AF268" s="278" t="s">
        <v>422</v>
      </c>
      <c r="AG268" s="278" t="s">
        <v>422</v>
      </c>
      <c r="AH268" s="278" t="s">
        <v>422</v>
      </c>
      <c r="AI268" s="278" t="s">
        <v>423</v>
      </c>
      <c r="AJ268" s="278" t="s">
        <v>423</v>
      </c>
      <c r="AK268" s="278" t="s">
        <v>422</v>
      </c>
      <c r="AL268" s="279" t="s">
        <v>140</v>
      </c>
      <c r="AM268" s="241"/>
      <c r="AN268" s="241"/>
    </row>
    <row r="269" spans="1:40" ht="15" customHeight="1" x14ac:dyDescent="0.3">
      <c r="A269" s="185">
        <v>238</v>
      </c>
      <c r="B269" s="230" t="s">
        <v>1331</v>
      </c>
      <c r="C269" s="247" t="s">
        <v>1615</v>
      </c>
      <c r="D269" s="200" t="s">
        <v>1881</v>
      </c>
      <c r="E269" s="370" t="s">
        <v>1596</v>
      </c>
      <c r="F269" s="383" t="s">
        <v>1600</v>
      </c>
      <c r="G269" s="368" t="s">
        <v>1604</v>
      </c>
      <c r="H269" s="248" t="s">
        <v>422</v>
      </c>
      <c r="I269" s="317">
        <v>1</v>
      </c>
      <c r="J269" s="317">
        <v>10.8</v>
      </c>
      <c r="K269" s="317">
        <v>0</v>
      </c>
      <c r="L269" s="212">
        <v>1.5</v>
      </c>
      <c r="M269" s="212">
        <f t="shared" si="40"/>
        <v>13.3</v>
      </c>
      <c r="N269" s="212">
        <f t="shared" si="41"/>
        <v>8</v>
      </c>
      <c r="O269" s="212">
        <f t="shared" si="42"/>
        <v>43.2</v>
      </c>
      <c r="P269" s="212">
        <f t="shared" si="43"/>
        <v>0</v>
      </c>
      <c r="Q269" s="212">
        <f t="shared" si="44"/>
        <v>12</v>
      </c>
      <c r="R269" s="212">
        <f t="shared" si="45"/>
        <v>63.2</v>
      </c>
      <c r="S269" s="384" t="s">
        <v>1323</v>
      </c>
      <c r="T269" s="384" t="s">
        <v>1324</v>
      </c>
      <c r="U269" s="280">
        <v>140</v>
      </c>
      <c r="V269" s="280">
        <v>140</v>
      </c>
      <c r="W269" s="280">
        <v>140</v>
      </c>
      <c r="X269" s="374">
        <v>44119</v>
      </c>
      <c r="Y269" s="374">
        <v>44166</v>
      </c>
      <c r="Z269" s="276">
        <v>44281</v>
      </c>
      <c r="AA269" s="273">
        <f t="shared" si="46"/>
        <v>2021</v>
      </c>
      <c r="AB269" s="273">
        <f t="shared" si="47"/>
        <v>3</v>
      </c>
      <c r="AC269" s="278" t="s">
        <v>920</v>
      </c>
      <c r="AD269" s="278" t="s">
        <v>422</v>
      </c>
      <c r="AE269" s="278" t="s">
        <v>422</v>
      </c>
      <c r="AF269" s="278" t="s">
        <v>422</v>
      </c>
      <c r="AG269" s="278" t="s">
        <v>422</v>
      </c>
      <c r="AH269" s="278" t="s">
        <v>422</v>
      </c>
      <c r="AI269" s="278" t="s">
        <v>423</v>
      </c>
      <c r="AJ269" s="278" t="s">
        <v>422</v>
      </c>
      <c r="AK269" s="278" t="s">
        <v>423</v>
      </c>
      <c r="AL269" s="279" t="s">
        <v>1372</v>
      </c>
      <c r="AM269" s="241"/>
      <c r="AN269" s="241"/>
    </row>
    <row r="270" spans="1:40" ht="15" customHeight="1" x14ac:dyDescent="0.3">
      <c r="A270" s="185">
        <v>239</v>
      </c>
      <c r="B270" s="230" t="s">
        <v>1332</v>
      </c>
      <c r="C270" s="247" t="s">
        <v>1615</v>
      </c>
      <c r="D270" s="200" t="s">
        <v>1881</v>
      </c>
      <c r="E270" s="370" t="s">
        <v>1596</v>
      </c>
      <c r="F270" s="383" t="s">
        <v>1600</v>
      </c>
      <c r="G270" s="368" t="s">
        <v>1604</v>
      </c>
      <c r="H270" s="248" t="s">
        <v>422</v>
      </c>
      <c r="I270" s="317">
        <v>1</v>
      </c>
      <c r="J270" s="317">
        <v>10.8</v>
      </c>
      <c r="K270" s="317">
        <v>0</v>
      </c>
      <c r="L270" s="212">
        <v>1.5</v>
      </c>
      <c r="M270" s="212">
        <f t="shared" si="40"/>
        <v>13.3</v>
      </c>
      <c r="N270" s="212">
        <f t="shared" si="41"/>
        <v>8</v>
      </c>
      <c r="O270" s="212">
        <f t="shared" si="42"/>
        <v>43.2</v>
      </c>
      <c r="P270" s="212">
        <f t="shared" si="43"/>
        <v>0</v>
      </c>
      <c r="Q270" s="212">
        <f t="shared" si="44"/>
        <v>12</v>
      </c>
      <c r="R270" s="212">
        <f t="shared" si="45"/>
        <v>63.2</v>
      </c>
      <c r="S270" s="384" t="s">
        <v>1325</v>
      </c>
      <c r="T270" s="384" t="s">
        <v>1326</v>
      </c>
      <c r="U270" s="280">
        <v>54</v>
      </c>
      <c r="V270" s="280">
        <v>54</v>
      </c>
      <c r="W270" s="280">
        <v>54</v>
      </c>
      <c r="X270" s="374">
        <v>44119</v>
      </c>
      <c r="Y270" s="374">
        <v>44166</v>
      </c>
      <c r="Z270" s="276">
        <v>44281</v>
      </c>
      <c r="AA270" s="273">
        <f t="shared" si="46"/>
        <v>2021</v>
      </c>
      <c r="AB270" s="273">
        <f t="shared" si="47"/>
        <v>3</v>
      </c>
      <c r="AC270" s="278" t="s">
        <v>920</v>
      </c>
      <c r="AD270" s="278" t="s">
        <v>422</v>
      </c>
      <c r="AE270" s="278" t="s">
        <v>422</v>
      </c>
      <c r="AF270" s="278" t="s">
        <v>422</v>
      </c>
      <c r="AG270" s="278" t="s">
        <v>422</v>
      </c>
      <c r="AH270" s="278" t="s">
        <v>422</v>
      </c>
      <c r="AI270" s="278" t="s">
        <v>423</v>
      </c>
      <c r="AJ270" s="278" t="s">
        <v>422</v>
      </c>
      <c r="AK270" s="278" t="s">
        <v>423</v>
      </c>
      <c r="AL270" s="279" t="s">
        <v>1372</v>
      </c>
      <c r="AM270" s="241"/>
      <c r="AN270" s="241"/>
    </row>
    <row r="271" spans="1:40" ht="15" customHeight="1" x14ac:dyDescent="0.3">
      <c r="A271" s="185">
        <v>241</v>
      </c>
      <c r="B271" s="230" t="s">
        <v>1334</v>
      </c>
      <c r="C271" s="247" t="s">
        <v>1615</v>
      </c>
      <c r="D271" s="200" t="s">
        <v>1881</v>
      </c>
      <c r="E271" s="370" t="s">
        <v>1596</v>
      </c>
      <c r="F271" s="383" t="s">
        <v>1600</v>
      </c>
      <c r="G271" s="368" t="s">
        <v>1604</v>
      </c>
      <c r="H271" s="248" t="s">
        <v>422</v>
      </c>
      <c r="I271" s="317">
        <v>1</v>
      </c>
      <c r="J271" s="317">
        <v>4.5</v>
      </c>
      <c r="K271" s="317">
        <v>0</v>
      </c>
      <c r="L271" s="212">
        <v>1</v>
      </c>
      <c r="M271" s="212">
        <f t="shared" si="40"/>
        <v>6.5</v>
      </c>
      <c r="N271" s="212">
        <f t="shared" si="41"/>
        <v>8</v>
      </c>
      <c r="O271" s="212">
        <f t="shared" si="42"/>
        <v>18</v>
      </c>
      <c r="P271" s="212">
        <f t="shared" si="43"/>
        <v>0</v>
      </c>
      <c r="Q271" s="212">
        <f t="shared" si="44"/>
        <v>8</v>
      </c>
      <c r="R271" s="212">
        <f t="shared" si="45"/>
        <v>34</v>
      </c>
      <c r="S271" s="384" t="s">
        <v>1329</v>
      </c>
      <c r="T271" s="384" t="s">
        <v>1330</v>
      </c>
      <c r="U271" s="280">
        <v>70</v>
      </c>
      <c r="V271" s="280">
        <v>70</v>
      </c>
      <c r="W271" s="280">
        <v>70</v>
      </c>
      <c r="X271" s="374">
        <v>44119</v>
      </c>
      <c r="Y271" s="374">
        <v>44166</v>
      </c>
      <c r="Z271" s="276">
        <v>44281</v>
      </c>
      <c r="AA271" s="273">
        <f t="shared" si="46"/>
        <v>2021</v>
      </c>
      <c r="AB271" s="273">
        <f t="shared" si="47"/>
        <v>3</v>
      </c>
      <c r="AC271" s="278" t="s">
        <v>920</v>
      </c>
      <c r="AD271" s="278" t="s">
        <v>422</v>
      </c>
      <c r="AE271" s="278" t="s">
        <v>422</v>
      </c>
      <c r="AF271" s="278" t="s">
        <v>422</v>
      </c>
      <c r="AG271" s="278" t="s">
        <v>422</v>
      </c>
      <c r="AH271" s="278" t="s">
        <v>422</v>
      </c>
      <c r="AI271" s="278" t="s">
        <v>423</v>
      </c>
      <c r="AJ271" s="278" t="s">
        <v>422</v>
      </c>
      <c r="AK271" s="278" t="s">
        <v>422</v>
      </c>
      <c r="AL271" s="279" t="s">
        <v>1424</v>
      </c>
      <c r="AM271" s="241"/>
      <c r="AN271" s="241"/>
    </row>
    <row r="272" spans="1:40" ht="15" customHeight="1" x14ac:dyDescent="0.3">
      <c r="A272" s="185">
        <v>262</v>
      </c>
      <c r="B272" s="230" t="s">
        <v>1379</v>
      </c>
      <c r="C272" s="247" t="s">
        <v>1618</v>
      </c>
      <c r="D272" s="200" t="s">
        <v>1881</v>
      </c>
      <c r="E272" s="383"/>
      <c r="F272" s="383" t="s">
        <v>1600</v>
      </c>
      <c r="G272" s="382" t="s">
        <v>1604</v>
      </c>
      <c r="H272" s="317" t="s">
        <v>422</v>
      </c>
      <c r="I272" s="356">
        <v>1.5</v>
      </c>
      <c r="J272" s="317">
        <v>8.5</v>
      </c>
      <c r="K272" s="317">
        <v>0</v>
      </c>
      <c r="L272" s="212">
        <v>1</v>
      </c>
      <c r="M272" s="212">
        <f t="shared" si="40"/>
        <v>11</v>
      </c>
      <c r="N272" s="212">
        <f t="shared" si="41"/>
        <v>12</v>
      </c>
      <c r="O272" s="212">
        <f t="shared" si="42"/>
        <v>34</v>
      </c>
      <c r="P272" s="212">
        <f t="shared" si="43"/>
        <v>0</v>
      </c>
      <c r="Q272" s="212">
        <f t="shared" si="44"/>
        <v>8</v>
      </c>
      <c r="R272" s="212">
        <f t="shared" si="45"/>
        <v>54</v>
      </c>
      <c r="S272" s="384" t="s">
        <v>1444</v>
      </c>
      <c r="T272" s="384" t="s">
        <v>1445</v>
      </c>
      <c r="U272" s="280">
        <v>90</v>
      </c>
      <c r="V272" s="280">
        <v>91</v>
      </c>
      <c r="W272" s="280">
        <v>91</v>
      </c>
      <c r="X272" s="374">
        <v>44123</v>
      </c>
      <c r="Y272" s="374">
        <v>44173</v>
      </c>
      <c r="Z272" s="276">
        <v>44268</v>
      </c>
      <c r="AA272" s="273">
        <f t="shared" si="46"/>
        <v>2021</v>
      </c>
      <c r="AB272" s="273">
        <f t="shared" si="47"/>
        <v>3</v>
      </c>
      <c r="AC272" s="278" t="s">
        <v>920</v>
      </c>
      <c r="AD272" s="278" t="s">
        <v>422</v>
      </c>
      <c r="AE272" s="278" t="s">
        <v>422</v>
      </c>
      <c r="AF272" s="278" t="s">
        <v>422</v>
      </c>
      <c r="AG272" s="278" t="s">
        <v>422</v>
      </c>
      <c r="AH272" s="278" t="s">
        <v>422</v>
      </c>
      <c r="AI272" s="278" t="s">
        <v>423</v>
      </c>
      <c r="AJ272" s="278" t="s">
        <v>423</v>
      </c>
      <c r="AK272" s="278" t="s">
        <v>423</v>
      </c>
      <c r="AL272" s="279" t="s">
        <v>1240</v>
      </c>
      <c r="AM272" s="241"/>
      <c r="AN272" s="241"/>
    </row>
    <row r="273" spans="1:40" ht="15" customHeight="1" x14ac:dyDescent="0.3">
      <c r="A273" s="185">
        <v>264</v>
      </c>
      <c r="B273" s="230" t="s">
        <v>1387</v>
      </c>
      <c r="C273" s="247" t="s">
        <v>1615</v>
      </c>
      <c r="D273" s="200" t="s">
        <v>1881</v>
      </c>
      <c r="E273" s="381" t="s">
        <v>1596</v>
      </c>
      <c r="F273" s="383" t="s">
        <v>1600</v>
      </c>
      <c r="G273" s="382" t="s">
        <v>1604</v>
      </c>
      <c r="H273" s="317" t="s">
        <v>422</v>
      </c>
      <c r="I273" s="356">
        <v>1.5</v>
      </c>
      <c r="J273" s="317">
        <v>7</v>
      </c>
      <c r="K273" s="317">
        <v>0</v>
      </c>
      <c r="L273" s="212">
        <v>1</v>
      </c>
      <c r="M273" s="212">
        <f t="shared" si="40"/>
        <v>9.5</v>
      </c>
      <c r="N273" s="212">
        <f t="shared" si="41"/>
        <v>12</v>
      </c>
      <c r="O273" s="212">
        <f t="shared" si="42"/>
        <v>28</v>
      </c>
      <c r="P273" s="212">
        <f t="shared" si="43"/>
        <v>0</v>
      </c>
      <c r="Q273" s="212">
        <f t="shared" si="44"/>
        <v>8</v>
      </c>
      <c r="R273" s="212">
        <f t="shared" si="45"/>
        <v>48</v>
      </c>
      <c r="S273" s="384" t="s">
        <v>1390</v>
      </c>
      <c r="T273" s="384" t="s">
        <v>1391</v>
      </c>
      <c r="U273" s="280">
        <v>217</v>
      </c>
      <c r="V273" s="280">
        <f>82+48+54+33</f>
        <v>217</v>
      </c>
      <c r="W273" s="280">
        <f>82+48+54+33</f>
        <v>217</v>
      </c>
      <c r="X273" s="374">
        <v>44137</v>
      </c>
      <c r="Y273" s="374">
        <v>44180</v>
      </c>
      <c r="Z273" s="276">
        <v>44281</v>
      </c>
      <c r="AA273" s="273">
        <f t="shared" si="46"/>
        <v>2021</v>
      </c>
      <c r="AB273" s="273">
        <f t="shared" si="47"/>
        <v>3</v>
      </c>
      <c r="AC273" s="278" t="s">
        <v>920</v>
      </c>
      <c r="AD273" s="278" t="s">
        <v>422</v>
      </c>
      <c r="AE273" s="278" t="s">
        <v>422</v>
      </c>
      <c r="AF273" s="278" t="s">
        <v>422</v>
      </c>
      <c r="AG273" s="278" t="s">
        <v>422</v>
      </c>
      <c r="AH273" s="278" t="s">
        <v>422</v>
      </c>
      <c r="AI273" s="278" t="s">
        <v>423</v>
      </c>
      <c r="AJ273" s="278" t="s">
        <v>422</v>
      </c>
      <c r="AK273" s="278" t="s">
        <v>423</v>
      </c>
      <c r="AL273" s="279" t="s">
        <v>1045</v>
      </c>
      <c r="AM273" s="241"/>
      <c r="AN273" s="241"/>
    </row>
    <row r="274" spans="1:40" ht="15" customHeight="1" x14ac:dyDescent="0.3">
      <c r="A274" s="185">
        <v>265</v>
      </c>
      <c r="B274" s="230" t="s">
        <v>1392</v>
      </c>
      <c r="C274" s="247" t="s">
        <v>1615</v>
      </c>
      <c r="D274" s="200" t="s">
        <v>1881</v>
      </c>
      <c r="E274" s="381" t="s">
        <v>1596</v>
      </c>
      <c r="F274" s="383" t="s">
        <v>1600</v>
      </c>
      <c r="G274" s="382" t="s">
        <v>1604</v>
      </c>
      <c r="H274" s="317" t="s">
        <v>422</v>
      </c>
      <c r="I274" s="356">
        <v>1.5</v>
      </c>
      <c r="J274" s="317">
        <v>6.5</v>
      </c>
      <c r="K274" s="317">
        <v>0</v>
      </c>
      <c r="L274" s="212">
        <v>1</v>
      </c>
      <c r="M274" s="212">
        <f t="shared" si="40"/>
        <v>9</v>
      </c>
      <c r="N274" s="212">
        <f t="shared" si="41"/>
        <v>12</v>
      </c>
      <c r="O274" s="212">
        <f t="shared" si="42"/>
        <v>26</v>
      </c>
      <c r="P274" s="212">
        <f t="shared" si="43"/>
        <v>0</v>
      </c>
      <c r="Q274" s="212">
        <f t="shared" si="44"/>
        <v>8</v>
      </c>
      <c r="R274" s="212">
        <f t="shared" si="45"/>
        <v>46</v>
      </c>
      <c r="S274" s="384" t="s">
        <v>1394</v>
      </c>
      <c r="T274" s="384" t="s">
        <v>1395</v>
      </c>
      <c r="U274" s="280">
        <v>107</v>
      </c>
      <c r="V274" s="280">
        <v>107</v>
      </c>
      <c r="W274" s="280">
        <v>107</v>
      </c>
      <c r="X274" s="374">
        <v>44137</v>
      </c>
      <c r="Y274" s="374">
        <v>44180</v>
      </c>
      <c r="Z274" s="276">
        <v>44281</v>
      </c>
      <c r="AA274" s="273">
        <f t="shared" si="46"/>
        <v>2021</v>
      </c>
      <c r="AB274" s="273">
        <f t="shared" si="47"/>
        <v>3</v>
      </c>
      <c r="AC274" s="278" t="s">
        <v>920</v>
      </c>
      <c r="AD274" s="278" t="s">
        <v>422</v>
      </c>
      <c r="AE274" s="278" t="s">
        <v>422</v>
      </c>
      <c r="AF274" s="278" t="s">
        <v>422</v>
      </c>
      <c r="AG274" s="278" t="s">
        <v>422</v>
      </c>
      <c r="AH274" s="278" t="s">
        <v>422</v>
      </c>
      <c r="AI274" s="278" t="s">
        <v>423</v>
      </c>
      <c r="AJ274" s="278" t="s">
        <v>422</v>
      </c>
      <c r="AK274" s="278" t="s">
        <v>423</v>
      </c>
      <c r="AL274" s="279" t="s">
        <v>1045</v>
      </c>
      <c r="AM274" s="241"/>
      <c r="AN274" s="241"/>
    </row>
    <row r="275" spans="1:40" ht="15" customHeight="1" x14ac:dyDescent="0.3">
      <c r="A275" s="185">
        <v>266</v>
      </c>
      <c r="B275" s="230" t="s">
        <v>1393</v>
      </c>
      <c r="C275" s="247" t="s">
        <v>1615</v>
      </c>
      <c r="D275" s="200" t="s">
        <v>1881</v>
      </c>
      <c r="E275" s="370" t="s">
        <v>1596</v>
      </c>
      <c r="F275" s="383" t="s">
        <v>1600</v>
      </c>
      <c r="G275" s="368" t="s">
        <v>1604</v>
      </c>
      <c r="H275" s="317" t="s">
        <v>422</v>
      </c>
      <c r="I275" s="356">
        <v>1.5</v>
      </c>
      <c r="J275" s="317">
        <v>9.5</v>
      </c>
      <c r="K275" s="317">
        <v>0</v>
      </c>
      <c r="L275" s="212">
        <v>1.5</v>
      </c>
      <c r="M275" s="212">
        <f t="shared" si="40"/>
        <v>12.5</v>
      </c>
      <c r="N275" s="212">
        <f t="shared" si="41"/>
        <v>12</v>
      </c>
      <c r="O275" s="212">
        <f t="shared" si="42"/>
        <v>38</v>
      </c>
      <c r="P275" s="212">
        <f t="shared" si="43"/>
        <v>0</v>
      </c>
      <c r="Q275" s="212">
        <f t="shared" si="44"/>
        <v>12</v>
      </c>
      <c r="R275" s="212">
        <f t="shared" si="45"/>
        <v>62</v>
      </c>
      <c r="S275" s="384" t="s">
        <v>1396</v>
      </c>
      <c r="T275" s="384" t="s">
        <v>1397</v>
      </c>
      <c r="U275" s="280">
        <v>224</v>
      </c>
      <c r="V275" s="280">
        <v>224</v>
      </c>
      <c r="W275" s="280">
        <v>224</v>
      </c>
      <c r="X275" s="374">
        <v>44137</v>
      </c>
      <c r="Y275" s="374">
        <v>44180</v>
      </c>
      <c r="Z275" s="276">
        <v>44281</v>
      </c>
      <c r="AA275" s="273">
        <f t="shared" si="46"/>
        <v>2021</v>
      </c>
      <c r="AB275" s="273">
        <f t="shared" si="47"/>
        <v>3</v>
      </c>
      <c r="AC275" s="278" t="s">
        <v>1435</v>
      </c>
      <c r="AD275" s="278" t="s">
        <v>422</v>
      </c>
      <c r="AE275" s="278" t="s">
        <v>422</v>
      </c>
      <c r="AF275" s="278" t="s">
        <v>422</v>
      </c>
      <c r="AG275" s="278" t="s">
        <v>422</v>
      </c>
      <c r="AH275" s="278" t="s">
        <v>422</v>
      </c>
      <c r="AI275" s="278" t="s">
        <v>423</v>
      </c>
      <c r="AJ275" s="278" t="s">
        <v>422</v>
      </c>
      <c r="AK275" s="278" t="s">
        <v>423</v>
      </c>
      <c r="AL275" s="279" t="s">
        <v>888</v>
      </c>
      <c r="AM275" s="241"/>
      <c r="AN275" s="245" t="s">
        <v>1434</v>
      </c>
    </row>
    <row r="276" spans="1:40" ht="15" customHeight="1" x14ac:dyDescent="0.3">
      <c r="A276" s="185">
        <v>268</v>
      </c>
      <c r="B276" s="230" t="s">
        <v>1399</v>
      </c>
      <c r="C276" s="247" t="s">
        <v>1615</v>
      </c>
      <c r="D276" s="200" t="s">
        <v>1881</v>
      </c>
      <c r="E276" s="370" t="s">
        <v>1596</v>
      </c>
      <c r="F276" s="383" t="s">
        <v>1600</v>
      </c>
      <c r="G276" s="368" t="s">
        <v>1604</v>
      </c>
      <c r="H276" s="317" t="s">
        <v>422</v>
      </c>
      <c r="I276" s="356">
        <v>1.5</v>
      </c>
      <c r="J276" s="317">
        <v>6</v>
      </c>
      <c r="K276" s="317">
        <v>0</v>
      </c>
      <c r="L276" s="212">
        <v>1</v>
      </c>
      <c r="M276" s="212">
        <f t="shared" si="40"/>
        <v>8.5</v>
      </c>
      <c r="N276" s="212">
        <f t="shared" si="41"/>
        <v>12</v>
      </c>
      <c r="O276" s="212">
        <f t="shared" si="42"/>
        <v>24</v>
      </c>
      <c r="P276" s="212">
        <f t="shared" si="43"/>
        <v>0</v>
      </c>
      <c r="Q276" s="212">
        <f t="shared" si="44"/>
        <v>8</v>
      </c>
      <c r="R276" s="212">
        <f t="shared" si="45"/>
        <v>44</v>
      </c>
      <c r="S276" s="384" t="s">
        <v>1402</v>
      </c>
      <c r="T276" s="384" t="s">
        <v>1403</v>
      </c>
      <c r="U276" s="280">
        <v>38</v>
      </c>
      <c r="V276" s="280">
        <v>38</v>
      </c>
      <c r="W276" s="280">
        <v>38</v>
      </c>
      <c r="X276" s="374">
        <v>44137</v>
      </c>
      <c r="Y276" s="374">
        <v>44180</v>
      </c>
      <c r="Z276" s="276">
        <v>44281</v>
      </c>
      <c r="AA276" s="273">
        <f t="shared" si="46"/>
        <v>2021</v>
      </c>
      <c r="AB276" s="273">
        <f t="shared" si="47"/>
        <v>3</v>
      </c>
      <c r="AC276" s="278" t="s">
        <v>920</v>
      </c>
      <c r="AD276" s="278" t="s">
        <v>422</v>
      </c>
      <c r="AE276" s="278" t="s">
        <v>422</v>
      </c>
      <c r="AF276" s="278" t="s">
        <v>422</v>
      </c>
      <c r="AG276" s="278" t="s">
        <v>422</v>
      </c>
      <c r="AH276" s="278" t="s">
        <v>422</v>
      </c>
      <c r="AI276" s="278" t="s">
        <v>423</v>
      </c>
      <c r="AJ276" s="278" t="s">
        <v>422</v>
      </c>
      <c r="AK276" s="278" t="s">
        <v>423</v>
      </c>
      <c r="AL276" s="279" t="s">
        <v>1372</v>
      </c>
      <c r="AM276" s="241"/>
      <c r="AN276" s="241"/>
    </row>
    <row r="277" spans="1:40" ht="15" customHeight="1" x14ac:dyDescent="0.3">
      <c r="A277" s="185">
        <v>277</v>
      </c>
      <c r="B277" s="230" t="s">
        <v>1436</v>
      </c>
      <c r="C277" s="247" t="s">
        <v>1618</v>
      </c>
      <c r="D277" s="200" t="s">
        <v>1881</v>
      </c>
      <c r="E277" s="381" t="s">
        <v>1596</v>
      </c>
      <c r="F277" s="383" t="s">
        <v>1598</v>
      </c>
      <c r="G277" s="368" t="s">
        <v>1604</v>
      </c>
      <c r="H277" s="248" t="s">
        <v>422</v>
      </c>
      <c r="I277" s="317">
        <v>1.2</v>
      </c>
      <c r="J277" s="317">
        <v>7</v>
      </c>
      <c r="K277" s="317">
        <v>0</v>
      </c>
      <c r="L277" s="212">
        <v>1.5</v>
      </c>
      <c r="M277" s="212">
        <f t="shared" si="40"/>
        <v>9.6999999999999993</v>
      </c>
      <c r="N277" s="212">
        <f t="shared" si="41"/>
        <v>9.6</v>
      </c>
      <c r="O277" s="212">
        <f t="shared" si="42"/>
        <v>28</v>
      </c>
      <c r="P277" s="212">
        <f t="shared" si="43"/>
        <v>0</v>
      </c>
      <c r="Q277" s="212">
        <f t="shared" si="44"/>
        <v>12</v>
      </c>
      <c r="R277" s="212">
        <f t="shared" si="45"/>
        <v>49.6</v>
      </c>
      <c r="S277" s="384" t="s">
        <v>1441</v>
      </c>
      <c r="T277" s="384" t="s">
        <v>1441</v>
      </c>
      <c r="U277" s="280">
        <v>40</v>
      </c>
      <c r="V277" s="280">
        <v>42</v>
      </c>
      <c r="W277" s="280">
        <v>42</v>
      </c>
      <c r="X277" s="374">
        <v>44215</v>
      </c>
      <c r="Y277" s="374">
        <v>44259</v>
      </c>
      <c r="Z277" s="276">
        <v>44268</v>
      </c>
      <c r="AA277" s="273">
        <f t="shared" si="46"/>
        <v>2021</v>
      </c>
      <c r="AB277" s="273">
        <f t="shared" si="47"/>
        <v>3</v>
      </c>
      <c r="AC277" s="278" t="s">
        <v>920</v>
      </c>
      <c r="AD277" s="278" t="s">
        <v>422</v>
      </c>
      <c r="AE277" s="278" t="s">
        <v>423</v>
      </c>
      <c r="AF277" s="278" t="s">
        <v>422</v>
      </c>
      <c r="AG277" s="278" t="s">
        <v>422</v>
      </c>
      <c r="AH277" s="278" t="s">
        <v>423</v>
      </c>
      <c r="AI277" s="278" t="s">
        <v>423</v>
      </c>
      <c r="AJ277" s="278" t="s">
        <v>423</v>
      </c>
      <c r="AK277" s="278" t="s">
        <v>423</v>
      </c>
      <c r="AL277" s="279" t="s">
        <v>1240</v>
      </c>
      <c r="AM277" s="241"/>
      <c r="AN277" s="241"/>
    </row>
    <row r="278" spans="1:40" ht="15" customHeight="1" x14ac:dyDescent="0.3">
      <c r="A278" s="185">
        <v>278</v>
      </c>
      <c r="B278" s="230" t="s">
        <v>1437</v>
      </c>
      <c r="C278" s="247" t="s">
        <v>1618</v>
      </c>
      <c r="D278" s="200" t="s">
        <v>1881</v>
      </c>
      <c r="E278" s="381" t="s">
        <v>1596</v>
      </c>
      <c r="F278" s="383" t="s">
        <v>1598</v>
      </c>
      <c r="G278" s="368" t="s">
        <v>1604</v>
      </c>
      <c r="H278" s="248" t="s">
        <v>422</v>
      </c>
      <c r="I278" s="317">
        <v>1.2</v>
      </c>
      <c r="J278" s="317">
        <v>6</v>
      </c>
      <c r="K278" s="317">
        <v>0</v>
      </c>
      <c r="L278" s="212">
        <v>1</v>
      </c>
      <c r="M278" s="212">
        <f t="shared" si="40"/>
        <v>8.1999999999999993</v>
      </c>
      <c r="N278" s="212">
        <f t="shared" si="41"/>
        <v>9.6</v>
      </c>
      <c r="O278" s="212">
        <f t="shared" si="42"/>
        <v>24</v>
      </c>
      <c r="P278" s="212">
        <f t="shared" si="43"/>
        <v>0</v>
      </c>
      <c r="Q278" s="212">
        <f t="shared" si="44"/>
        <v>8</v>
      </c>
      <c r="R278" s="212">
        <f t="shared" si="45"/>
        <v>41.6</v>
      </c>
      <c r="S278" s="384" t="s">
        <v>1439</v>
      </c>
      <c r="T278" s="384" t="s">
        <v>1439</v>
      </c>
      <c r="U278" s="280">
        <v>133</v>
      </c>
      <c r="V278" s="280">
        <v>137</v>
      </c>
      <c r="W278" s="280">
        <v>137</v>
      </c>
      <c r="X278" s="374">
        <v>44215</v>
      </c>
      <c r="Y278" s="374">
        <v>44259</v>
      </c>
      <c r="Z278" s="276">
        <v>44268</v>
      </c>
      <c r="AA278" s="273">
        <f t="shared" si="46"/>
        <v>2021</v>
      </c>
      <c r="AB278" s="273">
        <f t="shared" si="47"/>
        <v>3</v>
      </c>
      <c r="AC278" s="278" t="s">
        <v>920</v>
      </c>
      <c r="AD278" s="278" t="s">
        <v>422</v>
      </c>
      <c r="AE278" s="278" t="s">
        <v>423</v>
      </c>
      <c r="AF278" s="278" t="s">
        <v>422</v>
      </c>
      <c r="AG278" s="278" t="s">
        <v>422</v>
      </c>
      <c r="AH278" s="278" t="s">
        <v>423</v>
      </c>
      <c r="AI278" s="278" t="s">
        <v>423</v>
      </c>
      <c r="AJ278" s="278" t="s">
        <v>423</v>
      </c>
      <c r="AK278" s="278" t="s">
        <v>423</v>
      </c>
      <c r="AL278" s="279" t="s">
        <v>1240</v>
      </c>
      <c r="AM278" s="241"/>
      <c r="AN278" s="241"/>
    </row>
    <row r="279" spans="1:40" ht="15" customHeight="1" x14ac:dyDescent="0.3">
      <c r="A279" s="185">
        <v>279</v>
      </c>
      <c r="B279" s="230" t="s">
        <v>1438</v>
      </c>
      <c r="C279" s="247" t="s">
        <v>1618</v>
      </c>
      <c r="D279" s="200" t="s">
        <v>1881</v>
      </c>
      <c r="E279" s="381" t="s">
        <v>1596</v>
      </c>
      <c r="F279" s="383" t="s">
        <v>1598</v>
      </c>
      <c r="G279" s="368" t="s">
        <v>1604</v>
      </c>
      <c r="H279" s="248" t="s">
        <v>422</v>
      </c>
      <c r="I279" s="317">
        <v>1.8</v>
      </c>
      <c r="J279" s="317">
        <v>13</v>
      </c>
      <c r="K279" s="317">
        <v>0</v>
      </c>
      <c r="L279" s="212">
        <v>1</v>
      </c>
      <c r="M279" s="212">
        <f t="shared" si="40"/>
        <v>15.8</v>
      </c>
      <c r="N279" s="212">
        <f t="shared" si="41"/>
        <v>14.4</v>
      </c>
      <c r="O279" s="212">
        <f t="shared" si="42"/>
        <v>52</v>
      </c>
      <c r="P279" s="212">
        <f t="shared" si="43"/>
        <v>0</v>
      </c>
      <c r="Q279" s="212">
        <f t="shared" si="44"/>
        <v>8</v>
      </c>
      <c r="R279" s="212">
        <f t="shared" si="45"/>
        <v>74.400000000000006</v>
      </c>
      <c r="S279" s="384" t="s">
        <v>1440</v>
      </c>
      <c r="T279" s="384" t="s">
        <v>1440</v>
      </c>
      <c r="U279" s="280">
        <v>98</v>
      </c>
      <c r="V279" s="280">
        <v>102</v>
      </c>
      <c r="W279" s="280">
        <v>102</v>
      </c>
      <c r="X279" s="374">
        <v>44215</v>
      </c>
      <c r="Y279" s="374">
        <v>44259</v>
      </c>
      <c r="Z279" s="276">
        <v>44268</v>
      </c>
      <c r="AA279" s="273">
        <f t="shared" si="46"/>
        <v>2021</v>
      </c>
      <c r="AB279" s="273">
        <f t="shared" si="47"/>
        <v>3</v>
      </c>
      <c r="AC279" s="278" t="s">
        <v>920</v>
      </c>
      <c r="AD279" s="278" t="s">
        <v>422</v>
      </c>
      <c r="AE279" s="278" t="s">
        <v>422</v>
      </c>
      <c r="AF279" s="278" t="s">
        <v>422</v>
      </c>
      <c r="AG279" s="278" t="s">
        <v>422</v>
      </c>
      <c r="AH279" s="278" t="s">
        <v>422</v>
      </c>
      <c r="AI279" s="278" t="s">
        <v>423</v>
      </c>
      <c r="AJ279" s="278" t="s">
        <v>423</v>
      </c>
      <c r="AK279" s="278" t="s">
        <v>423</v>
      </c>
      <c r="AL279" s="279" t="s">
        <v>1240</v>
      </c>
      <c r="AM279" s="241"/>
      <c r="AN279" s="241"/>
    </row>
    <row r="280" spans="1:40" ht="15" customHeight="1" x14ac:dyDescent="0.3">
      <c r="A280" s="185">
        <v>280</v>
      </c>
      <c r="B280" s="230" t="s">
        <v>1446</v>
      </c>
      <c r="C280" s="247" t="s">
        <v>1620</v>
      </c>
      <c r="D280" s="200" t="s">
        <v>1881</v>
      </c>
      <c r="E280" s="230" t="s">
        <v>422</v>
      </c>
      <c r="F280" s="383" t="s">
        <v>1599</v>
      </c>
      <c r="G280" s="368" t="s">
        <v>1604</v>
      </c>
      <c r="H280" s="248" t="s">
        <v>1596</v>
      </c>
      <c r="I280" s="317">
        <v>1.5</v>
      </c>
      <c r="J280" s="361">
        <v>12</v>
      </c>
      <c r="K280" s="317">
        <v>0</v>
      </c>
      <c r="L280" s="212">
        <v>1</v>
      </c>
      <c r="M280" s="212">
        <f t="shared" si="40"/>
        <v>14.5</v>
      </c>
      <c r="N280" s="212">
        <f t="shared" si="41"/>
        <v>12</v>
      </c>
      <c r="O280" s="212">
        <f t="shared" si="42"/>
        <v>48</v>
      </c>
      <c r="P280" s="212">
        <f t="shared" si="43"/>
        <v>0</v>
      </c>
      <c r="Q280" s="212">
        <f t="shared" si="44"/>
        <v>8</v>
      </c>
      <c r="R280" s="212">
        <f t="shared" si="45"/>
        <v>68</v>
      </c>
      <c r="S280" s="384" t="s">
        <v>1451</v>
      </c>
      <c r="T280" s="384" t="s">
        <v>1451</v>
      </c>
      <c r="U280" s="280">
        <v>32</v>
      </c>
      <c r="V280" s="280">
        <v>32</v>
      </c>
      <c r="W280" s="280">
        <v>32</v>
      </c>
      <c r="X280" s="374">
        <v>37646</v>
      </c>
      <c r="Y280" s="374">
        <v>44280</v>
      </c>
      <c r="Z280" s="276">
        <v>44268</v>
      </c>
      <c r="AA280" s="273">
        <f t="shared" si="46"/>
        <v>2021</v>
      </c>
      <c r="AB280" s="273">
        <f t="shared" si="47"/>
        <v>3</v>
      </c>
      <c r="AC280" s="278" t="s">
        <v>920</v>
      </c>
      <c r="AD280" s="278" t="s">
        <v>422</v>
      </c>
      <c r="AE280" s="278" t="s">
        <v>422</v>
      </c>
      <c r="AF280" s="278" t="s">
        <v>422</v>
      </c>
      <c r="AG280" s="278" t="s">
        <v>422</v>
      </c>
      <c r="AH280" s="278" t="s">
        <v>422</v>
      </c>
      <c r="AI280" s="278" t="s">
        <v>423</v>
      </c>
      <c r="AJ280" s="278" t="s">
        <v>422</v>
      </c>
      <c r="AK280" s="278" t="s">
        <v>423</v>
      </c>
      <c r="AL280" s="279" t="s">
        <v>138</v>
      </c>
      <c r="AM280" s="241"/>
      <c r="AN280" s="241"/>
    </row>
    <row r="281" spans="1:40" ht="15" customHeight="1" x14ac:dyDescent="0.3">
      <c r="A281" s="185">
        <v>281</v>
      </c>
      <c r="B281" s="230" t="s">
        <v>1447</v>
      </c>
      <c r="C281" s="247" t="s">
        <v>1620</v>
      </c>
      <c r="D281" s="200" t="s">
        <v>1881</v>
      </c>
      <c r="E281" s="230" t="s">
        <v>422</v>
      </c>
      <c r="F281" s="383" t="s">
        <v>1599</v>
      </c>
      <c r="G281" s="368" t="s">
        <v>1604</v>
      </c>
      <c r="H281" s="248" t="s">
        <v>1596</v>
      </c>
      <c r="I281" s="317">
        <v>1.5</v>
      </c>
      <c r="J281" s="361">
        <v>12</v>
      </c>
      <c r="K281" s="317">
        <v>0</v>
      </c>
      <c r="L281" s="212">
        <v>1</v>
      </c>
      <c r="M281" s="212">
        <f t="shared" si="40"/>
        <v>14.5</v>
      </c>
      <c r="N281" s="212">
        <f t="shared" si="41"/>
        <v>12</v>
      </c>
      <c r="O281" s="212">
        <f t="shared" si="42"/>
        <v>48</v>
      </c>
      <c r="P281" s="212">
        <f t="shared" si="43"/>
        <v>0</v>
      </c>
      <c r="Q281" s="212">
        <f t="shared" si="44"/>
        <v>8</v>
      </c>
      <c r="R281" s="212">
        <f t="shared" si="45"/>
        <v>68</v>
      </c>
      <c r="S281" s="384" t="s">
        <v>1452</v>
      </c>
      <c r="T281" s="384" t="s">
        <v>1452</v>
      </c>
      <c r="U281" s="280">
        <v>32</v>
      </c>
      <c r="V281" s="280">
        <v>32</v>
      </c>
      <c r="W281" s="280">
        <v>32</v>
      </c>
      <c r="X281" s="374">
        <v>37646</v>
      </c>
      <c r="Y281" s="374">
        <v>44280</v>
      </c>
      <c r="Z281" s="276">
        <v>44268</v>
      </c>
      <c r="AA281" s="273">
        <f t="shared" si="46"/>
        <v>2021</v>
      </c>
      <c r="AB281" s="273">
        <f t="shared" si="47"/>
        <v>3</v>
      </c>
      <c r="AC281" s="278" t="s">
        <v>920</v>
      </c>
      <c r="AD281" s="278" t="s">
        <v>422</v>
      </c>
      <c r="AE281" s="278" t="s">
        <v>422</v>
      </c>
      <c r="AF281" s="278" t="s">
        <v>422</v>
      </c>
      <c r="AG281" s="278" t="s">
        <v>422</v>
      </c>
      <c r="AH281" s="278" t="s">
        <v>422</v>
      </c>
      <c r="AI281" s="278" t="s">
        <v>423</v>
      </c>
      <c r="AJ281" s="278" t="s">
        <v>422</v>
      </c>
      <c r="AK281" s="278" t="s">
        <v>423</v>
      </c>
      <c r="AL281" s="279" t="s">
        <v>138</v>
      </c>
      <c r="AM281" s="241"/>
      <c r="AN281" s="241"/>
    </row>
    <row r="282" spans="1:40" ht="15" customHeight="1" x14ac:dyDescent="0.3">
      <c r="A282" s="185">
        <v>282</v>
      </c>
      <c r="B282" s="230" t="s">
        <v>1448</v>
      </c>
      <c r="C282" s="247" t="s">
        <v>1620</v>
      </c>
      <c r="D282" s="200" t="s">
        <v>1881</v>
      </c>
      <c r="E282" s="230"/>
      <c r="F282" s="383" t="s">
        <v>1599</v>
      </c>
      <c r="G282" s="368" t="s">
        <v>1604</v>
      </c>
      <c r="H282" s="248" t="s">
        <v>1596</v>
      </c>
      <c r="I282" s="317">
        <v>1</v>
      </c>
      <c r="J282" s="361">
        <v>6</v>
      </c>
      <c r="K282" s="317">
        <v>0</v>
      </c>
      <c r="L282" s="212">
        <v>1</v>
      </c>
      <c r="M282" s="212">
        <f t="shared" si="40"/>
        <v>8</v>
      </c>
      <c r="N282" s="212">
        <f t="shared" si="41"/>
        <v>8</v>
      </c>
      <c r="O282" s="212">
        <f t="shared" si="42"/>
        <v>24</v>
      </c>
      <c r="P282" s="212">
        <f t="shared" si="43"/>
        <v>0</v>
      </c>
      <c r="Q282" s="212">
        <f t="shared" si="44"/>
        <v>8</v>
      </c>
      <c r="R282" s="212">
        <f t="shared" si="45"/>
        <v>40</v>
      </c>
      <c r="S282" s="384" t="s">
        <v>1453</v>
      </c>
      <c r="T282" s="384" t="s">
        <v>1453</v>
      </c>
      <c r="U282" s="280">
        <v>64</v>
      </c>
      <c r="V282" s="280">
        <v>64</v>
      </c>
      <c r="W282" s="280">
        <v>64</v>
      </c>
      <c r="X282" s="374">
        <v>37646</v>
      </c>
      <c r="Y282" s="374">
        <v>44280</v>
      </c>
      <c r="Z282" s="276">
        <v>44268</v>
      </c>
      <c r="AA282" s="273">
        <f t="shared" si="46"/>
        <v>2021</v>
      </c>
      <c r="AB282" s="273">
        <f t="shared" si="47"/>
        <v>3</v>
      </c>
      <c r="AC282" s="278" t="s">
        <v>920</v>
      </c>
      <c r="AD282" s="278" t="s">
        <v>422</v>
      </c>
      <c r="AE282" s="278" t="s">
        <v>423</v>
      </c>
      <c r="AF282" s="278" t="s">
        <v>422</v>
      </c>
      <c r="AG282" s="278" t="s">
        <v>422</v>
      </c>
      <c r="AH282" s="278" t="s">
        <v>423</v>
      </c>
      <c r="AI282" s="278" t="s">
        <v>423</v>
      </c>
      <c r="AJ282" s="278" t="s">
        <v>423</v>
      </c>
      <c r="AK282" s="278" t="s">
        <v>423</v>
      </c>
      <c r="AL282" s="279" t="s">
        <v>138</v>
      </c>
      <c r="AM282" s="241"/>
      <c r="AN282" s="241"/>
    </row>
    <row r="283" spans="1:40" ht="15" customHeight="1" x14ac:dyDescent="0.3">
      <c r="A283" s="185">
        <v>283</v>
      </c>
      <c r="B283" s="230" t="s">
        <v>1449</v>
      </c>
      <c r="C283" s="247" t="s">
        <v>1620</v>
      </c>
      <c r="D283" s="200" t="s">
        <v>1881</v>
      </c>
      <c r="E283" s="383" t="s">
        <v>422</v>
      </c>
      <c r="F283" s="383" t="s">
        <v>1599</v>
      </c>
      <c r="G283" s="368" t="s">
        <v>1604</v>
      </c>
      <c r="H283" s="248" t="s">
        <v>1596</v>
      </c>
      <c r="I283" s="317">
        <v>1</v>
      </c>
      <c r="J283" s="317">
        <v>6</v>
      </c>
      <c r="K283" s="317">
        <v>0</v>
      </c>
      <c r="L283" s="212">
        <v>1</v>
      </c>
      <c r="M283" s="212">
        <f t="shared" si="40"/>
        <v>8</v>
      </c>
      <c r="N283" s="212">
        <f t="shared" si="41"/>
        <v>8</v>
      </c>
      <c r="O283" s="212">
        <f t="shared" si="42"/>
        <v>24</v>
      </c>
      <c r="P283" s="212">
        <f t="shared" si="43"/>
        <v>0</v>
      </c>
      <c r="Q283" s="212">
        <f t="shared" si="44"/>
        <v>8</v>
      </c>
      <c r="R283" s="212">
        <f t="shared" si="45"/>
        <v>40</v>
      </c>
      <c r="S283" s="384" t="s">
        <v>1454</v>
      </c>
      <c r="T283" s="384" t="s">
        <v>1454</v>
      </c>
      <c r="U283" s="280">
        <v>32</v>
      </c>
      <c r="V283" s="280">
        <v>32</v>
      </c>
      <c r="W283" s="280">
        <v>32</v>
      </c>
      <c r="X283" s="374">
        <v>37646</v>
      </c>
      <c r="Y283" s="374">
        <v>44280</v>
      </c>
      <c r="Z283" s="276">
        <v>44268</v>
      </c>
      <c r="AA283" s="273">
        <f t="shared" si="46"/>
        <v>2021</v>
      </c>
      <c r="AB283" s="273">
        <f t="shared" si="47"/>
        <v>3</v>
      </c>
      <c r="AC283" s="278" t="s">
        <v>920</v>
      </c>
      <c r="AD283" s="278" t="s">
        <v>422</v>
      </c>
      <c r="AE283" s="278" t="s">
        <v>423</v>
      </c>
      <c r="AF283" s="278" t="s">
        <v>422</v>
      </c>
      <c r="AG283" s="278" t="s">
        <v>422</v>
      </c>
      <c r="AH283" s="278" t="s">
        <v>423</v>
      </c>
      <c r="AI283" s="278" t="s">
        <v>423</v>
      </c>
      <c r="AJ283" s="278" t="s">
        <v>423</v>
      </c>
      <c r="AK283" s="278" t="s">
        <v>423</v>
      </c>
      <c r="AL283" s="279" t="s">
        <v>138</v>
      </c>
      <c r="AM283" s="241"/>
      <c r="AN283" s="241"/>
    </row>
    <row r="284" spans="1:40" ht="15" customHeight="1" x14ac:dyDescent="0.3">
      <c r="A284" s="185">
        <v>285</v>
      </c>
      <c r="B284" s="230" t="s">
        <v>1455</v>
      </c>
      <c r="C284" s="247" t="s">
        <v>1618</v>
      </c>
      <c r="D284" s="200" t="s">
        <v>1881</v>
      </c>
      <c r="E284" s="383"/>
      <c r="F284" s="383" t="s">
        <v>1601</v>
      </c>
      <c r="G284" s="368" t="s">
        <v>1604</v>
      </c>
      <c r="H284" s="248" t="s">
        <v>422</v>
      </c>
      <c r="I284" s="317">
        <v>1.2</v>
      </c>
      <c r="J284" s="317">
        <v>7.5</v>
      </c>
      <c r="K284" s="317">
        <v>0</v>
      </c>
      <c r="L284" s="212">
        <v>1.5</v>
      </c>
      <c r="M284" s="212">
        <f t="shared" si="40"/>
        <v>10.199999999999999</v>
      </c>
      <c r="N284" s="212">
        <f t="shared" si="41"/>
        <v>9.6</v>
      </c>
      <c r="O284" s="212">
        <f t="shared" si="42"/>
        <v>30</v>
      </c>
      <c r="P284" s="212">
        <f t="shared" si="43"/>
        <v>0</v>
      </c>
      <c r="Q284" s="212">
        <f t="shared" si="44"/>
        <v>12</v>
      </c>
      <c r="R284" s="212">
        <f t="shared" si="45"/>
        <v>51.6</v>
      </c>
      <c r="S284" s="384" t="s">
        <v>1461</v>
      </c>
      <c r="T284" s="384" t="s">
        <v>1460</v>
      </c>
      <c r="U284" s="280">
        <v>186</v>
      </c>
      <c r="V284" s="280">
        <v>192</v>
      </c>
      <c r="W284" s="280">
        <v>192</v>
      </c>
      <c r="X284" s="374">
        <v>44240</v>
      </c>
      <c r="Y284" s="374">
        <v>44259</v>
      </c>
      <c r="Z284" s="276">
        <v>44268</v>
      </c>
      <c r="AA284" s="273">
        <f t="shared" si="46"/>
        <v>2021</v>
      </c>
      <c r="AB284" s="273">
        <f t="shared" si="47"/>
        <v>3</v>
      </c>
      <c r="AC284" s="278" t="s">
        <v>920</v>
      </c>
      <c r="AD284" s="278" t="s">
        <v>422</v>
      </c>
      <c r="AE284" s="278" t="s">
        <v>422</v>
      </c>
      <c r="AF284" s="278" t="s">
        <v>422</v>
      </c>
      <c r="AG284" s="278" t="s">
        <v>422</v>
      </c>
      <c r="AH284" s="278" t="s">
        <v>422</v>
      </c>
      <c r="AI284" s="278" t="s">
        <v>423</v>
      </c>
      <c r="AJ284" s="278" t="s">
        <v>422</v>
      </c>
      <c r="AK284" s="278" t="s">
        <v>423</v>
      </c>
      <c r="AL284" s="279" t="s">
        <v>1240</v>
      </c>
      <c r="AM284" s="241"/>
      <c r="AN284" s="241"/>
    </row>
    <row r="285" spans="1:40" ht="15" customHeight="1" x14ac:dyDescent="0.3">
      <c r="A285" s="185">
        <v>286</v>
      </c>
      <c r="B285" s="230" t="s">
        <v>1456</v>
      </c>
      <c r="C285" s="247" t="s">
        <v>1618</v>
      </c>
      <c r="D285" s="200" t="s">
        <v>1881</v>
      </c>
      <c r="E285" s="381" t="s">
        <v>1596</v>
      </c>
      <c r="F285" s="383" t="s">
        <v>1601</v>
      </c>
      <c r="G285" s="368" t="s">
        <v>1604</v>
      </c>
      <c r="H285" s="248" t="s">
        <v>422</v>
      </c>
      <c r="I285" s="317">
        <v>1.5</v>
      </c>
      <c r="J285" s="317">
        <v>13</v>
      </c>
      <c r="K285" s="317">
        <v>0</v>
      </c>
      <c r="L285" s="212">
        <v>1</v>
      </c>
      <c r="M285" s="212">
        <f t="shared" si="40"/>
        <v>15.5</v>
      </c>
      <c r="N285" s="212">
        <f t="shared" si="41"/>
        <v>12</v>
      </c>
      <c r="O285" s="212">
        <f t="shared" si="42"/>
        <v>52</v>
      </c>
      <c r="P285" s="212">
        <f t="shared" si="43"/>
        <v>0</v>
      </c>
      <c r="Q285" s="212">
        <f t="shared" si="44"/>
        <v>8</v>
      </c>
      <c r="R285" s="212">
        <f t="shared" si="45"/>
        <v>72</v>
      </c>
      <c r="S285" s="384" t="s">
        <v>1458</v>
      </c>
      <c r="T285" s="384" t="s">
        <v>1462</v>
      </c>
      <c r="U285" s="280">
        <v>60</v>
      </c>
      <c r="V285" s="280">
        <v>62</v>
      </c>
      <c r="W285" s="280">
        <v>62</v>
      </c>
      <c r="X285" s="374">
        <v>44240</v>
      </c>
      <c r="Y285" s="374">
        <v>44259</v>
      </c>
      <c r="Z285" s="276">
        <v>44268</v>
      </c>
      <c r="AA285" s="273">
        <f t="shared" si="46"/>
        <v>2021</v>
      </c>
      <c r="AB285" s="273">
        <f t="shared" si="47"/>
        <v>3</v>
      </c>
      <c r="AC285" s="278" t="s">
        <v>920</v>
      </c>
      <c r="AD285" s="278" t="s">
        <v>422</v>
      </c>
      <c r="AE285" s="278" t="s">
        <v>422</v>
      </c>
      <c r="AF285" s="278" t="s">
        <v>422</v>
      </c>
      <c r="AG285" s="278" t="s">
        <v>422</v>
      </c>
      <c r="AH285" s="278" t="s">
        <v>422</v>
      </c>
      <c r="AI285" s="278" t="s">
        <v>423</v>
      </c>
      <c r="AJ285" s="278" t="s">
        <v>423</v>
      </c>
      <c r="AK285" s="278" t="s">
        <v>423</v>
      </c>
      <c r="AL285" s="279" t="s">
        <v>1240</v>
      </c>
      <c r="AM285" s="241"/>
      <c r="AN285" s="242" t="s">
        <v>1579</v>
      </c>
    </row>
    <row r="286" spans="1:40" ht="15" customHeight="1" x14ac:dyDescent="0.3">
      <c r="A286" s="185">
        <v>288</v>
      </c>
      <c r="B286" s="230" t="s">
        <v>1457</v>
      </c>
      <c r="C286" s="247" t="s">
        <v>1618</v>
      </c>
      <c r="D286" s="200" t="s">
        <v>1881</v>
      </c>
      <c r="E286" s="381" t="s">
        <v>1596</v>
      </c>
      <c r="F286" s="383" t="s">
        <v>1601</v>
      </c>
      <c r="G286" s="368" t="s">
        <v>1604</v>
      </c>
      <c r="H286" s="248" t="s">
        <v>422</v>
      </c>
      <c r="I286" s="317">
        <v>1.5</v>
      </c>
      <c r="J286" s="317">
        <v>13</v>
      </c>
      <c r="K286" s="317">
        <v>0</v>
      </c>
      <c r="L286" s="212">
        <v>1</v>
      </c>
      <c r="M286" s="212">
        <f t="shared" si="40"/>
        <v>15.5</v>
      </c>
      <c r="N286" s="212">
        <f t="shared" si="41"/>
        <v>12</v>
      </c>
      <c r="O286" s="212">
        <f t="shared" si="42"/>
        <v>52</v>
      </c>
      <c r="P286" s="212">
        <f t="shared" si="43"/>
        <v>0</v>
      </c>
      <c r="Q286" s="212">
        <f t="shared" si="44"/>
        <v>8</v>
      </c>
      <c r="R286" s="212">
        <f t="shared" si="45"/>
        <v>72</v>
      </c>
      <c r="S286" s="384" t="s">
        <v>1459</v>
      </c>
      <c r="T286" s="384" t="s">
        <v>1463</v>
      </c>
      <c r="U286" s="280">
        <v>60</v>
      </c>
      <c r="V286" s="280">
        <v>62</v>
      </c>
      <c r="W286" s="280">
        <v>62</v>
      </c>
      <c r="X286" s="374">
        <v>44240</v>
      </c>
      <c r="Y286" s="374">
        <v>44259</v>
      </c>
      <c r="Z286" s="276">
        <v>44268</v>
      </c>
      <c r="AA286" s="273">
        <f t="shared" si="46"/>
        <v>2021</v>
      </c>
      <c r="AB286" s="273">
        <f t="shared" si="47"/>
        <v>3</v>
      </c>
      <c r="AC286" s="278" t="s">
        <v>920</v>
      </c>
      <c r="AD286" s="278" t="s">
        <v>422</v>
      </c>
      <c r="AE286" s="278" t="s">
        <v>422</v>
      </c>
      <c r="AF286" s="278" t="s">
        <v>422</v>
      </c>
      <c r="AG286" s="278" t="s">
        <v>422</v>
      </c>
      <c r="AH286" s="278" t="s">
        <v>422</v>
      </c>
      <c r="AI286" s="278" t="s">
        <v>423</v>
      </c>
      <c r="AJ286" s="278" t="s">
        <v>423</v>
      </c>
      <c r="AK286" s="278" t="s">
        <v>423</v>
      </c>
      <c r="AL286" s="279" t="s">
        <v>1240</v>
      </c>
      <c r="AM286" s="241"/>
      <c r="AN286" s="241"/>
    </row>
    <row r="287" spans="1:40" ht="15" customHeight="1" x14ac:dyDescent="0.3">
      <c r="A287" s="185">
        <v>289</v>
      </c>
      <c r="B287" s="230" t="s">
        <v>1442</v>
      </c>
      <c r="C287" s="247" t="s">
        <v>1618</v>
      </c>
      <c r="D287" s="200" t="s">
        <v>1881</v>
      </c>
      <c r="E287" s="381" t="s">
        <v>1596</v>
      </c>
      <c r="F287" s="383" t="s">
        <v>1599</v>
      </c>
      <c r="G287" s="368" t="s">
        <v>1604</v>
      </c>
      <c r="H287" s="248" t="s">
        <v>422</v>
      </c>
      <c r="I287" s="317">
        <v>1.2</v>
      </c>
      <c r="J287" s="317">
        <v>7.5</v>
      </c>
      <c r="K287" s="317">
        <v>0</v>
      </c>
      <c r="L287" s="212">
        <v>1</v>
      </c>
      <c r="M287" s="212">
        <f t="shared" si="40"/>
        <v>9.6999999999999993</v>
      </c>
      <c r="N287" s="212">
        <f t="shared" si="41"/>
        <v>9.6</v>
      </c>
      <c r="O287" s="212">
        <f t="shared" si="42"/>
        <v>30</v>
      </c>
      <c r="P287" s="212">
        <f t="shared" si="43"/>
        <v>0</v>
      </c>
      <c r="Q287" s="212">
        <f t="shared" si="44"/>
        <v>8</v>
      </c>
      <c r="R287" s="212">
        <f t="shared" si="45"/>
        <v>47.6</v>
      </c>
      <c r="S287" s="384" t="s">
        <v>1443</v>
      </c>
      <c r="T287" s="384" t="s">
        <v>1443</v>
      </c>
      <c r="U287" s="280">
        <v>62</v>
      </c>
      <c r="V287" s="280">
        <v>64</v>
      </c>
      <c r="W287" s="280">
        <v>64</v>
      </c>
      <c r="X287" s="374">
        <v>44215</v>
      </c>
      <c r="Y287" s="374">
        <v>44259</v>
      </c>
      <c r="Z287" s="276">
        <v>44268</v>
      </c>
      <c r="AA287" s="273">
        <f t="shared" si="46"/>
        <v>2021</v>
      </c>
      <c r="AB287" s="273">
        <f t="shared" si="47"/>
        <v>3</v>
      </c>
      <c r="AC287" s="278" t="s">
        <v>920</v>
      </c>
      <c r="AD287" s="278" t="s">
        <v>422</v>
      </c>
      <c r="AE287" s="278" t="s">
        <v>423</v>
      </c>
      <c r="AF287" s="278" t="s">
        <v>422</v>
      </c>
      <c r="AG287" s="278" t="s">
        <v>422</v>
      </c>
      <c r="AH287" s="278" t="s">
        <v>423</v>
      </c>
      <c r="AI287" s="278" t="s">
        <v>423</v>
      </c>
      <c r="AJ287" s="278" t="s">
        <v>423</v>
      </c>
      <c r="AK287" s="278" t="s">
        <v>423</v>
      </c>
      <c r="AL287" s="279" t="s">
        <v>1240</v>
      </c>
      <c r="AM287" s="241"/>
      <c r="AN287" s="241"/>
    </row>
    <row r="288" spans="1:40" ht="15" customHeight="1" x14ac:dyDescent="0.3">
      <c r="A288" s="185">
        <v>290</v>
      </c>
      <c r="B288" s="230" t="s">
        <v>1466</v>
      </c>
      <c r="C288" s="247" t="s">
        <v>1615</v>
      </c>
      <c r="D288" s="200" t="s">
        <v>1881</v>
      </c>
      <c r="E288" s="381" t="s">
        <v>1596</v>
      </c>
      <c r="F288" s="383"/>
      <c r="G288" s="368" t="s">
        <v>1604</v>
      </c>
      <c r="H288" s="248" t="s">
        <v>422</v>
      </c>
      <c r="I288" s="356">
        <v>2</v>
      </c>
      <c r="J288" s="356">
        <v>7.5</v>
      </c>
      <c r="K288" s="317">
        <v>0</v>
      </c>
      <c r="L288" s="212">
        <v>1</v>
      </c>
      <c r="M288" s="212">
        <f t="shared" si="40"/>
        <v>10.5</v>
      </c>
      <c r="N288" s="212">
        <f t="shared" si="41"/>
        <v>16</v>
      </c>
      <c r="O288" s="212">
        <f t="shared" si="42"/>
        <v>30</v>
      </c>
      <c r="P288" s="212">
        <f t="shared" si="43"/>
        <v>0</v>
      </c>
      <c r="Q288" s="212">
        <f t="shared" si="44"/>
        <v>8</v>
      </c>
      <c r="R288" s="212">
        <f t="shared" si="45"/>
        <v>54</v>
      </c>
      <c r="S288" s="384" t="s">
        <v>1327</v>
      </c>
      <c r="T288" s="384" t="s">
        <v>1467</v>
      </c>
      <c r="U288" s="280">
        <v>54</v>
      </c>
      <c r="V288" s="280">
        <v>54</v>
      </c>
      <c r="W288" s="280">
        <v>54</v>
      </c>
      <c r="X288" s="374">
        <v>44253</v>
      </c>
      <c r="Y288" s="374">
        <v>44281</v>
      </c>
      <c r="Z288" s="276">
        <v>44281</v>
      </c>
      <c r="AA288" s="273">
        <f t="shared" si="46"/>
        <v>2021</v>
      </c>
      <c r="AB288" s="273">
        <f t="shared" si="47"/>
        <v>3</v>
      </c>
      <c r="AC288" s="278" t="s">
        <v>920</v>
      </c>
      <c r="AD288" s="278" t="s">
        <v>422</v>
      </c>
      <c r="AE288" s="278" t="s">
        <v>422</v>
      </c>
      <c r="AF288" s="278" t="s">
        <v>422</v>
      </c>
      <c r="AG288" s="278" t="s">
        <v>422</v>
      </c>
      <c r="AH288" s="278" t="s">
        <v>422</v>
      </c>
      <c r="AI288" s="278" t="s">
        <v>423</v>
      </c>
      <c r="AJ288" s="278" t="s">
        <v>422</v>
      </c>
      <c r="AK288" s="278" t="s">
        <v>423</v>
      </c>
      <c r="AL288" s="279" t="s">
        <v>140</v>
      </c>
      <c r="AM288" s="241"/>
      <c r="AN288" s="241"/>
    </row>
    <row r="289" spans="1:40" ht="15" customHeight="1" x14ac:dyDescent="0.3">
      <c r="A289" s="185">
        <v>284</v>
      </c>
      <c r="B289" s="230" t="s">
        <v>1450</v>
      </c>
      <c r="C289" s="247" t="s">
        <v>1618</v>
      </c>
      <c r="D289" s="200" t="s">
        <v>1881</v>
      </c>
      <c r="E289" s="230"/>
      <c r="F289" s="383" t="s">
        <v>1601</v>
      </c>
      <c r="G289" s="368" t="s">
        <v>1604</v>
      </c>
      <c r="H289" s="248" t="s">
        <v>422</v>
      </c>
      <c r="I289" s="317">
        <v>12</v>
      </c>
      <c r="J289" s="317">
        <v>8.1999999999999993</v>
      </c>
      <c r="K289" s="317">
        <v>0</v>
      </c>
      <c r="L289" s="212">
        <v>1.5</v>
      </c>
      <c r="M289" s="212">
        <f t="shared" si="40"/>
        <v>21.7</v>
      </c>
      <c r="N289" s="212">
        <f t="shared" si="41"/>
        <v>96</v>
      </c>
      <c r="O289" s="212">
        <f t="shared" si="42"/>
        <v>32.799999999999997</v>
      </c>
      <c r="P289" s="212">
        <f t="shared" si="43"/>
        <v>0</v>
      </c>
      <c r="Q289" s="212">
        <f t="shared" si="44"/>
        <v>12</v>
      </c>
      <c r="R289" s="212">
        <f t="shared" si="45"/>
        <v>140.80000000000001</v>
      </c>
      <c r="S289" s="384" t="s">
        <v>1465</v>
      </c>
      <c r="T289" s="384" t="s">
        <v>1464</v>
      </c>
      <c r="U289" s="280">
        <v>180</v>
      </c>
      <c r="V289" s="280">
        <v>186</v>
      </c>
      <c r="W289" s="280">
        <v>186</v>
      </c>
      <c r="X289" s="374">
        <v>44232</v>
      </c>
      <c r="Y289" s="374">
        <v>44301</v>
      </c>
      <c r="Z289" s="276">
        <v>44316</v>
      </c>
      <c r="AA289" s="273">
        <f t="shared" si="46"/>
        <v>2021</v>
      </c>
      <c r="AB289" s="273">
        <f t="shared" si="47"/>
        <v>4</v>
      </c>
      <c r="AC289" s="278" t="s">
        <v>920</v>
      </c>
      <c r="AD289" s="278" t="s">
        <v>422</v>
      </c>
      <c r="AE289" s="278" t="s">
        <v>422</v>
      </c>
      <c r="AF289" s="278" t="s">
        <v>422</v>
      </c>
      <c r="AG289" s="278" t="s">
        <v>422</v>
      </c>
      <c r="AH289" s="278" t="s">
        <v>422</v>
      </c>
      <c r="AI289" s="278" t="s">
        <v>423</v>
      </c>
      <c r="AJ289" s="278" t="s">
        <v>423</v>
      </c>
      <c r="AK289" s="278" t="s">
        <v>423</v>
      </c>
      <c r="AL289" s="279" t="s">
        <v>1240</v>
      </c>
      <c r="AM289" s="241"/>
      <c r="AN289" s="241"/>
    </row>
    <row r="290" spans="1:40" ht="15" customHeight="1" x14ac:dyDescent="0.3">
      <c r="A290" s="185">
        <v>287</v>
      </c>
      <c r="B290" s="230" t="s">
        <v>1456</v>
      </c>
      <c r="C290" s="247" t="s">
        <v>1618</v>
      </c>
      <c r="D290" s="200" t="s">
        <v>1881</v>
      </c>
      <c r="E290" s="370" t="s">
        <v>1596</v>
      </c>
      <c r="F290" s="383" t="s">
        <v>1601</v>
      </c>
      <c r="G290" s="368" t="s">
        <v>1604</v>
      </c>
      <c r="H290" s="381" t="s">
        <v>422</v>
      </c>
      <c r="I290" s="381">
        <v>1.5</v>
      </c>
      <c r="J290" s="383">
        <v>13</v>
      </c>
      <c r="K290" s="317">
        <v>0</v>
      </c>
      <c r="L290" s="212">
        <v>1</v>
      </c>
      <c r="M290" s="212">
        <f t="shared" si="40"/>
        <v>15.5</v>
      </c>
      <c r="N290" s="212">
        <f t="shared" si="41"/>
        <v>12</v>
      </c>
      <c r="O290" s="212">
        <f t="shared" si="42"/>
        <v>52</v>
      </c>
      <c r="P290" s="212">
        <f t="shared" si="43"/>
        <v>0</v>
      </c>
      <c r="Q290" s="212">
        <f t="shared" si="44"/>
        <v>8</v>
      </c>
      <c r="R290" s="212">
        <f t="shared" si="45"/>
        <v>72</v>
      </c>
      <c r="S290" s="384" t="s">
        <v>1458</v>
      </c>
      <c r="T290" s="384" t="s">
        <v>1462</v>
      </c>
      <c r="U290" s="280">
        <v>60</v>
      </c>
      <c r="V290" s="280">
        <v>62</v>
      </c>
      <c r="W290" s="280">
        <v>62</v>
      </c>
      <c r="X290" s="374">
        <v>44240</v>
      </c>
      <c r="Y290" s="374">
        <v>44259</v>
      </c>
      <c r="Z290" s="276">
        <v>44316</v>
      </c>
      <c r="AA290" s="273">
        <f t="shared" si="46"/>
        <v>2021</v>
      </c>
      <c r="AB290" s="273">
        <f t="shared" si="47"/>
        <v>4</v>
      </c>
      <c r="AC290" s="278" t="s">
        <v>920</v>
      </c>
      <c r="AD290" s="278" t="s">
        <v>422</v>
      </c>
      <c r="AE290" s="278" t="s">
        <v>422</v>
      </c>
      <c r="AF290" s="278" t="s">
        <v>422</v>
      </c>
      <c r="AG290" s="278" t="s">
        <v>422</v>
      </c>
      <c r="AH290" s="278" t="s">
        <v>422</v>
      </c>
      <c r="AI290" s="278" t="s">
        <v>423</v>
      </c>
      <c r="AJ290" s="278" t="s">
        <v>423</v>
      </c>
      <c r="AK290" s="278" t="s">
        <v>423</v>
      </c>
      <c r="AL290" s="279" t="s">
        <v>140</v>
      </c>
      <c r="AM290" s="241"/>
      <c r="AN290" s="242" t="s">
        <v>1578</v>
      </c>
    </row>
    <row r="291" spans="1:40" ht="15" customHeight="1" x14ac:dyDescent="0.3">
      <c r="A291" s="185">
        <v>322</v>
      </c>
      <c r="B291" s="230" t="s">
        <v>1503</v>
      </c>
      <c r="C291" s="247" t="s">
        <v>1618</v>
      </c>
      <c r="D291" s="200" t="s">
        <v>1881</v>
      </c>
      <c r="E291" s="230"/>
      <c r="F291" s="383" t="s">
        <v>1601</v>
      </c>
      <c r="G291" s="370" t="s">
        <v>1604</v>
      </c>
      <c r="H291" s="248" t="s">
        <v>422</v>
      </c>
      <c r="I291" s="317">
        <v>1</v>
      </c>
      <c r="J291" s="317">
        <v>6.8</v>
      </c>
      <c r="K291" s="317">
        <v>0</v>
      </c>
      <c r="L291" s="212">
        <v>1</v>
      </c>
      <c r="M291" s="212">
        <f t="shared" si="40"/>
        <v>8.8000000000000007</v>
      </c>
      <c r="N291" s="212">
        <f t="shared" si="41"/>
        <v>8</v>
      </c>
      <c r="O291" s="212">
        <f t="shared" si="42"/>
        <v>27.2</v>
      </c>
      <c r="P291" s="212">
        <f t="shared" si="43"/>
        <v>0</v>
      </c>
      <c r="Q291" s="212">
        <f t="shared" si="44"/>
        <v>8</v>
      </c>
      <c r="R291" s="212">
        <f t="shared" si="45"/>
        <v>43.2</v>
      </c>
      <c r="S291" s="384" t="s">
        <v>1513</v>
      </c>
      <c r="T291" s="384" t="s">
        <v>1512</v>
      </c>
      <c r="U291" s="280">
        <f>60*4</f>
        <v>240</v>
      </c>
      <c r="V291" s="280">
        <f>62*4</f>
        <v>248</v>
      </c>
      <c r="W291" s="280">
        <f>62*4</f>
        <v>248</v>
      </c>
      <c r="X291" s="374">
        <v>44278</v>
      </c>
      <c r="Y291" s="374">
        <v>44309</v>
      </c>
      <c r="Z291" s="276">
        <v>44316</v>
      </c>
      <c r="AA291" s="273">
        <f t="shared" si="46"/>
        <v>2021</v>
      </c>
      <c r="AB291" s="273">
        <f t="shared" si="47"/>
        <v>4</v>
      </c>
      <c r="AC291" s="278" t="s">
        <v>920</v>
      </c>
      <c r="AD291" s="278" t="s">
        <v>422</v>
      </c>
      <c r="AE291" s="278" t="s">
        <v>423</v>
      </c>
      <c r="AF291" s="278" t="s">
        <v>422</v>
      </c>
      <c r="AG291" s="278" t="s">
        <v>422</v>
      </c>
      <c r="AH291" s="278" t="s">
        <v>423</v>
      </c>
      <c r="AI291" s="278" t="s">
        <v>423</v>
      </c>
      <c r="AJ291" s="278" t="s">
        <v>423</v>
      </c>
      <c r="AK291" s="278" t="s">
        <v>423</v>
      </c>
      <c r="AL291" s="279" t="s">
        <v>1372</v>
      </c>
      <c r="AM291" s="241"/>
      <c r="AN291" s="241"/>
    </row>
    <row r="292" spans="1:40" ht="15" customHeight="1" x14ac:dyDescent="0.3">
      <c r="A292" s="185">
        <v>323</v>
      </c>
      <c r="B292" s="230" t="s">
        <v>1504</v>
      </c>
      <c r="C292" s="247" t="s">
        <v>1618</v>
      </c>
      <c r="D292" s="200" t="s">
        <v>1881</v>
      </c>
      <c r="E292" s="230"/>
      <c r="F292" s="383" t="s">
        <v>1601</v>
      </c>
      <c r="G292" s="370" t="s">
        <v>1604</v>
      </c>
      <c r="H292" s="248" t="s">
        <v>422</v>
      </c>
      <c r="I292" s="317">
        <v>1.2</v>
      </c>
      <c r="J292" s="317">
        <v>7.5</v>
      </c>
      <c r="K292" s="317">
        <v>0</v>
      </c>
      <c r="L292" s="212">
        <v>1.5</v>
      </c>
      <c r="M292" s="212">
        <f t="shared" si="40"/>
        <v>10.199999999999999</v>
      </c>
      <c r="N292" s="212">
        <f t="shared" si="41"/>
        <v>9.6</v>
      </c>
      <c r="O292" s="212">
        <f t="shared" si="42"/>
        <v>30</v>
      </c>
      <c r="P292" s="212">
        <f t="shared" si="43"/>
        <v>0</v>
      </c>
      <c r="Q292" s="212">
        <f t="shared" si="44"/>
        <v>12</v>
      </c>
      <c r="R292" s="212">
        <f t="shared" si="45"/>
        <v>51.6</v>
      </c>
      <c r="S292" s="384" t="s">
        <v>1514</v>
      </c>
      <c r="T292" s="384" t="s">
        <v>1515</v>
      </c>
      <c r="U292" s="280">
        <v>240</v>
      </c>
      <c r="V292" s="280">
        <f>62*4</f>
        <v>248</v>
      </c>
      <c r="W292" s="280">
        <f>62*4</f>
        <v>248</v>
      </c>
      <c r="X292" s="374">
        <v>44278</v>
      </c>
      <c r="Y292" s="374">
        <v>44309</v>
      </c>
      <c r="Z292" s="276">
        <v>44316</v>
      </c>
      <c r="AA292" s="273">
        <f t="shared" si="46"/>
        <v>2021</v>
      </c>
      <c r="AB292" s="273">
        <f t="shared" si="47"/>
        <v>4</v>
      </c>
      <c r="AC292" s="278" t="s">
        <v>920</v>
      </c>
      <c r="AD292" s="278" t="s">
        <v>422</v>
      </c>
      <c r="AE292" s="278" t="s">
        <v>423</v>
      </c>
      <c r="AF292" s="278" t="s">
        <v>422</v>
      </c>
      <c r="AG292" s="278" t="s">
        <v>422</v>
      </c>
      <c r="AH292" s="278" t="s">
        <v>423</v>
      </c>
      <c r="AI292" s="278" t="s">
        <v>423</v>
      </c>
      <c r="AJ292" s="278" t="s">
        <v>423</v>
      </c>
      <c r="AK292" s="278" t="s">
        <v>423</v>
      </c>
      <c r="AL292" s="279" t="s">
        <v>1240</v>
      </c>
      <c r="AM292" s="241"/>
      <c r="AN292" s="241"/>
    </row>
    <row r="293" spans="1:40" ht="15" customHeight="1" x14ac:dyDescent="0.3">
      <c r="A293" s="185">
        <v>327</v>
      </c>
      <c r="B293" s="230" t="s">
        <v>1552</v>
      </c>
      <c r="C293" s="247" t="s">
        <v>1616</v>
      </c>
      <c r="D293" s="200" t="s">
        <v>1848</v>
      </c>
      <c r="E293" s="370" t="s">
        <v>1596</v>
      </c>
      <c r="F293" s="383" t="s">
        <v>1597</v>
      </c>
      <c r="G293" s="370" t="s">
        <v>1953</v>
      </c>
      <c r="H293" s="248" t="s">
        <v>422</v>
      </c>
      <c r="I293" s="317">
        <v>2</v>
      </c>
      <c r="J293" s="356">
        <v>9</v>
      </c>
      <c r="K293" s="356">
        <v>10</v>
      </c>
      <c r="L293" s="212">
        <v>1</v>
      </c>
      <c r="M293" s="212">
        <f t="shared" si="40"/>
        <v>22</v>
      </c>
      <c r="N293" s="212">
        <f t="shared" si="41"/>
        <v>16</v>
      </c>
      <c r="O293" s="212">
        <f t="shared" si="42"/>
        <v>36</v>
      </c>
      <c r="P293" s="212">
        <f t="shared" si="43"/>
        <v>66.666666666666671</v>
      </c>
      <c r="Q293" s="212">
        <f t="shared" si="44"/>
        <v>8</v>
      </c>
      <c r="R293" s="212">
        <f t="shared" si="45"/>
        <v>126.66666666666667</v>
      </c>
      <c r="S293" s="384" t="s">
        <v>1560</v>
      </c>
      <c r="T293" s="384" t="s">
        <v>1559</v>
      </c>
      <c r="U293" s="280">
        <v>7</v>
      </c>
      <c r="V293" s="280">
        <v>8</v>
      </c>
      <c r="W293" s="280">
        <v>8</v>
      </c>
      <c r="X293" s="374">
        <v>44293</v>
      </c>
      <c r="Y293" s="374">
        <v>44298</v>
      </c>
      <c r="Z293" s="276">
        <v>44316</v>
      </c>
      <c r="AA293" s="273">
        <f t="shared" si="46"/>
        <v>2021</v>
      </c>
      <c r="AB293" s="273">
        <f t="shared" si="47"/>
        <v>4</v>
      </c>
      <c r="AC293" s="278" t="s">
        <v>920</v>
      </c>
      <c r="AD293" s="278" t="s">
        <v>422</v>
      </c>
      <c r="AE293" s="278" t="s">
        <v>422</v>
      </c>
      <c r="AF293" s="278" t="s">
        <v>422</v>
      </c>
      <c r="AG293" s="278" t="s">
        <v>422</v>
      </c>
      <c r="AH293" s="278" t="s">
        <v>422</v>
      </c>
      <c r="AI293" s="278" t="s">
        <v>422</v>
      </c>
      <c r="AJ293" s="278" t="s">
        <v>423</v>
      </c>
      <c r="AK293" s="278" t="s">
        <v>423</v>
      </c>
      <c r="AL293" s="279" t="s">
        <v>1424</v>
      </c>
      <c r="AM293" s="241"/>
      <c r="AN293" s="242" t="s">
        <v>1581</v>
      </c>
    </row>
    <row r="294" spans="1:40" s="295" customFormat="1" ht="15" customHeight="1" x14ac:dyDescent="0.3">
      <c r="A294" s="185">
        <v>328</v>
      </c>
      <c r="B294" s="230" t="s">
        <v>1553</v>
      </c>
      <c r="C294" s="247" t="s">
        <v>1616</v>
      </c>
      <c r="D294" s="199" t="s">
        <v>1848</v>
      </c>
      <c r="E294" s="370" t="s">
        <v>1596</v>
      </c>
      <c r="F294" s="383" t="s">
        <v>1597</v>
      </c>
      <c r="G294" s="370" t="s">
        <v>1953</v>
      </c>
      <c r="H294" s="248">
        <v>12</v>
      </c>
      <c r="I294" s="317">
        <v>2</v>
      </c>
      <c r="J294" s="356">
        <v>9</v>
      </c>
      <c r="K294" s="356">
        <v>10</v>
      </c>
      <c r="L294" s="212">
        <v>1</v>
      </c>
      <c r="M294" s="212">
        <f t="shared" si="40"/>
        <v>22</v>
      </c>
      <c r="N294" s="212">
        <f t="shared" si="41"/>
        <v>16</v>
      </c>
      <c r="O294" s="212">
        <f t="shared" si="42"/>
        <v>36</v>
      </c>
      <c r="P294" s="212">
        <f t="shared" si="43"/>
        <v>66.666666666666671</v>
      </c>
      <c r="Q294" s="212">
        <f t="shared" si="44"/>
        <v>8</v>
      </c>
      <c r="R294" s="212">
        <f t="shared" si="45"/>
        <v>126.66666666666667</v>
      </c>
      <c r="S294" s="384" t="s">
        <v>1567</v>
      </c>
      <c r="T294" s="384" t="s">
        <v>1571</v>
      </c>
      <c r="U294" s="280">
        <v>7</v>
      </c>
      <c r="V294" s="280">
        <v>8</v>
      </c>
      <c r="W294" s="280">
        <v>8</v>
      </c>
      <c r="X294" s="374">
        <v>44293</v>
      </c>
      <c r="Y294" s="374">
        <v>44298</v>
      </c>
      <c r="Z294" s="276">
        <v>44316</v>
      </c>
      <c r="AA294" s="273">
        <f t="shared" si="46"/>
        <v>2021</v>
      </c>
      <c r="AB294" s="273">
        <f t="shared" si="47"/>
        <v>4</v>
      </c>
      <c r="AC294" s="278" t="s">
        <v>920</v>
      </c>
      <c r="AD294" s="278" t="s">
        <v>422</v>
      </c>
      <c r="AE294" s="278" t="s">
        <v>422</v>
      </c>
      <c r="AF294" s="278" t="s">
        <v>422</v>
      </c>
      <c r="AG294" s="278" t="s">
        <v>422</v>
      </c>
      <c r="AH294" s="278" t="s">
        <v>422</v>
      </c>
      <c r="AI294" s="278" t="s">
        <v>422</v>
      </c>
      <c r="AJ294" s="278" t="s">
        <v>423</v>
      </c>
      <c r="AK294" s="278" t="s">
        <v>423</v>
      </c>
      <c r="AL294" s="279" t="s">
        <v>1424</v>
      </c>
      <c r="AM294" s="241"/>
      <c r="AN294" s="242" t="s">
        <v>1581</v>
      </c>
    </row>
    <row r="295" spans="1:40" s="295" customFormat="1" ht="15" customHeight="1" x14ac:dyDescent="0.3">
      <c r="A295" s="185">
        <v>329</v>
      </c>
      <c r="B295" s="230" t="s">
        <v>1554</v>
      </c>
      <c r="C295" s="247" t="s">
        <v>1616</v>
      </c>
      <c r="D295" s="199" t="s">
        <v>1848</v>
      </c>
      <c r="E295" s="370" t="s">
        <v>1596</v>
      </c>
      <c r="F295" s="383" t="s">
        <v>1597</v>
      </c>
      <c r="G295" s="370" t="s">
        <v>1953</v>
      </c>
      <c r="H295" s="248" t="s">
        <v>422</v>
      </c>
      <c r="I295" s="317">
        <v>2</v>
      </c>
      <c r="J295" s="317">
        <v>9</v>
      </c>
      <c r="K295" s="356">
        <v>10</v>
      </c>
      <c r="L295" s="212">
        <v>1</v>
      </c>
      <c r="M295" s="212">
        <f t="shared" si="40"/>
        <v>22</v>
      </c>
      <c r="N295" s="212">
        <f t="shared" si="41"/>
        <v>16</v>
      </c>
      <c r="O295" s="212">
        <f t="shared" si="42"/>
        <v>36</v>
      </c>
      <c r="P295" s="212">
        <f t="shared" si="43"/>
        <v>66.666666666666671</v>
      </c>
      <c r="Q295" s="212">
        <f t="shared" si="44"/>
        <v>8</v>
      </c>
      <c r="R295" s="212">
        <f t="shared" si="45"/>
        <v>126.66666666666667</v>
      </c>
      <c r="S295" s="384" t="s">
        <v>1562</v>
      </c>
      <c r="T295" s="384" t="s">
        <v>1572</v>
      </c>
      <c r="U295" s="280">
        <v>7</v>
      </c>
      <c r="V295" s="280">
        <v>8</v>
      </c>
      <c r="W295" s="280">
        <v>8</v>
      </c>
      <c r="X295" s="374">
        <v>44293</v>
      </c>
      <c r="Y295" s="374">
        <v>44298</v>
      </c>
      <c r="Z295" s="276">
        <v>44316</v>
      </c>
      <c r="AA295" s="273">
        <f t="shared" si="46"/>
        <v>2021</v>
      </c>
      <c r="AB295" s="273">
        <f t="shared" si="47"/>
        <v>4</v>
      </c>
      <c r="AC295" s="278" t="s">
        <v>920</v>
      </c>
      <c r="AD295" s="278" t="s">
        <v>422</v>
      </c>
      <c r="AE295" s="278" t="s">
        <v>422</v>
      </c>
      <c r="AF295" s="278" t="s">
        <v>422</v>
      </c>
      <c r="AG295" s="278" t="s">
        <v>422</v>
      </c>
      <c r="AH295" s="278" t="s">
        <v>422</v>
      </c>
      <c r="AI295" s="278" t="s">
        <v>422</v>
      </c>
      <c r="AJ295" s="278" t="s">
        <v>423</v>
      </c>
      <c r="AK295" s="278" t="s">
        <v>423</v>
      </c>
      <c r="AL295" s="279" t="s">
        <v>1424</v>
      </c>
      <c r="AM295" s="241"/>
      <c r="AN295" s="242" t="s">
        <v>1581</v>
      </c>
    </row>
    <row r="296" spans="1:40" s="295" customFormat="1" ht="15" customHeight="1" x14ac:dyDescent="0.3">
      <c r="A296" s="185">
        <v>330</v>
      </c>
      <c r="B296" s="230" t="s">
        <v>1555</v>
      </c>
      <c r="C296" s="247" t="s">
        <v>1616</v>
      </c>
      <c r="D296" s="199" t="s">
        <v>1848</v>
      </c>
      <c r="E296" s="370" t="s">
        <v>1596</v>
      </c>
      <c r="F296" s="383" t="s">
        <v>1597</v>
      </c>
      <c r="G296" s="370" t="s">
        <v>1953</v>
      </c>
      <c r="H296" s="248"/>
      <c r="I296" s="317">
        <v>2</v>
      </c>
      <c r="J296" s="356">
        <v>9</v>
      </c>
      <c r="K296" s="356">
        <v>10</v>
      </c>
      <c r="L296" s="212">
        <v>1</v>
      </c>
      <c r="M296" s="212">
        <f t="shared" si="40"/>
        <v>22</v>
      </c>
      <c r="N296" s="212">
        <f t="shared" si="41"/>
        <v>16</v>
      </c>
      <c r="O296" s="212">
        <f t="shared" si="42"/>
        <v>36</v>
      </c>
      <c r="P296" s="212">
        <f t="shared" si="43"/>
        <v>66.666666666666671</v>
      </c>
      <c r="Q296" s="212">
        <f t="shared" si="44"/>
        <v>8</v>
      </c>
      <c r="R296" s="212">
        <f t="shared" si="45"/>
        <v>126.66666666666667</v>
      </c>
      <c r="S296" s="384" t="s">
        <v>1569</v>
      </c>
      <c r="T296" s="384" t="s">
        <v>1575</v>
      </c>
      <c r="U296" s="280">
        <v>7</v>
      </c>
      <c r="V296" s="280">
        <v>8</v>
      </c>
      <c r="W296" s="280">
        <v>8</v>
      </c>
      <c r="X296" s="374">
        <v>44293</v>
      </c>
      <c r="Y296" s="374">
        <v>44298</v>
      </c>
      <c r="Z296" s="276">
        <v>44316</v>
      </c>
      <c r="AA296" s="273">
        <f t="shared" si="46"/>
        <v>2021</v>
      </c>
      <c r="AB296" s="273">
        <f t="shared" si="47"/>
        <v>4</v>
      </c>
      <c r="AC296" s="278" t="s">
        <v>920</v>
      </c>
      <c r="AD296" s="278" t="s">
        <v>422</v>
      </c>
      <c r="AE296" s="278" t="s">
        <v>422</v>
      </c>
      <c r="AF296" s="278" t="s">
        <v>422</v>
      </c>
      <c r="AG296" s="278" t="s">
        <v>422</v>
      </c>
      <c r="AH296" s="278" t="s">
        <v>422</v>
      </c>
      <c r="AI296" s="278" t="s">
        <v>422</v>
      </c>
      <c r="AJ296" s="278" t="s">
        <v>423</v>
      </c>
      <c r="AK296" s="278" t="s">
        <v>423</v>
      </c>
      <c r="AL296" s="279"/>
      <c r="AM296" s="241"/>
      <c r="AN296" s="242" t="s">
        <v>1581</v>
      </c>
    </row>
    <row r="297" spans="1:40" s="295" customFormat="1" ht="15" customHeight="1" x14ac:dyDescent="0.3">
      <c r="A297" s="185">
        <v>331</v>
      </c>
      <c r="B297" s="230" t="s">
        <v>1556</v>
      </c>
      <c r="C297" s="247" t="s">
        <v>1616</v>
      </c>
      <c r="D297" s="199" t="s">
        <v>1848</v>
      </c>
      <c r="E297" s="370" t="s">
        <v>1596</v>
      </c>
      <c r="F297" s="383" t="s">
        <v>1597</v>
      </c>
      <c r="G297" s="370" t="s">
        <v>1953</v>
      </c>
      <c r="H297" s="248"/>
      <c r="I297" s="317">
        <v>2</v>
      </c>
      <c r="J297" s="356">
        <v>9</v>
      </c>
      <c r="K297" s="356">
        <v>10</v>
      </c>
      <c r="L297" s="212">
        <v>1</v>
      </c>
      <c r="M297" s="212">
        <f t="shared" si="40"/>
        <v>22</v>
      </c>
      <c r="N297" s="212">
        <f t="shared" si="41"/>
        <v>16</v>
      </c>
      <c r="O297" s="212">
        <f t="shared" si="42"/>
        <v>36</v>
      </c>
      <c r="P297" s="212">
        <f t="shared" si="43"/>
        <v>66.666666666666671</v>
      </c>
      <c r="Q297" s="212">
        <f t="shared" si="44"/>
        <v>8</v>
      </c>
      <c r="R297" s="212">
        <f t="shared" si="45"/>
        <v>126.66666666666667</v>
      </c>
      <c r="S297" s="384" t="s">
        <v>1568</v>
      </c>
      <c r="T297" s="384" t="s">
        <v>1574</v>
      </c>
      <c r="U297" s="280">
        <v>7</v>
      </c>
      <c r="V297" s="280">
        <v>8</v>
      </c>
      <c r="W297" s="280">
        <v>8</v>
      </c>
      <c r="X297" s="374">
        <v>44293</v>
      </c>
      <c r="Y297" s="374">
        <v>44298</v>
      </c>
      <c r="Z297" s="276">
        <v>44316</v>
      </c>
      <c r="AA297" s="273">
        <f t="shared" si="46"/>
        <v>2021</v>
      </c>
      <c r="AB297" s="273">
        <f t="shared" si="47"/>
        <v>4</v>
      </c>
      <c r="AC297" s="278" t="s">
        <v>920</v>
      </c>
      <c r="AD297" s="278" t="s">
        <v>422</v>
      </c>
      <c r="AE297" s="278" t="s">
        <v>422</v>
      </c>
      <c r="AF297" s="278" t="s">
        <v>422</v>
      </c>
      <c r="AG297" s="278" t="s">
        <v>422</v>
      </c>
      <c r="AH297" s="278" t="s">
        <v>422</v>
      </c>
      <c r="AI297" s="278" t="s">
        <v>422</v>
      </c>
      <c r="AJ297" s="278" t="s">
        <v>422</v>
      </c>
      <c r="AK297" s="278" t="s">
        <v>423</v>
      </c>
      <c r="AL297" s="279"/>
      <c r="AM297" s="241"/>
      <c r="AN297" s="242" t="s">
        <v>1581</v>
      </c>
    </row>
    <row r="298" spans="1:40" s="295" customFormat="1" ht="15" customHeight="1" x14ac:dyDescent="0.3">
      <c r="A298" s="185">
        <v>332</v>
      </c>
      <c r="B298" s="230" t="s">
        <v>1557</v>
      </c>
      <c r="C298" s="247" t="s">
        <v>1616</v>
      </c>
      <c r="D298" s="199" t="s">
        <v>1848</v>
      </c>
      <c r="E298" s="370" t="s">
        <v>1596</v>
      </c>
      <c r="F298" s="383" t="s">
        <v>1597</v>
      </c>
      <c r="G298" s="370" t="s">
        <v>1953</v>
      </c>
      <c r="H298" s="248" t="s">
        <v>422</v>
      </c>
      <c r="I298" s="317">
        <v>2</v>
      </c>
      <c r="J298" s="317">
        <v>5.5</v>
      </c>
      <c r="K298" s="356">
        <v>6</v>
      </c>
      <c r="L298" s="212">
        <v>1</v>
      </c>
      <c r="M298" s="212">
        <f t="shared" si="40"/>
        <v>14.5</v>
      </c>
      <c r="N298" s="212">
        <f t="shared" si="41"/>
        <v>16</v>
      </c>
      <c r="O298" s="212">
        <f t="shared" si="42"/>
        <v>22</v>
      </c>
      <c r="P298" s="212">
        <f t="shared" si="43"/>
        <v>40</v>
      </c>
      <c r="Q298" s="212">
        <f t="shared" si="44"/>
        <v>8</v>
      </c>
      <c r="R298" s="212">
        <f t="shared" si="45"/>
        <v>86</v>
      </c>
      <c r="S298" s="384" t="s">
        <v>1563</v>
      </c>
      <c r="T298" s="384" t="s">
        <v>1573</v>
      </c>
      <c r="U298" s="280">
        <v>7</v>
      </c>
      <c r="V298" s="280">
        <v>8</v>
      </c>
      <c r="W298" s="280">
        <v>8</v>
      </c>
      <c r="X298" s="374">
        <v>44293</v>
      </c>
      <c r="Y298" s="374">
        <v>44298</v>
      </c>
      <c r="Z298" s="276">
        <v>44316</v>
      </c>
      <c r="AA298" s="273">
        <f t="shared" si="46"/>
        <v>2021</v>
      </c>
      <c r="AB298" s="273">
        <f t="shared" si="47"/>
        <v>4</v>
      </c>
      <c r="AC298" s="278" t="s">
        <v>920</v>
      </c>
      <c r="AD298" s="278" t="s">
        <v>422</v>
      </c>
      <c r="AE298" s="278" t="s">
        <v>422</v>
      </c>
      <c r="AF298" s="278" t="s">
        <v>422</v>
      </c>
      <c r="AG298" s="278" t="s">
        <v>422</v>
      </c>
      <c r="AH298" s="278" t="s">
        <v>423</v>
      </c>
      <c r="AI298" s="278" t="s">
        <v>422</v>
      </c>
      <c r="AJ298" s="278" t="s">
        <v>423</v>
      </c>
      <c r="AK298" s="278" t="s">
        <v>423</v>
      </c>
      <c r="AL298" s="279" t="s">
        <v>1424</v>
      </c>
      <c r="AM298" s="241"/>
      <c r="AN298" s="242" t="s">
        <v>1581</v>
      </c>
    </row>
    <row r="299" spans="1:40" s="295" customFormat="1" ht="15" customHeight="1" x14ac:dyDescent="0.3">
      <c r="A299" s="185">
        <v>333</v>
      </c>
      <c r="B299" s="230" t="s">
        <v>1558</v>
      </c>
      <c r="C299" s="247" t="s">
        <v>1616</v>
      </c>
      <c r="D299" s="199" t="s">
        <v>1848</v>
      </c>
      <c r="E299" s="370" t="s">
        <v>1596</v>
      </c>
      <c r="F299" s="383" t="s">
        <v>1597</v>
      </c>
      <c r="G299" s="370" t="s">
        <v>1953</v>
      </c>
      <c r="H299" s="248" t="s">
        <v>422</v>
      </c>
      <c r="I299" s="317">
        <v>1</v>
      </c>
      <c r="J299" s="317">
        <v>3.5</v>
      </c>
      <c r="K299" s="356">
        <v>5</v>
      </c>
      <c r="L299" s="212">
        <v>0.5</v>
      </c>
      <c r="M299" s="212">
        <f t="shared" si="40"/>
        <v>10</v>
      </c>
      <c r="N299" s="212">
        <f t="shared" si="41"/>
        <v>8</v>
      </c>
      <c r="O299" s="212">
        <f t="shared" si="42"/>
        <v>14</v>
      </c>
      <c r="P299" s="212">
        <f t="shared" si="43"/>
        <v>33.333333333333336</v>
      </c>
      <c r="Q299" s="212">
        <f t="shared" si="44"/>
        <v>4</v>
      </c>
      <c r="R299" s="212">
        <f t="shared" si="45"/>
        <v>59.333333333333336</v>
      </c>
      <c r="S299" s="384" t="s">
        <v>1564</v>
      </c>
      <c r="T299" s="384" t="s">
        <v>1576</v>
      </c>
      <c r="U299" s="280">
        <v>7</v>
      </c>
      <c r="V299" s="280">
        <v>8</v>
      </c>
      <c r="W299" s="280">
        <v>8</v>
      </c>
      <c r="X299" s="374">
        <v>44293</v>
      </c>
      <c r="Y299" s="374">
        <v>44298</v>
      </c>
      <c r="Z299" s="276">
        <v>44316</v>
      </c>
      <c r="AA299" s="273">
        <f t="shared" si="46"/>
        <v>2021</v>
      </c>
      <c r="AB299" s="273">
        <f t="shared" si="47"/>
        <v>4</v>
      </c>
      <c r="AC299" s="278" t="s">
        <v>920</v>
      </c>
      <c r="AD299" s="278" t="s">
        <v>422</v>
      </c>
      <c r="AE299" s="278" t="s">
        <v>422</v>
      </c>
      <c r="AF299" s="278" t="s">
        <v>422</v>
      </c>
      <c r="AG299" s="278" t="s">
        <v>422</v>
      </c>
      <c r="AH299" s="278" t="s">
        <v>423</v>
      </c>
      <c r="AI299" s="278" t="s">
        <v>422</v>
      </c>
      <c r="AJ299" s="278" t="s">
        <v>423</v>
      </c>
      <c r="AK299" s="278" t="s">
        <v>423</v>
      </c>
      <c r="AL299" s="279" t="s">
        <v>1424</v>
      </c>
      <c r="AM299" s="241"/>
      <c r="AN299" s="242" t="s">
        <v>1581</v>
      </c>
    </row>
    <row r="300" spans="1:40" s="295" customFormat="1" ht="15" customHeight="1" x14ac:dyDescent="0.3">
      <c r="A300" s="185">
        <v>334</v>
      </c>
      <c r="B300" s="230" t="s">
        <v>1561</v>
      </c>
      <c r="C300" s="247" t="s">
        <v>1616</v>
      </c>
      <c r="D300" s="199" t="s">
        <v>1848</v>
      </c>
      <c r="E300" s="370" t="s">
        <v>1596</v>
      </c>
      <c r="F300" s="383" t="s">
        <v>1597</v>
      </c>
      <c r="G300" s="370" t="s">
        <v>1953</v>
      </c>
      <c r="H300" s="248"/>
      <c r="I300" s="317">
        <v>1</v>
      </c>
      <c r="J300" s="356">
        <v>2.5</v>
      </c>
      <c r="K300" s="356">
        <v>5</v>
      </c>
      <c r="L300" s="212">
        <v>0.5</v>
      </c>
      <c r="M300" s="212">
        <f t="shared" si="40"/>
        <v>9</v>
      </c>
      <c r="N300" s="212">
        <f t="shared" si="41"/>
        <v>8</v>
      </c>
      <c r="O300" s="212">
        <f t="shared" si="42"/>
        <v>10</v>
      </c>
      <c r="P300" s="212">
        <f t="shared" si="43"/>
        <v>33.333333333333336</v>
      </c>
      <c r="Q300" s="212">
        <f t="shared" si="44"/>
        <v>4</v>
      </c>
      <c r="R300" s="212">
        <f t="shared" si="45"/>
        <v>55.333333333333336</v>
      </c>
      <c r="S300" s="384" t="s">
        <v>1565</v>
      </c>
      <c r="T300" s="384" t="s">
        <v>1816</v>
      </c>
      <c r="U300" s="280">
        <v>7</v>
      </c>
      <c r="V300" s="280">
        <v>8</v>
      </c>
      <c r="W300" s="280">
        <v>8</v>
      </c>
      <c r="X300" s="374">
        <v>44293</v>
      </c>
      <c r="Y300" s="374">
        <v>44298</v>
      </c>
      <c r="Z300" s="276">
        <v>44316</v>
      </c>
      <c r="AA300" s="273">
        <f t="shared" si="46"/>
        <v>2021</v>
      </c>
      <c r="AB300" s="273">
        <f t="shared" si="47"/>
        <v>4</v>
      </c>
      <c r="AC300" s="278" t="s">
        <v>920</v>
      </c>
      <c r="AD300" s="278" t="s">
        <v>422</v>
      </c>
      <c r="AE300" s="278" t="s">
        <v>422</v>
      </c>
      <c r="AF300" s="278" t="s">
        <v>422</v>
      </c>
      <c r="AG300" s="278" t="s">
        <v>422</v>
      </c>
      <c r="AH300" s="278" t="s">
        <v>423</v>
      </c>
      <c r="AI300" s="278" t="s">
        <v>422</v>
      </c>
      <c r="AJ300" s="278" t="s">
        <v>423</v>
      </c>
      <c r="AK300" s="278" t="s">
        <v>423</v>
      </c>
      <c r="AL300" s="279"/>
      <c r="AM300" s="241"/>
      <c r="AN300" s="242" t="s">
        <v>1581</v>
      </c>
    </row>
    <row r="301" spans="1:40" s="295" customFormat="1" ht="15" customHeight="1" x14ac:dyDescent="0.3">
      <c r="A301" s="185">
        <v>335</v>
      </c>
      <c r="B301" s="230" t="s">
        <v>1570</v>
      </c>
      <c r="C301" s="247" t="s">
        <v>1616</v>
      </c>
      <c r="D301" s="199" t="s">
        <v>1848</v>
      </c>
      <c r="E301" s="370" t="s">
        <v>1596</v>
      </c>
      <c r="F301" s="383" t="s">
        <v>1597</v>
      </c>
      <c r="G301" s="370" t="s">
        <v>1953</v>
      </c>
      <c r="H301" s="248"/>
      <c r="I301" s="317">
        <v>1</v>
      </c>
      <c r="J301" s="356">
        <v>2.5</v>
      </c>
      <c r="K301" s="356">
        <v>5</v>
      </c>
      <c r="L301" s="212">
        <v>0.5</v>
      </c>
      <c r="M301" s="212">
        <f t="shared" si="40"/>
        <v>9</v>
      </c>
      <c r="N301" s="212">
        <f t="shared" si="41"/>
        <v>8</v>
      </c>
      <c r="O301" s="212">
        <f t="shared" si="42"/>
        <v>10</v>
      </c>
      <c r="P301" s="212">
        <f t="shared" si="43"/>
        <v>33.333333333333336</v>
      </c>
      <c r="Q301" s="212">
        <f t="shared" si="44"/>
        <v>4</v>
      </c>
      <c r="R301" s="212">
        <f t="shared" si="45"/>
        <v>55.333333333333336</v>
      </c>
      <c r="S301" s="384" t="s">
        <v>1566</v>
      </c>
      <c r="T301" s="384" t="s">
        <v>1577</v>
      </c>
      <c r="U301" s="280">
        <v>7</v>
      </c>
      <c r="V301" s="280">
        <v>8</v>
      </c>
      <c r="W301" s="280">
        <v>8</v>
      </c>
      <c r="X301" s="374">
        <v>44293</v>
      </c>
      <c r="Y301" s="374">
        <v>44298</v>
      </c>
      <c r="Z301" s="276">
        <v>44316</v>
      </c>
      <c r="AA301" s="273">
        <f t="shared" si="46"/>
        <v>2021</v>
      </c>
      <c r="AB301" s="273">
        <f t="shared" si="47"/>
        <v>4</v>
      </c>
      <c r="AC301" s="278" t="s">
        <v>920</v>
      </c>
      <c r="AD301" s="278" t="s">
        <v>422</v>
      </c>
      <c r="AE301" s="278" t="s">
        <v>422</v>
      </c>
      <c r="AF301" s="278" t="s">
        <v>422</v>
      </c>
      <c r="AG301" s="278" t="s">
        <v>422</v>
      </c>
      <c r="AH301" s="278" t="s">
        <v>423</v>
      </c>
      <c r="AI301" s="278" t="s">
        <v>422</v>
      </c>
      <c r="AJ301" s="278" t="s">
        <v>423</v>
      </c>
      <c r="AK301" s="278" t="s">
        <v>423</v>
      </c>
      <c r="AL301" s="279"/>
      <c r="AM301" s="241"/>
      <c r="AN301" s="242" t="s">
        <v>1581</v>
      </c>
    </row>
    <row r="302" spans="1:40" s="295" customFormat="1" ht="15" customHeight="1" x14ac:dyDescent="0.3">
      <c r="A302" s="185">
        <v>274</v>
      </c>
      <c r="B302" s="230" t="s">
        <v>1409</v>
      </c>
      <c r="C302" s="247" t="s">
        <v>1621</v>
      </c>
      <c r="D302" s="200" t="s">
        <v>1881</v>
      </c>
      <c r="E302" s="230" t="s">
        <v>422</v>
      </c>
      <c r="F302" s="383" t="s">
        <v>1599</v>
      </c>
      <c r="G302" s="368" t="s">
        <v>1604</v>
      </c>
      <c r="H302" s="248" t="s">
        <v>422</v>
      </c>
      <c r="I302" s="317">
        <v>1</v>
      </c>
      <c r="J302" s="317">
        <v>5</v>
      </c>
      <c r="K302" s="317">
        <v>0</v>
      </c>
      <c r="L302" s="212">
        <v>1</v>
      </c>
      <c r="M302" s="212">
        <f t="shared" si="40"/>
        <v>7</v>
      </c>
      <c r="N302" s="212">
        <f t="shared" si="41"/>
        <v>8</v>
      </c>
      <c r="O302" s="212">
        <f t="shared" si="42"/>
        <v>20</v>
      </c>
      <c r="P302" s="212">
        <f t="shared" si="43"/>
        <v>0</v>
      </c>
      <c r="Q302" s="212">
        <f t="shared" si="44"/>
        <v>8</v>
      </c>
      <c r="R302" s="212">
        <f t="shared" si="45"/>
        <v>36</v>
      </c>
      <c r="S302" s="384" t="s">
        <v>1419</v>
      </c>
      <c r="T302" s="384" t="s">
        <v>1422</v>
      </c>
      <c r="U302" s="280">
        <v>32</v>
      </c>
      <c r="V302" s="280">
        <v>32</v>
      </c>
      <c r="W302" s="280">
        <v>32</v>
      </c>
      <c r="X302" s="374">
        <v>44176</v>
      </c>
      <c r="Y302" s="374">
        <v>44179</v>
      </c>
      <c r="Z302" s="276">
        <v>44320</v>
      </c>
      <c r="AA302" s="273">
        <f t="shared" si="46"/>
        <v>2021</v>
      </c>
      <c r="AB302" s="273">
        <f t="shared" si="47"/>
        <v>5</v>
      </c>
      <c r="AC302" s="278" t="s">
        <v>920</v>
      </c>
      <c r="AD302" s="278" t="s">
        <v>422</v>
      </c>
      <c r="AE302" s="278" t="s">
        <v>423</v>
      </c>
      <c r="AF302" s="278" t="s">
        <v>422</v>
      </c>
      <c r="AG302" s="278" t="s">
        <v>422</v>
      </c>
      <c r="AH302" s="278" t="s">
        <v>423</v>
      </c>
      <c r="AI302" s="278" t="s">
        <v>423</v>
      </c>
      <c r="AJ302" s="278" t="s">
        <v>423</v>
      </c>
      <c r="AK302" s="278" t="s">
        <v>423</v>
      </c>
      <c r="AL302" s="279" t="s">
        <v>1424</v>
      </c>
      <c r="AM302" s="241"/>
      <c r="AN302" s="241"/>
    </row>
    <row r="303" spans="1:40" s="295" customFormat="1" ht="15" customHeight="1" x14ac:dyDescent="0.3">
      <c r="A303" s="185">
        <v>275</v>
      </c>
      <c r="B303" s="230" t="s">
        <v>1410</v>
      </c>
      <c r="C303" s="247" t="s">
        <v>1621</v>
      </c>
      <c r="D303" s="200" t="s">
        <v>1881</v>
      </c>
      <c r="E303" s="230" t="s">
        <v>422</v>
      </c>
      <c r="F303" s="383" t="s">
        <v>1599</v>
      </c>
      <c r="G303" s="368" t="s">
        <v>1604</v>
      </c>
      <c r="H303" s="248" t="s">
        <v>422</v>
      </c>
      <c r="I303" s="317">
        <v>1</v>
      </c>
      <c r="J303" s="317">
        <v>6</v>
      </c>
      <c r="K303" s="317">
        <v>0</v>
      </c>
      <c r="L303" s="212">
        <v>1</v>
      </c>
      <c r="M303" s="212">
        <f t="shared" si="40"/>
        <v>8</v>
      </c>
      <c r="N303" s="212">
        <f t="shared" si="41"/>
        <v>8</v>
      </c>
      <c r="O303" s="212">
        <f t="shared" si="42"/>
        <v>24</v>
      </c>
      <c r="P303" s="212">
        <f t="shared" si="43"/>
        <v>0</v>
      </c>
      <c r="Q303" s="212">
        <f t="shared" si="44"/>
        <v>8</v>
      </c>
      <c r="R303" s="212">
        <f t="shared" si="45"/>
        <v>40</v>
      </c>
      <c r="S303" s="384" t="s">
        <v>1420</v>
      </c>
      <c r="T303" s="384" t="s">
        <v>1423</v>
      </c>
      <c r="U303" s="280">
        <v>32</v>
      </c>
      <c r="V303" s="280">
        <v>32</v>
      </c>
      <c r="W303" s="280">
        <v>32</v>
      </c>
      <c r="X303" s="374">
        <v>44176</v>
      </c>
      <c r="Y303" s="374">
        <v>44179</v>
      </c>
      <c r="Z303" s="276">
        <v>44320</v>
      </c>
      <c r="AA303" s="273">
        <f t="shared" si="46"/>
        <v>2021</v>
      </c>
      <c r="AB303" s="273">
        <f t="shared" si="47"/>
        <v>5</v>
      </c>
      <c r="AC303" s="278" t="s">
        <v>920</v>
      </c>
      <c r="AD303" s="278" t="s">
        <v>422</v>
      </c>
      <c r="AE303" s="278" t="s">
        <v>423</v>
      </c>
      <c r="AF303" s="278" t="s">
        <v>422</v>
      </c>
      <c r="AG303" s="278" t="s">
        <v>422</v>
      </c>
      <c r="AH303" s="278" t="s">
        <v>423</v>
      </c>
      <c r="AI303" s="278" t="s">
        <v>423</v>
      </c>
      <c r="AJ303" s="278" t="s">
        <v>423</v>
      </c>
      <c r="AK303" s="278" t="s">
        <v>423</v>
      </c>
      <c r="AL303" s="279" t="s">
        <v>1424</v>
      </c>
      <c r="AM303" s="241"/>
      <c r="AN303" s="241"/>
    </row>
    <row r="304" spans="1:40" s="295" customFormat="1" ht="15" customHeight="1" x14ac:dyDescent="0.3">
      <c r="A304" s="185">
        <v>276</v>
      </c>
      <c r="B304" s="230" t="s">
        <v>1411</v>
      </c>
      <c r="C304" s="247" t="s">
        <v>1621</v>
      </c>
      <c r="D304" s="200" t="s">
        <v>1881</v>
      </c>
      <c r="E304" s="230" t="s">
        <v>422</v>
      </c>
      <c r="F304" s="383" t="s">
        <v>1599</v>
      </c>
      <c r="G304" s="368" t="s">
        <v>1604</v>
      </c>
      <c r="H304" s="248" t="s">
        <v>422</v>
      </c>
      <c r="I304" s="317">
        <v>1</v>
      </c>
      <c r="J304" s="317">
        <v>7</v>
      </c>
      <c r="K304" s="317">
        <v>0</v>
      </c>
      <c r="L304" s="212">
        <v>1.5</v>
      </c>
      <c r="M304" s="212">
        <f t="shared" si="40"/>
        <v>9.5</v>
      </c>
      <c r="N304" s="212">
        <f t="shared" si="41"/>
        <v>8</v>
      </c>
      <c r="O304" s="212">
        <f t="shared" si="42"/>
        <v>28</v>
      </c>
      <c r="P304" s="212">
        <f t="shared" si="43"/>
        <v>0</v>
      </c>
      <c r="Q304" s="212">
        <f t="shared" si="44"/>
        <v>12</v>
      </c>
      <c r="R304" s="212">
        <f t="shared" si="45"/>
        <v>48</v>
      </c>
      <c r="S304" s="384" t="s">
        <v>1421</v>
      </c>
      <c r="T304" s="384" t="s">
        <v>1425</v>
      </c>
      <c r="U304" s="280">
        <v>41</v>
      </c>
      <c r="V304" s="280">
        <v>41</v>
      </c>
      <c r="W304" s="280">
        <v>41</v>
      </c>
      <c r="X304" s="374">
        <v>44176</v>
      </c>
      <c r="Y304" s="374">
        <v>44179</v>
      </c>
      <c r="Z304" s="276">
        <v>44320</v>
      </c>
      <c r="AA304" s="273">
        <f t="shared" si="46"/>
        <v>2021</v>
      </c>
      <c r="AB304" s="273">
        <f t="shared" si="47"/>
        <v>5</v>
      </c>
      <c r="AC304" s="278" t="s">
        <v>920</v>
      </c>
      <c r="AD304" s="278" t="s">
        <v>422</v>
      </c>
      <c r="AE304" s="278" t="s">
        <v>423</v>
      </c>
      <c r="AF304" s="278" t="s">
        <v>422</v>
      </c>
      <c r="AG304" s="278" t="s">
        <v>422</v>
      </c>
      <c r="AH304" s="278" t="s">
        <v>423</v>
      </c>
      <c r="AI304" s="278" t="s">
        <v>423</v>
      </c>
      <c r="AJ304" s="278" t="s">
        <v>423</v>
      </c>
      <c r="AK304" s="278" t="s">
        <v>423</v>
      </c>
      <c r="AL304" s="279" t="s">
        <v>1424</v>
      </c>
      <c r="AM304" s="241"/>
      <c r="AN304" s="241"/>
    </row>
    <row r="305" spans="1:40" s="295" customFormat="1" ht="15" customHeight="1" x14ac:dyDescent="0.3">
      <c r="A305" s="185">
        <v>312</v>
      </c>
      <c r="B305" s="230" t="s">
        <v>1486</v>
      </c>
      <c r="C305" s="247" t="s">
        <v>1615</v>
      </c>
      <c r="D305" s="199" t="s">
        <v>1881</v>
      </c>
      <c r="E305" s="370" t="s">
        <v>1596</v>
      </c>
      <c r="F305" s="383" t="s">
        <v>1601</v>
      </c>
      <c r="G305" s="370" t="s">
        <v>1604</v>
      </c>
      <c r="H305" s="248" t="s">
        <v>422</v>
      </c>
      <c r="I305" s="317">
        <v>2</v>
      </c>
      <c r="J305" s="317">
        <v>13.5</v>
      </c>
      <c r="K305" s="317">
        <v>0</v>
      </c>
      <c r="L305" s="212">
        <v>1</v>
      </c>
      <c r="M305" s="212">
        <f t="shared" si="40"/>
        <v>16.5</v>
      </c>
      <c r="N305" s="212">
        <f t="shared" si="41"/>
        <v>16</v>
      </c>
      <c r="O305" s="212">
        <f t="shared" si="42"/>
        <v>54</v>
      </c>
      <c r="P305" s="212">
        <f t="shared" si="43"/>
        <v>0</v>
      </c>
      <c r="Q305" s="212">
        <f t="shared" si="44"/>
        <v>8</v>
      </c>
      <c r="R305" s="212">
        <f t="shared" si="45"/>
        <v>78</v>
      </c>
      <c r="S305" s="384" t="s">
        <v>1487</v>
      </c>
      <c r="T305" s="384" t="s">
        <v>1488</v>
      </c>
      <c r="U305" s="280">
        <v>120</v>
      </c>
      <c r="V305" s="280">
        <v>122</v>
      </c>
      <c r="W305" s="280">
        <v>122</v>
      </c>
      <c r="X305" s="374">
        <v>44256</v>
      </c>
      <c r="Y305" s="374">
        <v>44317</v>
      </c>
      <c r="Z305" s="276">
        <v>44354</v>
      </c>
      <c r="AA305" s="273">
        <f t="shared" si="46"/>
        <v>2021</v>
      </c>
      <c r="AB305" s="273">
        <f t="shared" si="47"/>
        <v>6</v>
      </c>
      <c r="AC305" s="305" t="s">
        <v>920</v>
      </c>
      <c r="AD305" s="278" t="s">
        <v>422</v>
      </c>
      <c r="AE305" s="278" t="s">
        <v>422</v>
      </c>
      <c r="AF305" s="278" t="s">
        <v>422</v>
      </c>
      <c r="AG305" s="278" t="s">
        <v>422</v>
      </c>
      <c r="AH305" s="278" t="s">
        <v>422</v>
      </c>
      <c r="AI305" s="278" t="s">
        <v>423</v>
      </c>
      <c r="AJ305" s="278" t="s">
        <v>423</v>
      </c>
      <c r="AK305" s="278" t="s">
        <v>423</v>
      </c>
      <c r="AL305" s="279" t="s">
        <v>140</v>
      </c>
      <c r="AM305" s="241"/>
      <c r="AN305" s="241"/>
    </row>
    <row r="306" spans="1:40" s="295" customFormat="1" ht="15" customHeight="1" x14ac:dyDescent="0.3">
      <c r="A306" s="185">
        <v>313</v>
      </c>
      <c r="B306" s="230" t="s">
        <v>1485</v>
      </c>
      <c r="C306" s="247" t="s">
        <v>1615</v>
      </c>
      <c r="D306" s="199" t="s">
        <v>1881</v>
      </c>
      <c r="E306" s="230"/>
      <c r="F306" s="383" t="s">
        <v>1597</v>
      </c>
      <c r="G306" s="370" t="s">
        <v>1604</v>
      </c>
      <c r="H306" s="248" t="s">
        <v>422</v>
      </c>
      <c r="I306" s="356">
        <v>2</v>
      </c>
      <c r="J306" s="317">
        <v>13</v>
      </c>
      <c r="K306" s="317">
        <v>0</v>
      </c>
      <c r="L306" s="212">
        <v>1</v>
      </c>
      <c r="M306" s="212">
        <f t="shared" si="40"/>
        <v>16</v>
      </c>
      <c r="N306" s="212">
        <f t="shared" si="41"/>
        <v>16</v>
      </c>
      <c r="O306" s="212">
        <f t="shared" si="42"/>
        <v>52</v>
      </c>
      <c r="P306" s="212">
        <f t="shared" si="43"/>
        <v>0</v>
      </c>
      <c r="Q306" s="212">
        <f t="shared" si="44"/>
        <v>8</v>
      </c>
      <c r="R306" s="212">
        <f t="shared" si="45"/>
        <v>76</v>
      </c>
      <c r="S306" s="384" t="s">
        <v>1489</v>
      </c>
      <c r="T306" s="384" t="s">
        <v>1490</v>
      </c>
      <c r="U306" s="280">
        <v>52</v>
      </c>
      <c r="V306" s="280">
        <v>52</v>
      </c>
      <c r="W306" s="280">
        <v>52</v>
      </c>
      <c r="X306" s="374">
        <v>44267</v>
      </c>
      <c r="Y306" s="374">
        <v>44300</v>
      </c>
      <c r="Z306" s="276">
        <v>44354</v>
      </c>
      <c r="AA306" s="273">
        <f t="shared" si="46"/>
        <v>2021</v>
      </c>
      <c r="AB306" s="273">
        <f t="shared" si="47"/>
        <v>6</v>
      </c>
      <c r="AC306" s="305" t="s">
        <v>920</v>
      </c>
      <c r="AD306" s="278" t="s">
        <v>422</v>
      </c>
      <c r="AE306" s="278" t="s">
        <v>423</v>
      </c>
      <c r="AF306" s="278" t="s">
        <v>422</v>
      </c>
      <c r="AG306" s="278" t="s">
        <v>422</v>
      </c>
      <c r="AH306" s="278" t="s">
        <v>422</v>
      </c>
      <c r="AI306" s="278" t="s">
        <v>423</v>
      </c>
      <c r="AJ306" s="278" t="s">
        <v>423</v>
      </c>
      <c r="AK306" s="278" t="s">
        <v>423</v>
      </c>
      <c r="AL306" s="279" t="s">
        <v>491</v>
      </c>
      <c r="AM306" s="241"/>
      <c r="AN306" s="241"/>
    </row>
    <row r="307" spans="1:40" s="295" customFormat="1" ht="15" customHeight="1" x14ac:dyDescent="0.3">
      <c r="A307" s="185">
        <v>314</v>
      </c>
      <c r="B307" s="230" t="s">
        <v>1493</v>
      </c>
      <c r="C307" s="247" t="s">
        <v>1615</v>
      </c>
      <c r="D307" s="199" t="s">
        <v>1881</v>
      </c>
      <c r="E307" s="230"/>
      <c r="F307" s="383" t="s">
        <v>1597</v>
      </c>
      <c r="G307" s="370" t="s">
        <v>1604</v>
      </c>
      <c r="H307" s="248" t="s">
        <v>422</v>
      </c>
      <c r="I307" s="356">
        <v>2</v>
      </c>
      <c r="J307" s="317">
        <v>4.7</v>
      </c>
      <c r="K307" s="317">
        <v>0</v>
      </c>
      <c r="L307" s="212">
        <v>1</v>
      </c>
      <c r="M307" s="212">
        <f t="shared" si="40"/>
        <v>7.7</v>
      </c>
      <c r="N307" s="212">
        <f t="shared" si="41"/>
        <v>16</v>
      </c>
      <c r="O307" s="212">
        <f t="shared" si="42"/>
        <v>18.8</v>
      </c>
      <c r="P307" s="212">
        <f t="shared" si="43"/>
        <v>0</v>
      </c>
      <c r="Q307" s="212">
        <f t="shared" si="44"/>
        <v>8</v>
      </c>
      <c r="R307" s="212">
        <f t="shared" si="45"/>
        <v>42.8</v>
      </c>
      <c r="S307" s="384" t="s">
        <v>1491</v>
      </c>
      <c r="T307" s="384" t="s">
        <v>1492</v>
      </c>
      <c r="U307" s="280">
        <v>42</v>
      </c>
      <c r="V307" s="280">
        <v>44</v>
      </c>
      <c r="W307" s="280">
        <v>44</v>
      </c>
      <c r="X307" s="374">
        <v>44267</v>
      </c>
      <c r="Y307" s="374">
        <v>44300</v>
      </c>
      <c r="Z307" s="276">
        <v>44354</v>
      </c>
      <c r="AA307" s="273">
        <f t="shared" si="46"/>
        <v>2021</v>
      </c>
      <c r="AB307" s="273">
        <f t="shared" si="47"/>
        <v>6</v>
      </c>
      <c r="AC307" s="305" t="s">
        <v>920</v>
      </c>
      <c r="AD307" s="278" t="s">
        <v>422</v>
      </c>
      <c r="AE307" s="278" t="s">
        <v>423</v>
      </c>
      <c r="AF307" s="278" t="s">
        <v>422</v>
      </c>
      <c r="AG307" s="278" t="s">
        <v>422</v>
      </c>
      <c r="AH307" s="278" t="s">
        <v>423</v>
      </c>
      <c r="AI307" s="278" t="s">
        <v>423</v>
      </c>
      <c r="AJ307" s="278" t="s">
        <v>423</v>
      </c>
      <c r="AK307" s="278" t="s">
        <v>423</v>
      </c>
      <c r="AL307" s="279" t="s">
        <v>1240</v>
      </c>
      <c r="AM307" s="241"/>
      <c r="AN307" s="241"/>
    </row>
    <row r="308" spans="1:40" s="295" customFormat="1" ht="15" customHeight="1" x14ac:dyDescent="0.3">
      <c r="A308" s="185">
        <v>315</v>
      </c>
      <c r="B308" s="230" t="s">
        <v>1494</v>
      </c>
      <c r="C308" s="247" t="s">
        <v>1615</v>
      </c>
      <c r="D308" s="199" t="s">
        <v>1881</v>
      </c>
      <c r="E308" s="230"/>
      <c r="F308" s="383" t="s">
        <v>1601</v>
      </c>
      <c r="G308" s="370" t="s">
        <v>1604</v>
      </c>
      <c r="H308" s="248" t="s">
        <v>422</v>
      </c>
      <c r="I308" s="317">
        <v>2</v>
      </c>
      <c r="J308" s="317">
        <v>15</v>
      </c>
      <c r="K308" s="317">
        <v>0</v>
      </c>
      <c r="L308" s="212">
        <v>1.5</v>
      </c>
      <c r="M308" s="212">
        <f t="shared" si="40"/>
        <v>18.5</v>
      </c>
      <c r="N308" s="212">
        <f t="shared" si="41"/>
        <v>16</v>
      </c>
      <c r="O308" s="212">
        <f t="shared" si="42"/>
        <v>60</v>
      </c>
      <c r="P308" s="212">
        <f t="shared" si="43"/>
        <v>0</v>
      </c>
      <c r="Q308" s="212">
        <f t="shared" si="44"/>
        <v>12</v>
      </c>
      <c r="R308" s="212">
        <f t="shared" si="45"/>
        <v>88</v>
      </c>
      <c r="S308" s="384" t="s">
        <v>1496</v>
      </c>
      <c r="T308" s="384" t="s">
        <v>1895</v>
      </c>
      <c r="U308" s="280">
        <v>189</v>
      </c>
      <c r="V308" s="280">
        <v>193</v>
      </c>
      <c r="W308" s="280">
        <v>193</v>
      </c>
      <c r="X308" s="374">
        <v>44272</v>
      </c>
      <c r="Y308" s="374">
        <v>44348</v>
      </c>
      <c r="Z308" s="276">
        <v>44354</v>
      </c>
      <c r="AA308" s="273">
        <f t="shared" si="46"/>
        <v>2021</v>
      </c>
      <c r="AB308" s="273">
        <f t="shared" si="47"/>
        <v>6</v>
      </c>
      <c r="AC308" s="305" t="s">
        <v>920</v>
      </c>
      <c r="AD308" s="278" t="s">
        <v>422</v>
      </c>
      <c r="AE308" s="278" t="s">
        <v>422</v>
      </c>
      <c r="AF308" s="278" t="s">
        <v>422</v>
      </c>
      <c r="AG308" s="278" t="s">
        <v>422</v>
      </c>
      <c r="AH308" s="278" t="s">
        <v>422</v>
      </c>
      <c r="AI308" s="278" t="s">
        <v>423</v>
      </c>
      <c r="AJ308" s="278" t="s">
        <v>422</v>
      </c>
      <c r="AK308" s="278" t="s">
        <v>423</v>
      </c>
      <c r="AL308" s="279" t="s">
        <v>1240</v>
      </c>
      <c r="AM308" s="241"/>
      <c r="AN308" s="241"/>
    </row>
    <row r="309" spans="1:40" s="295" customFormat="1" ht="15" customHeight="1" x14ac:dyDescent="0.3">
      <c r="A309" s="185">
        <v>316</v>
      </c>
      <c r="B309" s="230" t="s">
        <v>1497</v>
      </c>
      <c r="C309" s="247" t="s">
        <v>1615</v>
      </c>
      <c r="D309" s="199" t="s">
        <v>1881</v>
      </c>
      <c r="E309" s="230"/>
      <c r="F309" s="383" t="s">
        <v>1601</v>
      </c>
      <c r="G309" s="370" t="s">
        <v>1604</v>
      </c>
      <c r="H309" s="248" t="s">
        <v>422</v>
      </c>
      <c r="I309" s="317">
        <v>2</v>
      </c>
      <c r="J309" s="317">
        <v>14</v>
      </c>
      <c r="K309" s="317">
        <v>0</v>
      </c>
      <c r="L309" s="212">
        <v>1</v>
      </c>
      <c r="M309" s="212">
        <f t="shared" si="40"/>
        <v>17</v>
      </c>
      <c r="N309" s="212">
        <f t="shared" si="41"/>
        <v>16</v>
      </c>
      <c r="O309" s="212">
        <f t="shared" si="42"/>
        <v>56</v>
      </c>
      <c r="P309" s="212">
        <f t="shared" si="43"/>
        <v>0</v>
      </c>
      <c r="Q309" s="212">
        <f t="shared" si="44"/>
        <v>8</v>
      </c>
      <c r="R309" s="212">
        <f t="shared" si="45"/>
        <v>80</v>
      </c>
      <c r="S309" s="384" t="s">
        <v>1505</v>
      </c>
      <c r="T309" s="384" t="s">
        <v>1896</v>
      </c>
      <c r="U309" s="280">
        <v>62</v>
      </c>
      <c r="V309" s="280">
        <v>66</v>
      </c>
      <c r="W309" s="280">
        <v>66</v>
      </c>
      <c r="X309" s="374">
        <v>44272</v>
      </c>
      <c r="Y309" s="374">
        <v>44348</v>
      </c>
      <c r="Z309" s="276">
        <v>44354</v>
      </c>
      <c r="AA309" s="273">
        <f t="shared" si="46"/>
        <v>2021</v>
      </c>
      <c r="AB309" s="273">
        <f t="shared" si="47"/>
        <v>6</v>
      </c>
      <c r="AC309" s="305" t="s">
        <v>920</v>
      </c>
      <c r="AD309" s="278" t="s">
        <v>422</v>
      </c>
      <c r="AE309" s="278" t="s">
        <v>422</v>
      </c>
      <c r="AF309" s="278" t="s">
        <v>422</v>
      </c>
      <c r="AG309" s="278" t="s">
        <v>422</v>
      </c>
      <c r="AH309" s="278" t="s">
        <v>422</v>
      </c>
      <c r="AI309" s="278" t="s">
        <v>423</v>
      </c>
      <c r="AJ309" s="278" t="s">
        <v>423</v>
      </c>
      <c r="AK309" s="278" t="s">
        <v>423</v>
      </c>
      <c r="AL309" s="279" t="s">
        <v>1240</v>
      </c>
      <c r="AM309" s="241"/>
      <c r="AN309" s="241"/>
    </row>
    <row r="310" spans="1:40" s="295" customFormat="1" ht="15" customHeight="1" x14ac:dyDescent="0.3">
      <c r="A310" s="185">
        <v>317</v>
      </c>
      <c r="B310" s="230" t="s">
        <v>1498</v>
      </c>
      <c r="C310" s="247" t="s">
        <v>1615</v>
      </c>
      <c r="D310" s="199" t="s">
        <v>1881</v>
      </c>
      <c r="E310" s="230"/>
      <c r="F310" s="383" t="s">
        <v>1601</v>
      </c>
      <c r="G310" s="370" t="s">
        <v>1604</v>
      </c>
      <c r="H310" s="248" t="s">
        <v>422</v>
      </c>
      <c r="I310" s="317">
        <v>2</v>
      </c>
      <c r="J310" s="361">
        <v>10</v>
      </c>
      <c r="K310" s="317">
        <v>0</v>
      </c>
      <c r="L310" s="212">
        <v>1</v>
      </c>
      <c r="M310" s="212">
        <f t="shared" si="40"/>
        <v>13</v>
      </c>
      <c r="N310" s="212">
        <f t="shared" si="41"/>
        <v>16</v>
      </c>
      <c r="O310" s="212">
        <f t="shared" si="42"/>
        <v>40</v>
      </c>
      <c r="P310" s="212">
        <f t="shared" si="43"/>
        <v>0</v>
      </c>
      <c r="Q310" s="212">
        <f t="shared" si="44"/>
        <v>8</v>
      </c>
      <c r="R310" s="212">
        <f t="shared" si="45"/>
        <v>64</v>
      </c>
      <c r="S310" s="384" t="s">
        <v>1922</v>
      </c>
      <c r="T310" s="384" t="s">
        <v>1897</v>
      </c>
      <c r="U310" s="280">
        <v>35</v>
      </c>
      <c r="V310" s="280">
        <v>37</v>
      </c>
      <c r="W310" s="280">
        <v>37</v>
      </c>
      <c r="X310" s="374">
        <v>44272</v>
      </c>
      <c r="Y310" s="374">
        <v>44348</v>
      </c>
      <c r="Z310" s="276">
        <v>44354</v>
      </c>
      <c r="AA310" s="273">
        <f t="shared" si="46"/>
        <v>2021</v>
      </c>
      <c r="AB310" s="273">
        <f t="shared" si="47"/>
        <v>6</v>
      </c>
      <c r="AC310" s="305" t="s">
        <v>920</v>
      </c>
      <c r="AD310" s="278" t="s">
        <v>422</v>
      </c>
      <c r="AE310" s="278" t="s">
        <v>422</v>
      </c>
      <c r="AF310" s="278" t="s">
        <v>422</v>
      </c>
      <c r="AG310" s="278" t="s">
        <v>422</v>
      </c>
      <c r="AH310" s="278" t="s">
        <v>422</v>
      </c>
      <c r="AI310" s="278" t="s">
        <v>423</v>
      </c>
      <c r="AJ310" s="278" t="s">
        <v>422</v>
      </c>
      <c r="AK310" s="278" t="s">
        <v>423</v>
      </c>
      <c r="AL310" s="279" t="s">
        <v>140</v>
      </c>
      <c r="AM310" s="241"/>
      <c r="AN310" s="241"/>
    </row>
    <row r="311" spans="1:40" ht="15" customHeight="1" x14ac:dyDescent="0.3">
      <c r="A311" s="185">
        <v>318</v>
      </c>
      <c r="B311" s="230" t="s">
        <v>1499</v>
      </c>
      <c r="C311" s="247" t="s">
        <v>1615</v>
      </c>
      <c r="D311" s="200" t="s">
        <v>1881</v>
      </c>
      <c r="E311" s="383"/>
      <c r="F311" s="383" t="s">
        <v>1601</v>
      </c>
      <c r="G311" s="370" t="s">
        <v>1604</v>
      </c>
      <c r="H311" s="248" t="s">
        <v>422</v>
      </c>
      <c r="I311" s="356">
        <v>2</v>
      </c>
      <c r="J311" s="317">
        <v>6.7</v>
      </c>
      <c r="K311" s="317">
        <v>0</v>
      </c>
      <c r="L311" s="212">
        <v>1.5</v>
      </c>
      <c r="M311" s="212">
        <f t="shared" si="40"/>
        <v>10.199999999999999</v>
      </c>
      <c r="N311" s="212">
        <f t="shared" si="41"/>
        <v>16</v>
      </c>
      <c r="O311" s="212">
        <f t="shared" si="42"/>
        <v>26.8</v>
      </c>
      <c r="P311" s="212">
        <f t="shared" si="43"/>
        <v>0</v>
      </c>
      <c r="Q311" s="212">
        <f t="shared" si="44"/>
        <v>12</v>
      </c>
      <c r="R311" s="212">
        <f t="shared" si="45"/>
        <v>54.8</v>
      </c>
      <c r="S311" s="384" t="s">
        <v>1638</v>
      </c>
      <c r="T311" s="384" t="s">
        <v>1898</v>
      </c>
      <c r="U311" s="280">
        <v>131</v>
      </c>
      <c r="V311" s="280">
        <v>135</v>
      </c>
      <c r="W311" s="280">
        <v>135</v>
      </c>
      <c r="X311" s="374">
        <v>44272</v>
      </c>
      <c r="Y311" s="374">
        <v>44348</v>
      </c>
      <c r="Z311" s="276">
        <v>44354</v>
      </c>
      <c r="AA311" s="273">
        <f t="shared" si="46"/>
        <v>2021</v>
      </c>
      <c r="AB311" s="273">
        <f t="shared" si="47"/>
        <v>6</v>
      </c>
      <c r="AC311" s="305" t="s">
        <v>920</v>
      </c>
      <c r="AD311" s="278" t="s">
        <v>422</v>
      </c>
      <c r="AE311" s="278" t="s">
        <v>423</v>
      </c>
      <c r="AF311" s="278" t="s">
        <v>422</v>
      </c>
      <c r="AG311" s="278" t="s">
        <v>422</v>
      </c>
      <c r="AH311" s="278" t="s">
        <v>423</v>
      </c>
      <c r="AI311" s="278" t="s">
        <v>423</v>
      </c>
      <c r="AJ311" s="278" t="s">
        <v>423</v>
      </c>
      <c r="AK311" s="278" t="s">
        <v>423</v>
      </c>
      <c r="AL311" s="279" t="s">
        <v>1240</v>
      </c>
      <c r="AM311" s="241"/>
      <c r="AN311" s="241"/>
    </row>
    <row r="312" spans="1:40" ht="15" customHeight="1" x14ac:dyDescent="0.3">
      <c r="A312" s="185">
        <v>324</v>
      </c>
      <c r="B312" s="230" t="s">
        <v>1543</v>
      </c>
      <c r="C312" s="247" t="s">
        <v>1615</v>
      </c>
      <c r="D312" s="200" t="s">
        <v>1881</v>
      </c>
      <c r="E312" s="370" t="s">
        <v>1596</v>
      </c>
      <c r="F312" s="383" t="s">
        <v>1601</v>
      </c>
      <c r="G312" s="370" t="s">
        <v>1604</v>
      </c>
      <c r="H312" s="248" t="s">
        <v>422</v>
      </c>
      <c r="I312" s="317">
        <v>1.3</v>
      </c>
      <c r="J312" s="317">
        <v>5.5</v>
      </c>
      <c r="K312" s="317">
        <v>0</v>
      </c>
      <c r="L312" s="212">
        <v>1</v>
      </c>
      <c r="M312" s="212">
        <f t="shared" si="40"/>
        <v>7.8</v>
      </c>
      <c r="N312" s="212">
        <f t="shared" si="41"/>
        <v>10.4</v>
      </c>
      <c r="O312" s="212">
        <f t="shared" si="42"/>
        <v>22</v>
      </c>
      <c r="P312" s="212">
        <f t="shared" si="43"/>
        <v>0</v>
      </c>
      <c r="Q312" s="212">
        <f t="shared" si="44"/>
        <v>8</v>
      </c>
      <c r="R312" s="212">
        <f t="shared" si="45"/>
        <v>40.4</v>
      </c>
      <c r="S312" s="384" t="s">
        <v>1546</v>
      </c>
      <c r="T312" s="384" t="s">
        <v>1547</v>
      </c>
      <c r="U312" s="280">
        <v>84</v>
      </c>
      <c r="V312" s="280">
        <v>86</v>
      </c>
      <c r="W312" s="280">
        <v>86</v>
      </c>
      <c r="X312" s="374">
        <v>44286</v>
      </c>
      <c r="Y312" s="374">
        <v>44317</v>
      </c>
      <c r="Z312" s="276">
        <v>44354</v>
      </c>
      <c r="AA312" s="273">
        <f t="shared" si="46"/>
        <v>2021</v>
      </c>
      <c r="AB312" s="273">
        <f t="shared" si="47"/>
        <v>6</v>
      </c>
      <c r="AC312" s="278" t="s">
        <v>920</v>
      </c>
      <c r="AD312" s="278" t="s">
        <v>422</v>
      </c>
      <c r="AE312" s="278" t="s">
        <v>423</v>
      </c>
      <c r="AF312" s="278" t="s">
        <v>422</v>
      </c>
      <c r="AG312" s="278" t="s">
        <v>422</v>
      </c>
      <c r="AH312" s="278" t="s">
        <v>423</v>
      </c>
      <c r="AI312" s="278" t="s">
        <v>423</v>
      </c>
      <c r="AJ312" s="278" t="s">
        <v>423</v>
      </c>
      <c r="AK312" s="278" t="s">
        <v>423</v>
      </c>
      <c r="AL312" s="279" t="s">
        <v>140</v>
      </c>
      <c r="AM312" s="241"/>
      <c r="AN312" s="241"/>
    </row>
    <row r="313" spans="1:40" ht="15" customHeight="1" x14ac:dyDescent="0.3">
      <c r="A313" s="185">
        <v>325</v>
      </c>
      <c r="B313" s="230" t="s">
        <v>1544</v>
      </c>
      <c r="C313" s="247" t="s">
        <v>1615</v>
      </c>
      <c r="D313" s="200" t="s">
        <v>1881</v>
      </c>
      <c r="E313" s="370" t="s">
        <v>1596</v>
      </c>
      <c r="F313" s="383" t="s">
        <v>1601</v>
      </c>
      <c r="G313" s="370" t="s">
        <v>1604</v>
      </c>
      <c r="H313" s="248" t="s">
        <v>422</v>
      </c>
      <c r="I313" s="317">
        <v>1.3</v>
      </c>
      <c r="J313" s="317">
        <v>5.5</v>
      </c>
      <c r="K313" s="317">
        <v>0</v>
      </c>
      <c r="L313" s="212">
        <v>1</v>
      </c>
      <c r="M313" s="212">
        <f t="shared" si="40"/>
        <v>7.8</v>
      </c>
      <c r="N313" s="212">
        <f t="shared" si="41"/>
        <v>10.4</v>
      </c>
      <c r="O313" s="212">
        <f t="shared" si="42"/>
        <v>22</v>
      </c>
      <c r="P313" s="212">
        <f t="shared" si="43"/>
        <v>0</v>
      </c>
      <c r="Q313" s="212">
        <f t="shared" si="44"/>
        <v>8</v>
      </c>
      <c r="R313" s="212">
        <f t="shared" si="45"/>
        <v>40.4</v>
      </c>
      <c r="S313" s="384" t="s">
        <v>1548</v>
      </c>
      <c r="T313" s="384" t="s">
        <v>1549</v>
      </c>
      <c r="U313" s="280">
        <v>30</v>
      </c>
      <c r="V313" s="280">
        <v>31</v>
      </c>
      <c r="W313" s="280">
        <v>31</v>
      </c>
      <c r="X313" s="374">
        <v>44286</v>
      </c>
      <c r="Y313" s="374">
        <v>44317</v>
      </c>
      <c r="Z313" s="276">
        <v>44354</v>
      </c>
      <c r="AA313" s="273">
        <f t="shared" si="46"/>
        <v>2021</v>
      </c>
      <c r="AB313" s="273">
        <f t="shared" si="47"/>
        <v>6</v>
      </c>
      <c r="AC313" s="278" t="s">
        <v>920</v>
      </c>
      <c r="AD313" s="278" t="s">
        <v>422</v>
      </c>
      <c r="AE313" s="278" t="s">
        <v>423</v>
      </c>
      <c r="AF313" s="278" t="s">
        <v>422</v>
      </c>
      <c r="AG313" s="278" t="s">
        <v>422</v>
      </c>
      <c r="AH313" s="278" t="s">
        <v>423</v>
      </c>
      <c r="AI313" s="278" t="s">
        <v>423</v>
      </c>
      <c r="AJ313" s="278" t="s">
        <v>423</v>
      </c>
      <c r="AK313" s="278" t="s">
        <v>423</v>
      </c>
      <c r="AL313" s="279" t="s">
        <v>140</v>
      </c>
      <c r="AM313" s="241"/>
      <c r="AN313" s="241"/>
    </row>
    <row r="314" spans="1:40" ht="15" customHeight="1" x14ac:dyDescent="0.3">
      <c r="A314" s="185">
        <v>336</v>
      </c>
      <c r="B314" s="230" t="s">
        <v>1582</v>
      </c>
      <c r="C314" s="247" t="s">
        <v>1617</v>
      </c>
      <c r="D314" s="200" t="s">
        <v>1848</v>
      </c>
      <c r="E314" s="230"/>
      <c r="F314" s="383" t="s">
        <v>1597</v>
      </c>
      <c r="G314" s="370" t="s">
        <v>1953</v>
      </c>
      <c r="H314" s="248" t="s">
        <v>422</v>
      </c>
      <c r="I314" s="317">
        <v>2</v>
      </c>
      <c r="J314" s="317">
        <v>5.5</v>
      </c>
      <c r="K314" s="361">
        <v>6</v>
      </c>
      <c r="L314" s="212">
        <v>1</v>
      </c>
      <c r="M314" s="212">
        <f t="shared" si="40"/>
        <v>14.5</v>
      </c>
      <c r="N314" s="212">
        <f t="shared" si="41"/>
        <v>16</v>
      </c>
      <c r="O314" s="212">
        <f t="shared" si="42"/>
        <v>22</v>
      </c>
      <c r="P314" s="212">
        <f t="shared" si="43"/>
        <v>40</v>
      </c>
      <c r="Q314" s="212">
        <f t="shared" si="44"/>
        <v>8</v>
      </c>
      <c r="R314" s="212">
        <f t="shared" si="45"/>
        <v>86</v>
      </c>
      <c r="S314" s="384" t="s">
        <v>1586</v>
      </c>
      <c r="T314" s="384" t="s">
        <v>1587</v>
      </c>
      <c r="U314" s="280">
        <v>30</v>
      </c>
      <c r="V314" s="280">
        <v>45</v>
      </c>
      <c r="W314" s="280">
        <v>45</v>
      </c>
      <c r="X314" s="374">
        <v>44270</v>
      </c>
      <c r="Y314" s="374">
        <v>44317</v>
      </c>
      <c r="Z314" s="276">
        <v>44348</v>
      </c>
      <c r="AA314" s="273">
        <f t="shared" si="46"/>
        <v>2021</v>
      </c>
      <c r="AB314" s="273">
        <f t="shared" si="47"/>
        <v>6</v>
      </c>
      <c r="AC314" s="278" t="s">
        <v>920</v>
      </c>
      <c r="AD314" s="278" t="s">
        <v>422</v>
      </c>
      <c r="AE314" s="278" t="s">
        <v>423</v>
      </c>
      <c r="AF314" s="278" t="s">
        <v>422</v>
      </c>
      <c r="AG314" s="278" t="s">
        <v>422</v>
      </c>
      <c r="AH314" s="278" t="s">
        <v>423</v>
      </c>
      <c r="AI314" s="278" t="s">
        <v>422</v>
      </c>
      <c r="AJ314" s="278" t="s">
        <v>423</v>
      </c>
      <c r="AK314" s="278" t="s">
        <v>423</v>
      </c>
      <c r="AL314" s="279" t="s">
        <v>1424</v>
      </c>
      <c r="AM314" s="241"/>
      <c r="AN314" s="242"/>
    </row>
    <row r="315" spans="1:40" ht="15" customHeight="1" x14ac:dyDescent="0.3">
      <c r="A315" s="185">
        <v>337</v>
      </c>
      <c r="B315" s="230" t="s">
        <v>1583</v>
      </c>
      <c r="C315" s="247" t="s">
        <v>1617</v>
      </c>
      <c r="D315" s="200" t="s">
        <v>1848</v>
      </c>
      <c r="E315" s="230"/>
      <c r="F315" s="383" t="s">
        <v>1597</v>
      </c>
      <c r="G315" s="370" t="s">
        <v>1953</v>
      </c>
      <c r="H315" s="248" t="s">
        <v>422</v>
      </c>
      <c r="I315" s="317">
        <v>2</v>
      </c>
      <c r="J315" s="317">
        <v>5</v>
      </c>
      <c r="K315" s="361">
        <v>6</v>
      </c>
      <c r="L315" s="212">
        <v>1</v>
      </c>
      <c r="M315" s="212">
        <f t="shared" si="40"/>
        <v>14</v>
      </c>
      <c r="N315" s="212">
        <f t="shared" si="41"/>
        <v>16</v>
      </c>
      <c r="O315" s="212">
        <f t="shared" si="42"/>
        <v>20</v>
      </c>
      <c r="P315" s="212">
        <f t="shared" si="43"/>
        <v>40</v>
      </c>
      <c r="Q315" s="212">
        <f t="shared" si="44"/>
        <v>8</v>
      </c>
      <c r="R315" s="212">
        <f t="shared" si="45"/>
        <v>84</v>
      </c>
      <c r="S315" s="384" t="s">
        <v>1588</v>
      </c>
      <c r="T315" s="384" t="s">
        <v>1589</v>
      </c>
      <c r="U315" s="280">
        <v>40</v>
      </c>
      <c r="V315" s="280">
        <v>50</v>
      </c>
      <c r="W315" s="280">
        <v>50</v>
      </c>
      <c r="X315" s="374">
        <v>44270</v>
      </c>
      <c r="Y315" s="374">
        <v>44317</v>
      </c>
      <c r="Z315" s="276">
        <v>44348</v>
      </c>
      <c r="AA315" s="273">
        <f t="shared" si="46"/>
        <v>2021</v>
      </c>
      <c r="AB315" s="273">
        <f t="shared" si="47"/>
        <v>6</v>
      </c>
      <c r="AC315" s="278" t="s">
        <v>920</v>
      </c>
      <c r="AD315" s="278" t="s">
        <v>422</v>
      </c>
      <c r="AE315" s="278" t="s">
        <v>423</v>
      </c>
      <c r="AF315" s="278" t="s">
        <v>422</v>
      </c>
      <c r="AG315" s="278" t="s">
        <v>422</v>
      </c>
      <c r="AH315" s="278" t="s">
        <v>423</v>
      </c>
      <c r="AI315" s="278" t="s">
        <v>422</v>
      </c>
      <c r="AJ315" s="278" t="s">
        <v>423</v>
      </c>
      <c r="AK315" s="278" t="s">
        <v>423</v>
      </c>
      <c r="AL315" s="279" t="s">
        <v>1424</v>
      </c>
      <c r="AM315" s="241"/>
      <c r="AN315" s="242"/>
    </row>
    <row r="316" spans="1:40" ht="15" customHeight="1" x14ac:dyDescent="0.3">
      <c r="A316" s="185">
        <v>338</v>
      </c>
      <c r="B316" s="230" t="s">
        <v>1584</v>
      </c>
      <c r="C316" s="247" t="s">
        <v>1617</v>
      </c>
      <c r="D316" s="200" t="s">
        <v>1848</v>
      </c>
      <c r="E316" s="383"/>
      <c r="F316" s="383" t="s">
        <v>1597</v>
      </c>
      <c r="G316" s="370" t="s">
        <v>1953</v>
      </c>
      <c r="H316" s="248" t="s">
        <v>422</v>
      </c>
      <c r="I316" s="317">
        <v>2</v>
      </c>
      <c r="J316" s="317">
        <v>5.5</v>
      </c>
      <c r="K316" s="361">
        <v>6</v>
      </c>
      <c r="L316" s="212">
        <v>1</v>
      </c>
      <c r="M316" s="212">
        <f t="shared" si="40"/>
        <v>14.5</v>
      </c>
      <c r="N316" s="212">
        <f t="shared" si="41"/>
        <v>16</v>
      </c>
      <c r="O316" s="212">
        <f t="shared" si="42"/>
        <v>22</v>
      </c>
      <c r="P316" s="212">
        <f t="shared" si="43"/>
        <v>40</v>
      </c>
      <c r="Q316" s="212">
        <f t="shared" si="44"/>
        <v>8</v>
      </c>
      <c r="R316" s="212">
        <f t="shared" si="45"/>
        <v>86</v>
      </c>
      <c r="S316" s="384" t="s">
        <v>1590</v>
      </c>
      <c r="T316" s="384" t="s">
        <v>1592</v>
      </c>
      <c r="U316" s="280">
        <v>6</v>
      </c>
      <c r="V316" s="280">
        <v>9</v>
      </c>
      <c r="W316" s="280">
        <v>9</v>
      </c>
      <c r="X316" s="374">
        <v>44270</v>
      </c>
      <c r="Y316" s="374">
        <v>44317</v>
      </c>
      <c r="Z316" s="276">
        <v>44348</v>
      </c>
      <c r="AA316" s="273">
        <f t="shared" si="46"/>
        <v>2021</v>
      </c>
      <c r="AB316" s="273">
        <f t="shared" si="47"/>
        <v>6</v>
      </c>
      <c r="AC316" s="278" t="s">
        <v>920</v>
      </c>
      <c r="AD316" s="278" t="s">
        <v>422</v>
      </c>
      <c r="AE316" s="278" t="s">
        <v>423</v>
      </c>
      <c r="AF316" s="278" t="s">
        <v>422</v>
      </c>
      <c r="AG316" s="278" t="s">
        <v>422</v>
      </c>
      <c r="AH316" s="278" t="s">
        <v>423</v>
      </c>
      <c r="AI316" s="278" t="s">
        <v>422</v>
      </c>
      <c r="AJ316" s="278" t="s">
        <v>423</v>
      </c>
      <c r="AK316" s="278" t="s">
        <v>423</v>
      </c>
      <c r="AL316" s="279" t="s">
        <v>1424</v>
      </c>
      <c r="AM316" s="241"/>
      <c r="AN316" s="242"/>
    </row>
    <row r="317" spans="1:40" ht="15" customHeight="1" x14ac:dyDescent="0.3">
      <c r="A317" s="185">
        <v>339</v>
      </c>
      <c r="B317" s="230" t="s">
        <v>1585</v>
      </c>
      <c r="C317" s="247" t="s">
        <v>1617</v>
      </c>
      <c r="D317" s="200" t="s">
        <v>1848</v>
      </c>
      <c r="E317" s="383"/>
      <c r="F317" s="383" t="s">
        <v>1597</v>
      </c>
      <c r="G317" s="370" t="s">
        <v>1953</v>
      </c>
      <c r="H317" s="248" t="s">
        <v>422</v>
      </c>
      <c r="I317" s="317">
        <v>2</v>
      </c>
      <c r="J317" s="317">
        <v>5</v>
      </c>
      <c r="K317" s="361">
        <v>6</v>
      </c>
      <c r="L317" s="212">
        <v>1</v>
      </c>
      <c r="M317" s="212">
        <f t="shared" si="40"/>
        <v>14</v>
      </c>
      <c r="N317" s="212">
        <f t="shared" si="41"/>
        <v>16</v>
      </c>
      <c r="O317" s="212">
        <f t="shared" si="42"/>
        <v>20</v>
      </c>
      <c r="P317" s="212">
        <f t="shared" si="43"/>
        <v>40</v>
      </c>
      <c r="Q317" s="212">
        <f t="shared" si="44"/>
        <v>8</v>
      </c>
      <c r="R317" s="212">
        <f t="shared" si="45"/>
        <v>84</v>
      </c>
      <c r="S317" s="384" t="s">
        <v>1591</v>
      </c>
      <c r="T317" s="384" t="s">
        <v>1593</v>
      </c>
      <c r="U317" s="280">
        <v>8</v>
      </c>
      <c r="V317" s="280">
        <v>10</v>
      </c>
      <c r="W317" s="280">
        <v>10</v>
      </c>
      <c r="X317" s="374">
        <v>44270</v>
      </c>
      <c r="Y317" s="374">
        <v>44317</v>
      </c>
      <c r="Z317" s="276">
        <v>44348</v>
      </c>
      <c r="AA317" s="273">
        <f t="shared" si="46"/>
        <v>2021</v>
      </c>
      <c r="AB317" s="273">
        <f t="shared" si="47"/>
        <v>6</v>
      </c>
      <c r="AC317" s="278" t="s">
        <v>920</v>
      </c>
      <c r="AD317" s="278" t="s">
        <v>422</v>
      </c>
      <c r="AE317" s="278" t="s">
        <v>423</v>
      </c>
      <c r="AF317" s="278" t="s">
        <v>422</v>
      </c>
      <c r="AG317" s="278" t="s">
        <v>422</v>
      </c>
      <c r="AH317" s="278" t="s">
        <v>423</v>
      </c>
      <c r="AI317" s="278" t="s">
        <v>422</v>
      </c>
      <c r="AJ317" s="278" t="s">
        <v>423</v>
      </c>
      <c r="AK317" s="278" t="s">
        <v>423</v>
      </c>
      <c r="AL317" s="279" t="s">
        <v>1424</v>
      </c>
      <c r="AM317" s="241"/>
      <c r="AN317" s="242"/>
    </row>
    <row r="318" spans="1:40" ht="15" customHeight="1" x14ac:dyDescent="0.3">
      <c r="A318" s="185">
        <v>352</v>
      </c>
      <c r="B318" s="326" t="s">
        <v>1639</v>
      </c>
      <c r="C318" s="247" t="s">
        <v>1615</v>
      </c>
      <c r="D318" s="200" t="s">
        <v>1881</v>
      </c>
      <c r="E318" s="383"/>
      <c r="F318" s="383" t="s">
        <v>1597</v>
      </c>
      <c r="G318" s="370" t="s">
        <v>1953</v>
      </c>
      <c r="H318" s="248" t="s">
        <v>422</v>
      </c>
      <c r="I318" s="317">
        <v>2</v>
      </c>
      <c r="J318" s="317">
        <v>4.5</v>
      </c>
      <c r="K318" s="361">
        <v>6</v>
      </c>
      <c r="L318" s="212">
        <v>1</v>
      </c>
      <c r="M318" s="212">
        <f t="shared" si="40"/>
        <v>13.5</v>
      </c>
      <c r="N318" s="212">
        <f t="shared" si="41"/>
        <v>16</v>
      </c>
      <c r="O318" s="212">
        <f t="shared" si="42"/>
        <v>18</v>
      </c>
      <c r="P318" s="212">
        <f t="shared" si="43"/>
        <v>40</v>
      </c>
      <c r="Q318" s="212">
        <f t="shared" si="44"/>
        <v>8</v>
      </c>
      <c r="R318" s="212">
        <f t="shared" si="45"/>
        <v>82</v>
      </c>
      <c r="S318" s="283" t="s">
        <v>1640</v>
      </c>
      <c r="T318" s="284" t="s">
        <v>1641</v>
      </c>
      <c r="U318" s="280">
        <v>40</v>
      </c>
      <c r="V318" s="280">
        <v>42</v>
      </c>
      <c r="W318" s="280">
        <v>42</v>
      </c>
      <c r="X318" s="276">
        <v>44307</v>
      </c>
      <c r="Y318" s="277">
        <v>44392</v>
      </c>
      <c r="Z318" s="276">
        <v>44354</v>
      </c>
      <c r="AA318" s="273">
        <f t="shared" si="46"/>
        <v>2021</v>
      </c>
      <c r="AB318" s="273">
        <f t="shared" si="47"/>
        <v>6</v>
      </c>
      <c r="AC318" s="278" t="s">
        <v>920</v>
      </c>
      <c r="AD318" s="278" t="s">
        <v>422</v>
      </c>
      <c r="AE318" s="278" t="s">
        <v>423</v>
      </c>
      <c r="AF318" s="278" t="s">
        <v>422</v>
      </c>
      <c r="AG318" s="278" t="s">
        <v>422</v>
      </c>
      <c r="AH318" s="278" t="s">
        <v>423</v>
      </c>
      <c r="AI318" s="278" t="s">
        <v>423</v>
      </c>
      <c r="AJ318" s="278" t="s">
        <v>423</v>
      </c>
      <c r="AK318" s="278" t="s">
        <v>423</v>
      </c>
      <c r="AL318" s="279" t="s">
        <v>1240</v>
      </c>
      <c r="AM318" s="241"/>
      <c r="AN318" s="242"/>
    </row>
    <row r="319" spans="1:40" ht="15" customHeight="1" x14ac:dyDescent="0.3">
      <c r="A319" s="185">
        <v>291</v>
      </c>
      <c r="B319" s="296" t="s">
        <v>1468</v>
      </c>
      <c r="C319" s="297" t="s">
        <v>1616</v>
      </c>
      <c r="D319" s="334" t="s">
        <v>1848</v>
      </c>
      <c r="E319" s="336" t="s">
        <v>1596</v>
      </c>
      <c r="F319" s="299" t="s">
        <v>1601</v>
      </c>
      <c r="G319" s="298" t="s">
        <v>1596</v>
      </c>
      <c r="H319" s="300" t="s">
        <v>422</v>
      </c>
      <c r="I319" s="318">
        <v>2</v>
      </c>
      <c r="J319" s="318">
        <v>9.5</v>
      </c>
      <c r="K319" s="356">
        <v>10</v>
      </c>
      <c r="L319" s="212">
        <v>1</v>
      </c>
      <c r="M319" s="212">
        <f t="shared" si="40"/>
        <v>22.5</v>
      </c>
      <c r="N319" s="212">
        <f t="shared" si="41"/>
        <v>16</v>
      </c>
      <c r="O319" s="212">
        <f t="shared" si="42"/>
        <v>38</v>
      </c>
      <c r="P319" s="212">
        <f t="shared" si="43"/>
        <v>66.666666666666671</v>
      </c>
      <c r="Q319" s="212">
        <f t="shared" si="44"/>
        <v>8</v>
      </c>
      <c r="R319" s="212">
        <f t="shared" si="45"/>
        <v>128.66666666666669</v>
      </c>
      <c r="S319" s="301" t="s">
        <v>1357</v>
      </c>
      <c r="T319" s="301" t="s">
        <v>1516</v>
      </c>
      <c r="U319" s="302">
        <v>296</v>
      </c>
      <c r="V319" s="302">
        <v>298</v>
      </c>
      <c r="W319" s="302">
        <v>298</v>
      </c>
      <c r="X319" s="303">
        <v>44256</v>
      </c>
      <c r="Y319" s="303">
        <v>44365</v>
      </c>
      <c r="Z319" s="304">
        <v>44396</v>
      </c>
      <c r="AA319" s="273">
        <f t="shared" si="46"/>
        <v>2021</v>
      </c>
      <c r="AB319" s="273">
        <f t="shared" si="47"/>
        <v>7</v>
      </c>
      <c r="AC319" s="305" t="s">
        <v>920</v>
      </c>
      <c r="AD319" s="305" t="s">
        <v>422</v>
      </c>
      <c r="AE319" s="305" t="s">
        <v>422</v>
      </c>
      <c r="AF319" s="305" t="s">
        <v>422</v>
      </c>
      <c r="AG319" s="305" t="s">
        <v>422</v>
      </c>
      <c r="AH319" s="305" t="s">
        <v>422</v>
      </c>
      <c r="AI319" s="305" t="s">
        <v>422</v>
      </c>
      <c r="AJ319" s="305" t="s">
        <v>423</v>
      </c>
      <c r="AK319" s="305" t="s">
        <v>423</v>
      </c>
      <c r="AL319" s="306" t="s">
        <v>140</v>
      </c>
      <c r="AM319" s="35"/>
      <c r="AN319" s="35"/>
    </row>
    <row r="320" spans="1:40" ht="15" customHeight="1" x14ac:dyDescent="0.3">
      <c r="A320" s="185">
        <v>292</v>
      </c>
      <c r="B320" s="296" t="s">
        <v>1469</v>
      </c>
      <c r="C320" s="297" t="s">
        <v>1616</v>
      </c>
      <c r="D320" s="334" t="s">
        <v>1848</v>
      </c>
      <c r="E320" s="336" t="s">
        <v>1596</v>
      </c>
      <c r="F320" s="299" t="s">
        <v>1601</v>
      </c>
      <c r="G320" s="298" t="s">
        <v>1596</v>
      </c>
      <c r="H320" s="300" t="s">
        <v>422</v>
      </c>
      <c r="I320" s="318">
        <v>1.8</v>
      </c>
      <c r="J320" s="318">
        <v>11</v>
      </c>
      <c r="K320" s="318">
        <v>10</v>
      </c>
      <c r="L320" s="212">
        <v>1</v>
      </c>
      <c r="M320" s="212">
        <f t="shared" si="40"/>
        <v>23.8</v>
      </c>
      <c r="N320" s="212">
        <f t="shared" si="41"/>
        <v>14.4</v>
      </c>
      <c r="O320" s="212">
        <f t="shared" si="42"/>
        <v>44</v>
      </c>
      <c r="P320" s="212">
        <f t="shared" si="43"/>
        <v>66.666666666666671</v>
      </c>
      <c r="Q320" s="212">
        <f t="shared" si="44"/>
        <v>8</v>
      </c>
      <c r="R320" s="212">
        <f t="shared" si="45"/>
        <v>133.06666666666666</v>
      </c>
      <c r="S320" s="301" t="s">
        <v>1358</v>
      </c>
      <c r="T320" s="301" t="s">
        <v>1517</v>
      </c>
      <c r="U320" s="302">
        <v>150</v>
      </c>
      <c r="V320" s="302">
        <v>152</v>
      </c>
      <c r="W320" s="302">
        <v>152</v>
      </c>
      <c r="X320" s="303">
        <v>44256</v>
      </c>
      <c r="Y320" s="303">
        <v>44365</v>
      </c>
      <c r="Z320" s="304">
        <v>44396</v>
      </c>
      <c r="AA320" s="273">
        <f t="shared" si="46"/>
        <v>2021</v>
      </c>
      <c r="AB320" s="273">
        <f t="shared" si="47"/>
        <v>7</v>
      </c>
      <c r="AC320" s="305" t="s">
        <v>920</v>
      </c>
      <c r="AD320" s="305" t="s">
        <v>422</v>
      </c>
      <c r="AE320" s="305" t="s">
        <v>422</v>
      </c>
      <c r="AF320" s="305" t="s">
        <v>422</v>
      </c>
      <c r="AG320" s="305" t="s">
        <v>422</v>
      </c>
      <c r="AH320" s="305" t="s">
        <v>422</v>
      </c>
      <c r="AI320" s="305" t="s">
        <v>422</v>
      </c>
      <c r="AJ320" s="305" t="s">
        <v>423</v>
      </c>
      <c r="AK320" s="305" t="s">
        <v>423</v>
      </c>
      <c r="AL320" s="306" t="s">
        <v>772</v>
      </c>
      <c r="AM320" s="35"/>
      <c r="AN320" s="35"/>
    </row>
    <row r="321" spans="1:40" ht="15" customHeight="1" x14ac:dyDescent="0.3">
      <c r="A321" s="185">
        <v>293</v>
      </c>
      <c r="B321" s="296" t="s">
        <v>1470</v>
      </c>
      <c r="C321" s="297" t="s">
        <v>1616</v>
      </c>
      <c r="D321" s="334" t="s">
        <v>1848</v>
      </c>
      <c r="E321" s="336" t="s">
        <v>1596</v>
      </c>
      <c r="F321" s="299" t="s">
        <v>1601</v>
      </c>
      <c r="G321" s="298" t="s">
        <v>1596</v>
      </c>
      <c r="H321" s="300" t="s">
        <v>422</v>
      </c>
      <c r="I321" s="318">
        <v>1.3</v>
      </c>
      <c r="J321" s="318">
        <v>9.5</v>
      </c>
      <c r="K321" s="318">
        <v>11</v>
      </c>
      <c r="L321" s="212">
        <v>1</v>
      </c>
      <c r="M321" s="212">
        <f t="shared" si="40"/>
        <v>22.8</v>
      </c>
      <c r="N321" s="212">
        <f t="shared" si="41"/>
        <v>10.4</v>
      </c>
      <c r="O321" s="212">
        <f t="shared" si="42"/>
        <v>38</v>
      </c>
      <c r="P321" s="212">
        <f t="shared" si="43"/>
        <v>73.333333333333343</v>
      </c>
      <c r="Q321" s="212">
        <f t="shared" si="44"/>
        <v>8</v>
      </c>
      <c r="R321" s="212">
        <f t="shared" si="45"/>
        <v>129.73333333333335</v>
      </c>
      <c r="S321" s="301" t="s">
        <v>1359</v>
      </c>
      <c r="T321" s="301" t="s">
        <v>1518</v>
      </c>
      <c r="U321" s="302">
        <v>208</v>
      </c>
      <c r="V321" s="302">
        <v>210</v>
      </c>
      <c r="W321" s="302">
        <v>210</v>
      </c>
      <c r="X321" s="303">
        <v>44256</v>
      </c>
      <c r="Y321" s="303">
        <v>44365</v>
      </c>
      <c r="Z321" s="304">
        <v>44396</v>
      </c>
      <c r="AA321" s="273">
        <f t="shared" si="46"/>
        <v>2021</v>
      </c>
      <c r="AB321" s="273">
        <f t="shared" si="47"/>
        <v>7</v>
      </c>
      <c r="AC321" s="305" t="s">
        <v>920</v>
      </c>
      <c r="AD321" s="305" t="s">
        <v>422</v>
      </c>
      <c r="AE321" s="305" t="s">
        <v>422</v>
      </c>
      <c r="AF321" s="305" t="s">
        <v>422</v>
      </c>
      <c r="AG321" s="305" t="s">
        <v>422</v>
      </c>
      <c r="AH321" s="305" t="s">
        <v>422</v>
      </c>
      <c r="AI321" s="305" t="s">
        <v>422</v>
      </c>
      <c r="AJ321" s="305" t="s">
        <v>423</v>
      </c>
      <c r="AK321" s="305" t="s">
        <v>423</v>
      </c>
      <c r="AL321" s="306" t="s">
        <v>1424</v>
      </c>
      <c r="AM321" s="35"/>
      <c r="AN321" s="307"/>
    </row>
    <row r="322" spans="1:40" s="309" customFormat="1" ht="15" customHeight="1" x14ac:dyDescent="0.3">
      <c r="A322" s="185">
        <v>294</v>
      </c>
      <c r="B322" s="296" t="s">
        <v>1471</v>
      </c>
      <c r="C322" s="297" t="s">
        <v>1616</v>
      </c>
      <c r="D322" s="334" t="s">
        <v>1848</v>
      </c>
      <c r="E322" s="336" t="s">
        <v>1596</v>
      </c>
      <c r="F322" s="299" t="s">
        <v>1601</v>
      </c>
      <c r="G322" s="298" t="s">
        <v>1596</v>
      </c>
      <c r="H322" s="300" t="s">
        <v>422</v>
      </c>
      <c r="I322" s="318">
        <v>1.3</v>
      </c>
      <c r="J322" s="318">
        <v>8.5</v>
      </c>
      <c r="K322" s="318">
        <v>11</v>
      </c>
      <c r="L322" s="212">
        <v>1</v>
      </c>
      <c r="M322" s="212">
        <f t="shared" si="40"/>
        <v>21.8</v>
      </c>
      <c r="N322" s="212">
        <f t="shared" si="41"/>
        <v>10.4</v>
      </c>
      <c r="O322" s="212">
        <f t="shared" si="42"/>
        <v>34</v>
      </c>
      <c r="P322" s="212">
        <f t="shared" si="43"/>
        <v>73.333333333333343</v>
      </c>
      <c r="Q322" s="212">
        <f t="shared" si="44"/>
        <v>8</v>
      </c>
      <c r="R322" s="212">
        <f t="shared" si="45"/>
        <v>125.73333333333335</v>
      </c>
      <c r="S322" s="301" t="s">
        <v>1360</v>
      </c>
      <c r="T322" s="301" t="s">
        <v>1519</v>
      </c>
      <c r="U322" s="302">
        <v>158</v>
      </c>
      <c r="V322" s="302">
        <v>160</v>
      </c>
      <c r="W322" s="302">
        <v>160</v>
      </c>
      <c r="X322" s="303">
        <v>44256</v>
      </c>
      <c r="Y322" s="303">
        <v>44365</v>
      </c>
      <c r="Z322" s="304">
        <v>44396</v>
      </c>
      <c r="AA322" s="273">
        <f t="shared" si="46"/>
        <v>2021</v>
      </c>
      <c r="AB322" s="273">
        <f t="shared" si="47"/>
        <v>7</v>
      </c>
      <c r="AC322" s="305" t="s">
        <v>920</v>
      </c>
      <c r="AD322" s="305" t="s">
        <v>422</v>
      </c>
      <c r="AE322" s="305" t="s">
        <v>422</v>
      </c>
      <c r="AF322" s="305" t="s">
        <v>422</v>
      </c>
      <c r="AG322" s="305" t="s">
        <v>422</v>
      </c>
      <c r="AH322" s="305" t="s">
        <v>422</v>
      </c>
      <c r="AI322" s="305" t="s">
        <v>422</v>
      </c>
      <c r="AJ322" s="305" t="s">
        <v>423</v>
      </c>
      <c r="AK322" s="305" t="s">
        <v>423</v>
      </c>
      <c r="AL322" s="306" t="s">
        <v>1424</v>
      </c>
      <c r="AM322" s="35"/>
      <c r="AN322" s="307"/>
    </row>
    <row r="323" spans="1:40" ht="15" customHeight="1" x14ac:dyDescent="0.3">
      <c r="A323" s="185">
        <v>295</v>
      </c>
      <c r="B323" s="296" t="s">
        <v>1472</v>
      </c>
      <c r="C323" s="297" t="s">
        <v>1616</v>
      </c>
      <c r="D323" s="334" t="s">
        <v>1848</v>
      </c>
      <c r="E323" s="336" t="s">
        <v>1596</v>
      </c>
      <c r="F323" s="299" t="s">
        <v>1601</v>
      </c>
      <c r="G323" s="298" t="s">
        <v>1596</v>
      </c>
      <c r="H323" s="300" t="s">
        <v>422</v>
      </c>
      <c r="I323" s="356">
        <v>2</v>
      </c>
      <c r="J323" s="318">
        <f>5+2.5</f>
        <v>7.5</v>
      </c>
      <c r="K323" s="356">
        <v>11</v>
      </c>
      <c r="L323" s="212">
        <v>1.2</v>
      </c>
      <c r="M323" s="212">
        <f t="shared" si="40"/>
        <v>21.7</v>
      </c>
      <c r="N323" s="212">
        <f t="shared" si="41"/>
        <v>16</v>
      </c>
      <c r="O323" s="212">
        <f t="shared" si="42"/>
        <v>30</v>
      </c>
      <c r="P323" s="212">
        <f t="shared" si="43"/>
        <v>73.333333333333343</v>
      </c>
      <c r="Q323" s="212">
        <f t="shared" si="44"/>
        <v>9.6</v>
      </c>
      <c r="R323" s="212">
        <f t="shared" si="45"/>
        <v>128.93333333333334</v>
      </c>
      <c r="S323" s="301" t="s">
        <v>1361</v>
      </c>
      <c r="T323" s="301" t="s">
        <v>1520</v>
      </c>
      <c r="U323" s="302">
        <v>272</v>
      </c>
      <c r="V323" s="302">
        <v>274</v>
      </c>
      <c r="W323" s="302">
        <v>274</v>
      </c>
      <c r="X323" s="303">
        <v>44256</v>
      </c>
      <c r="Y323" s="303">
        <v>44365</v>
      </c>
      <c r="Z323" s="304">
        <v>44396</v>
      </c>
      <c r="AA323" s="273">
        <f t="shared" si="46"/>
        <v>2021</v>
      </c>
      <c r="AB323" s="273">
        <f t="shared" si="47"/>
        <v>7</v>
      </c>
      <c r="AC323" s="305" t="s">
        <v>920</v>
      </c>
      <c r="AD323" s="305" t="s">
        <v>422</v>
      </c>
      <c r="AE323" s="305" t="s">
        <v>422</v>
      </c>
      <c r="AF323" s="305" t="s">
        <v>422</v>
      </c>
      <c r="AG323" s="305" t="s">
        <v>422</v>
      </c>
      <c r="AH323" s="305" t="s">
        <v>422</v>
      </c>
      <c r="AI323" s="305" t="s">
        <v>422</v>
      </c>
      <c r="AJ323" s="305" t="s">
        <v>423</v>
      </c>
      <c r="AK323" s="305" t="s">
        <v>423</v>
      </c>
      <c r="AL323" s="306" t="s">
        <v>138</v>
      </c>
      <c r="AM323" s="35"/>
      <c r="AN323" s="35"/>
    </row>
    <row r="324" spans="1:40" ht="15" customHeight="1" x14ac:dyDescent="0.3">
      <c r="A324" s="185">
        <v>296</v>
      </c>
      <c r="B324" s="296" t="s">
        <v>1473</v>
      </c>
      <c r="C324" s="297" t="s">
        <v>1616</v>
      </c>
      <c r="D324" s="334" t="s">
        <v>1848</v>
      </c>
      <c r="E324" s="336" t="s">
        <v>1596</v>
      </c>
      <c r="F324" s="299" t="s">
        <v>1601</v>
      </c>
      <c r="G324" s="298" t="s">
        <v>1596</v>
      </c>
      <c r="H324" s="300" t="s">
        <v>422</v>
      </c>
      <c r="I324" s="318">
        <v>2</v>
      </c>
      <c r="J324" s="318">
        <v>10.5</v>
      </c>
      <c r="K324" s="356">
        <v>11</v>
      </c>
      <c r="L324" s="212">
        <v>1.2</v>
      </c>
      <c r="M324" s="212">
        <f t="shared" si="40"/>
        <v>24.7</v>
      </c>
      <c r="N324" s="212">
        <f t="shared" si="41"/>
        <v>16</v>
      </c>
      <c r="O324" s="212">
        <f t="shared" si="42"/>
        <v>42</v>
      </c>
      <c r="P324" s="212">
        <f t="shared" si="43"/>
        <v>73.333333333333343</v>
      </c>
      <c r="Q324" s="212">
        <f t="shared" si="44"/>
        <v>9.6</v>
      </c>
      <c r="R324" s="212">
        <f t="shared" si="45"/>
        <v>140.93333333333334</v>
      </c>
      <c r="S324" s="301" t="s">
        <v>1362</v>
      </c>
      <c r="T324" s="301" t="s">
        <v>1521</v>
      </c>
      <c r="U324" s="302">
        <v>296</v>
      </c>
      <c r="V324" s="302">
        <v>298</v>
      </c>
      <c r="W324" s="302">
        <v>298</v>
      </c>
      <c r="X324" s="303">
        <v>44256</v>
      </c>
      <c r="Y324" s="303">
        <v>44365</v>
      </c>
      <c r="Z324" s="304">
        <v>44396</v>
      </c>
      <c r="AA324" s="273">
        <f t="shared" si="46"/>
        <v>2021</v>
      </c>
      <c r="AB324" s="273">
        <f t="shared" si="47"/>
        <v>7</v>
      </c>
      <c r="AC324" s="305" t="s">
        <v>920</v>
      </c>
      <c r="AD324" s="305" t="s">
        <v>422</v>
      </c>
      <c r="AE324" s="305" t="s">
        <v>422</v>
      </c>
      <c r="AF324" s="305" t="s">
        <v>422</v>
      </c>
      <c r="AG324" s="305" t="s">
        <v>422</v>
      </c>
      <c r="AH324" s="305" t="s">
        <v>422</v>
      </c>
      <c r="AI324" s="305" t="s">
        <v>422</v>
      </c>
      <c r="AJ324" s="305" t="s">
        <v>423</v>
      </c>
      <c r="AK324" s="305" t="s">
        <v>423</v>
      </c>
      <c r="AL324" s="306" t="s">
        <v>140</v>
      </c>
      <c r="AM324" s="35"/>
      <c r="AN324" s="35"/>
    </row>
    <row r="325" spans="1:40" ht="15" customHeight="1" x14ac:dyDescent="0.3">
      <c r="A325" s="185">
        <v>297</v>
      </c>
      <c r="B325" s="296" t="s">
        <v>1474</v>
      </c>
      <c r="C325" s="297" t="s">
        <v>1616</v>
      </c>
      <c r="D325" s="334" t="s">
        <v>1848</v>
      </c>
      <c r="E325" s="336" t="s">
        <v>1596</v>
      </c>
      <c r="F325" s="299" t="s">
        <v>1601</v>
      </c>
      <c r="G325" s="298" t="s">
        <v>1596</v>
      </c>
      <c r="H325" s="300" t="s">
        <v>422</v>
      </c>
      <c r="I325" s="318">
        <v>2</v>
      </c>
      <c r="J325" s="318">
        <v>10.5</v>
      </c>
      <c r="K325" s="356">
        <v>11</v>
      </c>
      <c r="L325" s="212">
        <v>1.2</v>
      </c>
      <c r="M325" s="212">
        <f t="shared" si="40"/>
        <v>24.7</v>
      </c>
      <c r="N325" s="212">
        <f t="shared" si="41"/>
        <v>16</v>
      </c>
      <c r="O325" s="212">
        <f t="shared" si="42"/>
        <v>42</v>
      </c>
      <c r="P325" s="212">
        <f t="shared" si="43"/>
        <v>73.333333333333343</v>
      </c>
      <c r="Q325" s="212">
        <f t="shared" si="44"/>
        <v>9.6</v>
      </c>
      <c r="R325" s="212">
        <f t="shared" si="45"/>
        <v>140.93333333333334</v>
      </c>
      <c r="S325" s="301" t="s">
        <v>1363</v>
      </c>
      <c r="T325" s="301" t="s">
        <v>1522</v>
      </c>
      <c r="U325" s="302">
        <v>266</v>
      </c>
      <c r="V325" s="302">
        <v>268</v>
      </c>
      <c r="W325" s="302">
        <v>268</v>
      </c>
      <c r="X325" s="303">
        <v>44256</v>
      </c>
      <c r="Y325" s="303">
        <v>44365</v>
      </c>
      <c r="Z325" s="304">
        <v>44396</v>
      </c>
      <c r="AA325" s="273">
        <f t="shared" si="46"/>
        <v>2021</v>
      </c>
      <c r="AB325" s="273">
        <f t="shared" si="47"/>
        <v>7</v>
      </c>
      <c r="AC325" s="305" t="s">
        <v>920</v>
      </c>
      <c r="AD325" s="305" t="s">
        <v>422</v>
      </c>
      <c r="AE325" s="305" t="s">
        <v>422</v>
      </c>
      <c r="AF325" s="305" t="s">
        <v>422</v>
      </c>
      <c r="AG325" s="305" t="s">
        <v>422</v>
      </c>
      <c r="AH325" s="305" t="s">
        <v>422</v>
      </c>
      <c r="AI325" s="305" t="s">
        <v>422</v>
      </c>
      <c r="AJ325" s="305" t="s">
        <v>423</v>
      </c>
      <c r="AK325" s="305" t="s">
        <v>423</v>
      </c>
      <c r="AL325" s="306" t="s">
        <v>1424</v>
      </c>
      <c r="AM325" s="35"/>
      <c r="AN325" s="35"/>
    </row>
    <row r="326" spans="1:40" ht="15" customHeight="1" x14ac:dyDescent="0.3">
      <c r="A326" s="185">
        <v>298</v>
      </c>
      <c r="B326" s="296" t="s">
        <v>1475</v>
      </c>
      <c r="C326" s="297" t="s">
        <v>1616</v>
      </c>
      <c r="D326" s="334" t="s">
        <v>1848</v>
      </c>
      <c r="E326" s="336" t="s">
        <v>1596</v>
      </c>
      <c r="F326" s="299" t="s">
        <v>1601</v>
      </c>
      <c r="G326" s="298" t="s">
        <v>1596</v>
      </c>
      <c r="H326" s="300" t="s">
        <v>1596</v>
      </c>
      <c r="I326" s="318">
        <v>1.2</v>
      </c>
      <c r="J326" s="318">
        <v>2.5</v>
      </c>
      <c r="K326" s="356">
        <v>5.5</v>
      </c>
      <c r="L326" s="212">
        <v>0.5</v>
      </c>
      <c r="M326" s="212">
        <f t="shared" si="40"/>
        <v>9.6999999999999993</v>
      </c>
      <c r="N326" s="212">
        <f t="shared" si="41"/>
        <v>9.6</v>
      </c>
      <c r="O326" s="212">
        <f t="shared" si="42"/>
        <v>10</v>
      </c>
      <c r="P326" s="212">
        <f t="shared" si="43"/>
        <v>36.666666666666671</v>
      </c>
      <c r="Q326" s="212">
        <f t="shared" si="44"/>
        <v>4</v>
      </c>
      <c r="R326" s="212">
        <f t="shared" si="45"/>
        <v>60.266666666666673</v>
      </c>
      <c r="S326" s="301" t="s">
        <v>1364</v>
      </c>
      <c r="T326" s="301" t="s">
        <v>1523</v>
      </c>
      <c r="U326" s="302">
        <v>84</v>
      </c>
      <c r="V326" s="302">
        <v>86</v>
      </c>
      <c r="W326" s="302">
        <v>86</v>
      </c>
      <c r="X326" s="303">
        <v>44256</v>
      </c>
      <c r="Y326" s="303">
        <v>44365</v>
      </c>
      <c r="Z326" s="304">
        <v>44396</v>
      </c>
      <c r="AA326" s="273">
        <f t="shared" si="46"/>
        <v>2021</v>
      </c>
      <c r="AB326" s="273">
        <f t="shared" si="47"/>
        <v>7</v>
      </c>
      <c r="AC326" s="305" t="s">
        <v>920</v>
      </c>
      <c r="AD326" s="305" t="s">
        <v>422</v>
      </c>
      <c r="AE326" s="305" t="s">
        <v>422</v>
      </c>
      <c r="AF326" s="305" t="s">
        <v>422</v>
      </c>
      <c r="AG326" s="305" t="s">
        <v>422</v>
      </c>
      <c r="AH326" s="305" t="s">
        <v>422</v>
      </c>
      <c r="AI326" s="305" t="s">
        <v>422</v>
      </c>
      <c r="AJ326" s="305" t="s">
        <v>423</v>
      </c>
      <c r="AK326" s="305" t="s">
        <v>423</v>
      </c>
      <c r="AL326" s="306" t="s">
        <v>138</v>
      </c>
      <c r="AM326" s="35"/>
      <c r="AN326" s="35"/>
    </row>
    <row r="327" spans="1:40" ht="15" customHeight="1" x14ac:dyDescent="0.3">
      <c r="A327" s="185">
        <v>299</v>
      </c>
      <c r="B327" s="296" t="s">
        <v>1476</v>
      </c>
      <c r="C327" s="297" t="s">
        <v>1616</v>
      </c>
      <c r="D327" s="334" t="s">
        <v>1848</v>
      </c>
      <c r="E327" s="298" t="s">
        <v>1596</v>
      </c>
      <c r="F327" s="299" t="s">
        <v>1597</v>
      </c>
      <c r="G327" s="298" t="s">
        <v>1596</v>
      </c>
      <c r="H327" s="300" t="s">
        <v>422</v>
      </c>
      <c r="I327" s="356">
        <v>2</v>
      </c>
      <c r="J327" s="318">
        <v>2.5</v>
      </c>
      <c r="K327" s="318">
        <v>5.5</v>
      </c>
      <c r="L327" s="212">
        <v>0.5</v>
      </c>
      <c r="M327" s="212">
        <f t="shared" ref="M327:M390" si="48">SUM((I327:L327))</f>
        <v>10.5</v>
      </c>
      <c r="N327" s="212">
        <f t="shared" ref="N327:N390" si="49">+I327/0.125</f>
        <v>16</v>
      </c>
      <c r="O327" s="212">
        <f t="shared" ref="O327:O390" si="50">+J327/0.25</f>
        <v>10</v>
      </c>
      <c r="P327" s="212">
        <f t="shared" ref="P327:P390" si="51">+K327/0.15</f>
        <v>36.666666666666671</v>
      </c>
      <c r="Q327" s="212">
        <f t="shared" ref="Q327:Q390" si="52">+L327/0.125</f>
        <v>4</v>
      </c>
      <c r="R327" s="212">
        <f t="shared" ref="R327:R390" si="53">SUM(N327:Q327)</f>
        <v>66.666666666666671</v>
      </c>
      <c r="S327" s="301" t="s">
        <v>1364</v>
      </c>
      <c r="T327" s="301" t="s">
        <v>1524</v>
      </c>
      <c r="U327" s="302">
        <v>90</v>
      </c>
      <c r="V327" s="302">
        <v>90</v>
      </c>
      <c r="W327" s="302">
        <v>90</v>
      </c>
      <c r="X327" s="303">
        <v>44256</v>
      </c>
      <c r="Y327" s="303">
        <v>44365</v>
      </c>
      <c r="Z327" s="304">
        <v>44396</v>
      </c>
      <c r="AA327" s="273">
        <f t="shared" ref="AA327:AA390" si="54">IF(YEAR(Z327)&gt;2000,YEAR(Z327),YEAR(Y327))</f>
        <v>2021</v>
      </c>
      <c r="AB327" s="273">
        <f t="shared" ref="AB327:AB390" si="55">MONTH(Z327)</f>
        <v>7</v>
      </c>
      <c r="AC327" s="305" t="s">
        <v>920</v>
      </c>
      <c r="AD327" s="305" t="s">
        <v>422</v>
      </c>
      <c r="AE327" s="305" t="s">
        <v>422</v>
      </c>
      <c r="AF327" s="305" t="s">
        <v>422</v>
      </c>
      <c r="AG327" s="305" t="s">
        <v>422</v>
      </c>
      <c r="AH327" s="305" t="s">
        <v>422</v>
      </c>
      <c r="AI327" s="305" t="s">
        <v>422</v>
      </c>
      <c r="AJ327" s="305" t="s">
        <v>423</v>
      </c>
      <c r="AK327" s="305" t="s">
        <v>423</v>
      </c>
      <c r="AL327" s="306" t="s">
        <v>1424</v>
      </c>
      <c r="AM327" s="35"/>
      <c r="AN327" s="307"/>
    </row>
    <row r="328" spans="1:40" ht="15" customHeight="1" x14ac:dyDescent="0.3">
      <c r="A328" s="185">
        <v>300</v>
      </c>
      <c r="B328" s="296" t="s">
        <v>1477</v>
      </c>
      <c r="C328" s="297" t="s">
        <v>1616</v>
      </c>
      <c r="D328" s="334" t="s">
        <v>1848</v>
      </c>
      <c r="E328" s="298" t="s">
        <v>1596</v>
      </c>
      <c r="F328" s="299" t="s">
        <v>1601</v>
      </c>
      <c r="G328" s="298" t="s">
        <v>1596</v>
      </c>
      <c r="H328" s="300" t="s">
        <v>422</v>
      </c>
      <c r="I328" s="318">
        <v>1.8</v>
      </c>
      <c r="J328" s="318">
        <v>11</v>
      </c>
      <c r="K328" s="318">
        <v>8.5</v>
      </c>
      <c r="L328" s="212">
        <v>1</v>
      </c>
      <c r="M328" s="212">
        <f t="shared" si="48"/>
        <v>22.3</v>
      </c>
      <c r="N328" s="212">
        <f t="shared" si="49"/>
        <v>14.4</v>
      </c>
      <c r="O328" s="212">
        <f t="shared" si="50"/>
        <v>44</v>
      </c>
      <c r="P328" s="212">
        <f t="shared" si="51"/>
        <v>56.666666666666671</v>
      </c>
      <c r="Q328" s="212">
        <f t="shared" si="52"/>
        <v>8</v>
      </c>
      <c r="R328" s="212">
        <f t="shared" si="53"/>
        <v>123.06666666666666</v>
      </c>
      <c r="S328" s="301" t="s">
        <v>1350</v>
      </c>
      <c r="T328" s="301" t="s">
        <v>1525</v>
      </c>
      <c r="U328" s="302">
        <v>224</v>
      </c>
      <c r="V328" s="302">
        <v>226</v>
      </c>
      <c r="W328" s="302">
        <v>226</v>
      </c>
      <c r="X328" s="303">
        <v>44256</v>
      </c>
      <c r="Y328" s="303">
        <v>44365</v>
      </c>
      <c r="Z328" s="304">
        <v>44396</v>
      </c>
      <c r="AA328" s="273">
        <f t="shared" si="54"/>
        <v>2021</v>
      </c>
      <c r="AB328" s="273">
        <f t="shared" si="55"/>
        <v>7</v>
      </c>
      <c r="AC328" s="305" t="s">
        <v>920</v>
      </c>
      <c r="AD328" s="305" t="s">
        <v>422</v>
      </c>
      <c r="AE328" s="305" t="s">
        <v>422</v>
      </c>
      <c r="AF328" s="305" t="s">
        <v>422</v>
      </c>
      <c r="AG328" s="305" t="s">
        <v>422</v>
      </c>
      <c r="AH328" s="305" t="s">
        <v>422</v>
      </c>
      <c r="AI328" s="305" t="s">
        <v>422</v>
      </c>
      <c r="AJ328" s="305" t="s">
        <v>423</v>
      </c>
      <c r="AK328" s="305" t="s">
        <v>423</v>
      </c>
      <c r="AL328" s="306" t="s">
        <v>772</v>
      </c>
      <c r="AM328" s="35"/>
      <c r="AN328" s="35"/>
    </row>
    <row r="329" spans="1:40" ht="15" customHeight="1" x14ac:dyDescent="0.3">
      <c r="A329" s="185">
        <v>301</v>
      </c>
      <c r="B329" s="296" t="s">
        <v>1478</v>
      </c>
      <c r="C329" s="297" t="s">
        <v>1616</v>
      </c>
      <c r="D329" s="334" t="s">
        <v>1848</v>
      </c>
      <c r="E329" s="298" t="s">
        <v>1596</v>
      </c>
      <c r="F329" s="299" t="s">
        <v>1601</v>
      </c>
      <c r="G329" s="298" t="s">
        <v>1596</v>
      </c>
      <c r="H329" s="300" t="s">
        <v>422</v>
      </c>
      <c r="I329" s="318">
        <v>1.3</v>
      </c>
      <c r="J329" s="318">
        <v>11</v>
      </c>
      <c r="K329" s="318">
        <v>14</v>
      </c>
      <c r="L329" s="212">
        <v>1</v>
      </c>
      <c r="M329" s="212">
        <f t="shared" si="48"/>
        <v>27.3</v>
      </c>
      <c r="N329" s="212">
        <f t="shared" si="49"/>
        <v>10.4</v>
      </c>
      <c r="O329" s="212">
        <f t="shared" si="50"/>
        <v>44</v>
      </c>
      <c r="P329" s="212">
        <f t="shared" si="51"/>
        <v>93.333333333333343</v>
      </c>
      <c r="Q329" s="212">
        <f t="shared" si="52"/>
        <v>8</v>
      </c>
      <c r="R329" s="212">
        <f t="shared" si="53"/>
        <v>155.73333333333335</v>
      </c>
      <c r="S329" s="301" t="s">
        <v>1351</v>
      </c>
      <c r="T329" s="301" t="s">
        <v>1526</v>
      </c>
      <c r="U329" s="302">
        <v>232</v>
      </c>
      <c r="V329" s="302">
        <v>234</v>
      </c>
      <c r="W329" s="302">
        <v>234</v>
      </c>
      <c r="X329" s="303">
        <v>44256</v>
      </c>
      <c r="Y329" s="303">
        <v>44365</v>
      </c>
      <c r="Z329" s="304">
        <v>44396</v>
      </c>
      <c r="AA329" s="273">
        <f t="shared" si="54"/>
        <v>2021</v>
      </c>
      <c r="AB329" s="273">
        <f t="shared" si="55"/>
        <v>7</v>
      </c>
      <c r="AC329" s="305" t="s">
        <v>920</v>
      </c>
      <c r="AD329" s="305" t="s">
        <v>422</v>
      </c>
      <c r="AE329" s="305" t="s">
        <v>422</v>
      </c>
      <c r="AF329" s="305" t="s">
        <v>422</v>
      </c>
      <c r="AG329" s="305" t="s">
        <v>422</v>
      </c>
      <c r="AH329" s="305" t="s">
        <v>422</v>
      </c>
      <c r="AI329" s="305" t="s">
        <v>422</v>
      </c>
      <c r="AJ329" s="305" t="s">
        <v>423</v>
      </c>
      <c r="AK329" s="305" t="s">
        <v>423</v>
      </c>
      <c r="AL329" s="306" t="s">
        <v>772</v>
      </c>
      <c r="AM329" s="35"/>
      <c r="AN329" s="307"/>
    </row>
    <row r="330" spans="1:40" ht="15" customHeight="1" x14ac:dyDescent="0.3">
      <c r="A330" s="185">
        <v>302</v>
      </c>
      <c r="B330" s="296" t="s">
        <v>1479</v>
      </c>
      <c r="C330" s="297" t="s">
        <v>1616</v>
      </c>
      <c r="D330" s="315" t="s">
        <v>1848</v>
      </c>
      <c r="E330" s="298" t="s">
        <v>1596</v>
      </c>
      <c r="F330" s="299" t="s">
        <v>1601</v>
      </c>
      <c r="G330" s="298" t="s">
        <v>1596</v>
      </c>
      <c r="H330" s="300" t="s">
        <v>422</v>
      </c>
      <c r="I330" s="318">
        <v>1.3</v>
      </c>
      <c r="J330" s="318">
        <v>8.5</v>
      </c>
      <c r="K330" s="318">
        <v>14</v>
      </c>
      <c r="L330" s="212">
        <v>1</v>
      </c>
      <c r="M330" s="212">
        <f t="shared" si="48"/>
        <v>24.8</v>
      </c>
      <c r="N330" s="212">
        <f t="shared" si="49"/>
        <v>10.4</v>
      </c>
      <c r="O330" s="212">
        <f t="shared" si="50"/>
        <v>34</v>
      </c>
      <c r="P330" s="212">
        <f t="shared" si="51"/>
        <v>93.333333333333343</v>
      </c>
      <c r="Q330" s="212">
        <f t="shared" si="52"/>
        <v>8</v>
      </c>
      <c r="R330" s="212">
        <f t="shared" si="53"/>
        <v>145.73333333333335</v>
      </c>
      <c r="S330" s="301" t="s">
        <v>1352</v>
      </c>
      <c r="T330" s="301" t="s">
        <v>1527</v>
      </c>
      <c r="U330" s="302">
        <v>98</v>
      </c>
      <c r="V330" s="302">
        <v>100</v>
      </c>
      <c r="W330" s="302">
        <v>100</v>
      </c>
      <c r="X330" s="303">
        <v>44256</v>
      </c>
      <c r="Y330" s="303">
        <v>44365</v>
      </c>
      <c r="Z330" s="304">
        <v>44396</v>
      </c>
      <c r="AA330" s="273">
        <f t="shared" si="54"/>
        <v>2021</v>
      </c>
      <c r="AB330" s="273">
        <f t="shared" si="55"/>
        <v>7</v>
      </c>
      <c r="AC330" s="305" t="s">
        <v>920</v>
      </c>
      <c r="AD330" s="305" t="s">
        <v>422</v>
      </c>
      <c r="AE330" s="305" t="s">
        <v>422</v>
      </c>
      <c r="AF330" s="305" t="s">
        <v>422</v>
      </c>
      <c r="AG330" s="305" t="s">
        <v>422</v>
      </c>
      <c r="AH330" s="305" t="s">
        <v>422</v>
      </c>
      <c r="AI330" s="305" t="s">
        <v>422</v>
      </c>
      <c r="AJ330" s="305" t="s">
        <v>423</v>
      </c>
      <c r="AK330" s="305" t="s">
        <v>423</v>
      </c>
      <c r="AL330" s="306" t="s">
        <v>1424</v>
      </c>
      <c r="AM330" s="35"/>
      <c r="AN330" s="307"/>
    </row>
    <row r="331" spans="1:40" ht="15" customHeight="1" x14ac:dyDescent="0.3">
      <c r="A331" s="185">
        <v>303</v>
      </c>
      <c r="B331" s="296" t="s">
        <v>1480</v>
      </c>
      <c r="C331" s="297" t="s">
        <v>1616</v>
      </c>
      <c r="D331" s="315" t="s">
        <v>1848</v>
      </c>
      <c r="E331" s="298" t="s">
        <v>1596</v>
      </c>
      <c r="F331" s="299" t="s">
        <v>1597</v>
      </c>
      <c r="G331" s="298" t="s">
        <v>1596</v>
      </c>
      <c r="H331" s="300" t="s">
        <v>422</v>
      </c>
      <c r="I331" s="356">
        <v>2</v>
      </c>
      <c r="J331" s="318">
        <v>9.5</v>
      </c>
      <c r="K331" s="318">
        <v>14</v>
      </c>
      <c r="L331" s="212">
        <v>1.2</v>
      </c>
      <c r="M331" s="212">
        <f t="shared" si="48"/>
        <v>26.7</v>
      </c>
      <c r="N331" s="212">
        <f t="shared" si="49"/>
        <v>16</v>
      </c>
      <c r="O331" s="212">
        <f t="shared" si="50"/>
        <v>38</v>
      </c>
      <c r="P331" s="212">
        <f t="shared" si="51"/>
        <v>93.333333333333343</v>
      </c>
      <c r="Q331" s="212">
        <f t="shared" si="52"/>
        <v>9.6</v>
      </c>
      <c r="R331" s="212">
        <f t="shared" si="53"/>
        <v>156.93333333333334</v>
      </c>
      <c r="S331" s="301" t="s">
        <v>1353</v>
      </c>
      <c r="T331" s="301" t="s">
        <v>1528</v>
      </c>
      <c r="U331" s="302">
        <v>162</v>
      </c>
      <c r="V331" s="302">
        <v>164</v>
      </c>
      <c r="W331" s="302">
        <v>164</v>
      </c>
      <c r="X331" s="303">
        <v>44256</v>
      </c>
      <c r="Y331" s="303">
        <v>44365</v>
      </c>
      <c r="Z331" s="304">
        <v>44396</v>
      </c>
      <c r="AA331" s="273">
        <f t="shared" si="54"/>
        <v>2021</v>
      </c>
      <c r="AB331" s="273">
        <f t="shared" si="55"/>
        <v>7</v>
      </c>
      <c r="AC331" s="305" t="s">
        <v>920</v>
      </c>
      <c r="AD331" s="305" t="s">
        <v>422</v>
      </c>
      <c r="AE331" s="305" t="s">
        <v>422</v>
      </c>
      <c r="AF331" s="305" t="s">
        <v>422</v>
      </c>
      <c r="AG331" s="305" t="s">
        <v>422</v>
      </c>
      <c r="AH331" s="305" t="s">
        <v>422</v>
      </c>
      <c r="AI331" s="305" t="s">
        <v>422</v>
      </c>
      <c r="AJ331" s="305" t="s">
        <v>423</v>
      </c>
      <c r="AK331" s="305" t="s">
        <v>423</v>
      </c>
      <c r="AL331" s="306" t="s">
        <v>1424</v>
      </c>
      <c r="AM331" s="35"/>
      <c r="AN331" s="35"/>
    </row>
    <row r="332" spans="1:40" ht="15" customHeight="1" x14ac:dyDescent="0.3">
      <c r="A332" s="185">
        <v>304</v>
      </c>
      <c r="B332" s="296" t="s">
        <v>1481</v>
      </c>
      <c r="C332" s="297" t="s">
        <v>1616</v>
      </c>
      <c r="D332" s="315" t="s">
        <v>1848</v>
      </c>
      <c r="E332" s="298" t="s">
        <v>1596</v>
      </c>
      <c r="F332" s="299" t="s">
        <v>1601</v>
      </c>
      <c r="G332" s="298" t="s">
        <v>1596</v>
      </c>
      <c r="H332" s="300" t="s">
        <v>422</v>
      </c>
      <c r="I332" s="318">
        <v>2</v>
      </c>
      <c r="J332" s="318">
        <v>9.5</v>
      </c>
      <c r="K332" s="356">
        <v>8.5</v>
      </c>
      <c r="L332" s="212">
        <v>1</v>
      </c>
      <c r="M332" s="212">
        <f t="shared" si="48"/>
        <v>21</v>
      </c>
      <c r="N332" s="212">
        <f t="shared" si="49"/>
        <v>16</v>
      </c>
      <c r="O332" s="212">
        <f t="shared" si="50"/>
        <v>38</v>
      </c>
      <c r="P332" s="212">
        <f t="shared" si="51"/>
        <v>56.666666666666671</v>
      </c>
      <c r="Q332" s="212">
        <f t="shared" si="52"/>
        <v>8</v>
      </c>
      <c r="R332" s="212">
        <f t="shared" si="53"/>
        <v>118.66666666666667</v>
      </c>
      <c r="S332" s="301" t="s">
        <v>1354</v>
      </c>
      <c r="T332" s="301" t="s">
        <v>1529</v>
      </c>
      <c r="U332" s="302">
        <v>120</v>
      </c>
      <c r="V332" s="302">
        <v>122</v>
      </c>
      <c r="W332" s="302">
        <v>122</v>
      </c>
      <c r="X332" s="303">
        <v>44256</v>
      </c>
      <c r="Y332" s="303">
        <v>44365</v>
      </c>
      <c r="Z332" s="304">
        <v>44396</v>
      </c>
      <c r="AA332" s="273">
        <f t="shared" si="54"/>
        <v>2021</v>
      </c>
      <c r="AB332" s="273">
        <f t="shared" si="55"/>
        <v>7</v>
      </c>
      <c r="AC332" s="305" t="s">
        <v>920</v>
      </c>
      <c r="AD332" s="305" t="s">
        <v>422</v>
      </c>
      <c r="AE332" s="305" t="s">
        <v>422</v>
      </c>
      <c r="AF332" s="305" t="s">
        <v>422</v>
      </c>
      <c r="AG332" s="305" t="s">
        <v>422</v>
      </c>
      <c r="AH332" s="305" t="s">
        <v>422</v>
      </c>
      <c r="AI332" s="305" t="s">
        <v>422</v>
      </c>
      <c r="AJ332" s="305" t="s">
        <v>423</v>
      </c>
      <c r="AK332" s="305" t="s">
        <v>423</v>
      </c>
      <c r="AL332" s="306" t="s">
        <v>1424</v>
      </c>
      <c r="AM332" s="35"/>
      <c r="AN332" s="35"/>
    </row>
    <row r="333" spans="1:40" ht="15" customHeight="1" x14ac:dyDescent="0.3">
      <c r="A333" s="185">
        <v>305</v>
      </c>
      <c r="B333" s="296" t="s">
        <v>1482</v>
      </c>
      <c r="C333" s="297" t="s">
        <v>1616</v>
      </c>
      <c r="D333" s="315" t="s">
        <v>1848</v>
      </c>
      <c r="E333" s="298" t="s">
        <v>1596</v>
      </c>
      <c r="F333" s="299" t="s">
        <v>1597</v>
      </c>
      <c r="G333" s="298" t="s">
        <v>1596</v>
      </c>
      <c r="H333" s="300" t="s">
        <v>422</v>
      </c>
      <c r="I333" s="356">
        <v>2</v>
      </c>
      <c r="J333" s="318">
        <v>2.5</v>
      </c>
      <c r="K333" s="318">
        <v>5.5</v>
      </c>
      <c r="L333" s="212">
        <v>0.5</v>
      </c>
      <c r="M333" s="212">
        <f t="shared" si="48"/>
        <v>10.5</v>
      </c>
      <c r="N333" s="212">
        <f t="shared" si="49"/>
        <v>16</v>
      </c>
      <c r="O333" s="212">
        <f t="shared" si="50"/>
        <v>10</v>
      </c>
      <c r="P333" s="212">
        <f t="shared" si="51"/>
        <v>36.666666666666671</v>
      </c>
      <c r="Q333" s="212">
        <f t="shared" si="52"/>
        <v>4</v>
      </c>
      <c r="R333" s="212">
        <f t="shared" si="53"/>
        <v>66.666666666666671</v>
      </c>
      <c r="S333" s="301" t="s">
        <v>1355</v>
      </c>
      <c r="T333" s="301" t="s">
        <v>1530</v>
      </c>
      <c r="U333" s="302">
        <v>34</v>
      </c>
      <c r="V333" s="302">
        <v>35</v>
      </c>
      <c r="W333" s="302">
        <v>35</v>
      </c>
      <c r="X333" s="303">
        <v>44256</v>
      </c>
      <c r="Y333" s="303">
        <v>44365</v>
      </c>
      <c r="Z333" s="304">
        <v>44396</v>
      </c>
      <c r="AA333" s="273">
        <f t="shared" si="54"/>
        <v>2021</v>
      </c>
      <c r="AB333" s="273">
        <f t="shared" si="55"/>
        <v>7</v>
      </c>
      <c r="AC333" s="305" t="s">
        <v>920</v>
      </c>
      <c r="AD333" s="305" t="s">
        <v>422</v>
      </c>
      <c r="AE333" s="305" t="s">
        <v>422</v>
      </c>
      <c r="AF333" s="305" t="s">
        <v>422</v>
      </c>
      <c r="AG333" s="305" t="s">
        <v>422</v>
      </c>
      <c r="AH333" s="305" t="s">
        <v>422</v>
      </c>
      <c r="AI333" s="305" t="s">
        <v>422</v>
      </c>
      <c r="AJ333" s="305" t="s">
        <v>423</v>
      </c>
      <c r="AK333" s="305" t="s">
        <v>423</v>
      </c>
      <c r="AL333" s="306" t="s">
        <v>1424</v>
      </c>
      <c r="AM333" s="35"/>
      <c r="AN333" s="307"/>
    </row>
    <row r="334" spans="1:40" ht="15" customHeight="1" x14ac:dyDescent="0.3">
      <c r="A334" s="185">
        <v>306</v>
      </c>
      <c r="B334" s="296" t="s">
        <v>1483</v>
      </c>
      <c r="C334" s="297" t="s">
        <v>1616</v>
      </c>
      <c r="D334" s="315" t="s">
        <v>1848</v>
      </c>
      <c r="E334" s="298" t="s">
        <v>1596</v>
      </c>
      <c r="F334" s="299" t="s">
        <v>1597</v>
      </c>
      <c r="G334" s="298" t="s">
        <v>1596</v>
      </c>
      <c r="H334" s="300" t="s">
        <v>422</v>
      </c>
      <c r="I334" s="356">
        <v>2</v>
      </c>
      <c r="J334" s="318">
        <v>2.5</v>
      </c>
      <c r="K334" s="318">
        <v>5.5</v>
      </c>
      <c r="L334" s="212">
        <v>0.5</v>
      </c>
      <c r="M334" s="212">
        <f t="shared" si="48"/>
        <v>10.5</v>
      </c>
      <c r="N334" s="212">
        <f t="shared" si="49"/>
        <v>16</v>
      </c>
      <c r="O334" s="212">
        <f t="shared" si="50"/>
        <v>10</v>
      </c>
      <c r="P334" s="212">
        <f t="shared" si="51"/>
        <v>36.666666666666671</v>
      </c>
      <c r="Q334" s="212">
        <f t="shared" si="52"/>
        <v>4</v>
      </c>
      <c r="R334" s="212">
        <f t="shared" si="53"/>
        <v>66.666666666666671</v>
      </c>
      <c r="S334" s="301" t="s">
        <v>1356</v>
      </c>
      <c r="T334" s="301" t="s">
        <v>1531</v>
      </c>
      <c r="U334" s="302">
        <v>52</v>
      </c>
      <c r="V334" s="302">
        <v>52</v>
      </c>
      <c r="W334" s="302">
        <v>52</v>
      </c>
      <c r="X334" s="303">
        <v>44256</v>
      </c>
      <c r="Y334" s="303">
        <v>44365</v>
      </c>
      <c r="Z334" s="304">
        <v>44396</v>
      </c>
      <c r="AA334" s="273">
        <f t="shared" si="54"/>
        <v>2021</v>
      </c>
      <c r="AB334" s="273">
        <f t="shared" si="55"/>
        <v>7</v>
      </c>
      <c r="AC334" s="305" t="s">
        <v>920</v>
      </c>
      <c r="AD334" s="305" t="s">
        <v>422</v>
      </c>
      <c r="AE334" s="305" t="s">
        <v>422</v>
      </c>
      <c r="AF334" s="305" t="s">
        <v>422</v>
      </c>
      <c r="AG334" s="305" t="s">
        <v>422</v>
      </c>
      <c r="AH334" s="305" t="s">
        <v>422</v>
      </c>
      <c r="AI334" s="305" t="s">
        <v>422</v>
      </c>
      <c r="AJ334" s="305" t="s">
        <v>423</v>
      </c>
      <c r="AK334" s="305" t="s">
        <v>423</v>
      </c>
      <c r="AL334" s="306" t="s">
        <v>1424</v>
      </c>
      <c r="AM334" s="35"/>
      <c r="AN334" s="307"/>
    </row>
    <row r="335" spans="1:40" ht="15" customHeight="1" x14ac:dyDescent="0.3">
      <c r="A335" s="185">
        <v>307</v>
      </c>
      <c r="B335" s="296" t="s">
        <v>1484</v>
      </c>
      <c r="C335" s="297" t="s">
        <v>1616</v>
      </c>
      <c r="D335" s="315" t="s">
        <v>1848</v>
      </c>
      <c r="E335" s="298" t="s">
        <v>1596</v>
      </c>
      <c r="F335" s="299" t="s">
        <v>1601</v>
      </c>
      <c r="G335" s="298" t="s">
        <v>1596</v>
      </c>
      <c r="H335" s="300" t="s">
        <v>422</v>
      </c>
      <c r="I335" s="318">
        <v>1.2</v>
      </c>
      <c r="J335" s="318">
        <v>2.5</v>
      </c>
      <c r="K335" s="356">
        <v>5.5</v>
      </c>
      <c r="L335" s="212">
        <v>0.5</v>
      </c>
      <c r="M335" s="212">
        <f t="shared" si="48"/>
        <v>9.6999999999999993</v>
      </c>
      <c r="N335" s="212">
        <f t="shared" si="49"/>
        <v>9.6</v>
      </c>
      <c r="O335" s="212">
        <f t="shared" si="50"/>
        <v>10</v>
      </c>
      <c r="P335" s="212">
        <f t="shared" si="51"/>
        <v>36.666666666666671</v>
      </c>
      <c r="Q335" s="212">
        <f t="shared" si="52"/>
        <v>4</v>
      </c>
      <c r="R335" s="212">
        <f t="shared" si="53"/>
        <v>60.266666666666673</v>
      </c>
      <c r="S335" s="301" t="s">
        <v>1356</v>
      </c>
      <c r="T335" s="301" t="s">
        <v>1532</v>
      </c>
      <c r="U335" s="302">
        <v>8</v>
      </c>
      <c r="V335" s="302">
        <v>8</v>
      </c>
      <c r="W335" s="302">
        <v>8</v>
      </c>
      <c r="X335" s="303">
        <v>44256</v>
      </c>
      <c r="Y335" s="303">
        <v>44365</v>
      </c>
      <c r="Z335" s="304">
        <v>44396</v>
      </c>
      <c r="AA335" s="273">
        <f t="shared" si="54"/>
        <v>2021</v>
      </c>
      <c r="AB335" s="273">
        <f t="shared" si="55"/>
        <v>7</v>
      </c>
      <c r="AC335" s="305" t="s">
        <v>920</v>
      </c>
      <c r="AD335" s="305" t="s">
        <v>422</v>
      </c>
      <c r="AE335" s="305" t="s">
        <v>423</v>
      </c>
      <c r="AF335" s="305" t="s">
        <v>422</v>
      </c>
      <c r="AG335" s="305" t="s">
        <v>422</v>
      </c>
      <c r="AH335" s="305" t="s">
        <v>423</v>
      </c>
      <c r="AI335" s="305" t="s">
        <v>422</v>
      </c>
      <c r="AJ335" s="305" t="s">
        <v>423</v>
      </c>
      <c r="AK335" s="305" t="s">
        <v>423</v>
      </c>
      <c r="AL335" s="306" t="s">
        <v>138</v>
      </c>
      <c r="AM335" s="35"/>
      <c r="AN335" s="35"/>
    </row>
    <row r="336" spans="1:40" ht="15" customHeight="1" x14ac:dyDescent="0.3">
      <c r="A336" s="185">
        <v>309</v>
      </c>
      <c r="B336" s="230" t="s">
        <v>1537</v>
      </c>
      <c r="C336" s="247" t="s">
        <v>1615</v>
      </c>
      <c r="D336" s="199" t="s">
        <v>1881</v>
      </c>
      <c r="E336" s="370" t="s">
        <v>1596</v>
      </c>
      <c r="F336" s="383" t="s">
        <v>1597</v>
      </c>
      <c r="G336" s="370" t="s">
        <v>1604</v>
      </c>
      <c r="H336" s="248" t="s">
        <v>422</v>
      </c>
      <c r="I336" s="356">
        <v>2</v>
      </c>
      <c r="J336" s="317">
        <v>10</v>
      </c>
      <c r="K336" s="317">
        <v>0</v>
      </c>
      <c r="L336" s="212">
        <v>1.5</v>
      </c>
      <c r="M336" s="212">
        <f t="shared" si="48"/>
        <v>13.5</v>
      </c>
      <c r="N336" s="212">
        <f t="shared" si="49"/>
        <v>16</v>
      </c>
      <c r="O336" s="212">
        <f t="shared" si="50"/>
        <v>40</v>
      </c>
      <c r="P336" s="212">
        <f t="shared" si="51"/>
        <v>0</v>
      </c>
      <c r="Q336" s="212">
        <f t="shared" si="52"/>
        <v>12</v>
      </c>
      <c r="R336" s="212">
        <f t="shared" si="53"/>
        <v>68</v>
      </c>
      <c r="S336" s="384" t="s">
        <v>1539</v>
      </c>
      <c r="T336" s="384" t="s">
        <v>1032</v>
      </c>
      <c r="U336" s="280">
        <v>120</v>
      </c>
      <c r="V336" s="280">
        <v>120</v>
      </c>
      <c r="W336" s="280">
        <v>120</v>
      </c>
      <c r="X336" s="374">
        <v>44123</v>
      </c>
      <c r="Y336" s="374">
        <v>44185</v>
      </c>
      <c r="Z336" s="374">
        <v>44389</v>
      </c>
      <c r="AA336" s="273">
        <f t="shared" si="54"/>
        <v>2021</v>
      </c>
      <c r="AB336" s="273">
        <f t="shared" si="55"/>
        <v>7</v>
      </c>
      <c r="AC336" s="305" t="s">
        <v>920</v>
      </c>
      <c r="AD336" s="278" t="s">
        <v>422</v>
      </c>
      <c r="AE336" s="278" t="s">
        <v>422</v>
      </c>
      <c r="AF336" s="278" t="s">
        <v>422</v>
      </c>
      <c r="AG336" s="278" t="s">
        <v>422</v>
      </c>
      <c r="AH336" s="278" t="s">
        <v>422</v>
      </c>
      <c r="AI336" s="278" t="s">
        <v>423</v>
      </c>
      <c r="AJ336" s="278" t="s">
        <v>422</v>
      </c>
      <c r="AK336" s="278" t="s">
        <v>423</v>
      </c>
      <c r="AL336" s="279" t="s">
        <v>1372</v>
      </c>
      <c r="AM336" s="241"/>
      <c r="AN336" s="241"/>
    </row>
    <row r="337" spans="1:40" ht="15" customHeight="1" x14ac:dyDescent="0.3">
      <c r="A337" s="185">
        <v>310</v>
      </c>
      <c r="B337" s="230" t="s">
        <v>1538</v>
      </c>
      <c r="C337" s="247" t="s">
        <v>1615</v>
      </c>
      <c r="D337" s="199" t="s">
        <v>1881</v>
      </c>
      <c r="E337" s="370" t="s">
        <v>1596</v>
      </c>
      <c r="F337" s="383" t="s">
        <v>1597</v>
      </c>
      <c r="G337" s="370" t="s">
        <v>1604</v>
      </c>
      <c r="H337" s="248" t="s">
        <v>422</v>
      </c>
      <c r="I337" s="356">
        <v>2</v>
      </c>
      <c r="J337" s="317">
        <v>7</v>
      </c>
      <c r="K337" s="317">
        <v>0</v>
      </c>
      <c r="L337" s="212">
        <v>1</v>
      </c>
      <c r="M337" s="212">
        <f t="shared" si="48"/>
        <v>10</v>
      </c>
      <c r="N337" s="212">
        <f t="shared" si="49"/>
        <v>16</v>
      </c>
      <c r="O337" s="212">
        <f t="shared" si="50"/>
        <v>28</v>
      </c>
      <c r="P337" s="212">
        <f t="shared" si="51"/>
        <v>0</v>
      </c>
      <c r="Q337" s="212">
        <f t="shared" si="52"/>
        <v>8</v>
      </c>
      <c r="R337" s="212">
        <f t="shared" si="53"/>
        <v>52</v>
      </c>
      <c r="S337" s="384" t="s">
        <v>1540</v>
      </c>
      <c r="T337" s="384" t="s">
        <v>1541</v>
      </c>
      <c r="U337" s="280">
        <v>170</v>
      </c>
      <c r="V337" s="280">
        <v>170</v>
      </c>
      <c r="W337" s="280">
        <v>170</v>
      </c>
      <c r="X337" s="374">
        <v>44286</v>
      </c>
      <c r="Y337" s="374">
        <v>44317</v>
      </c>
      <c r="Z337" s="374">
        <v>44389</v>
      </c>
      <c r="AA337" s="273">
        <f t="shared" si="54"/>
        <v>2021</v>
      </c>
      <c r="AB337" s="273">
        <f t="shared" si="55"/>
        <v>7</v>
      </c>
      <c r="AC337" s="305" t="s">
        <v>920</v>
      </c>
      <c r="AD337" s="278" t="s">
        <v>422</v>
      </c>
      <c r="AE337" s="278" t="s">
        <v>422</v>
      </c>
      <c r="AF337" s="278" t="s">
        <v>422</v>
      </c>
      <c r="AG337" s="278" t="s">
        <v>422</v>
      </c>
      <c r="AH337" s="278" t="s">
        <v>422</v>
      </c>
      <c r="AI337" s="278" t="s">
        <v>423</v>
      </c>
      <c r="AJ337" s="278" t="s">
        <v>422</v>
      </c>
      <c r="AK337" s="278" t="s">
        <v>423</v>
      </c>
      <c r="AL337" s="279" t="s">
        <v>1372</v>
      </c>
      <c r="AM337" s="241"/>
      <c r="AN337" s="241"/>
    </row>
    <row r="338" spans="1:40" ht="15" customHeight="1" x14ac:dyDescent="0.3">
      <c r="A338" s="185">
        <v>311</v>
      </c>
      <c r="B338" s="230" t="s">
        <v>1619</v>
      </c>
      <c r="C338" s="247" t="s">
        <v>1615</v>
      </c>
      <c r="D338" s="199" t="s">
        <v>1881</v>
      </c>
      <c r="E338" s="370" t="s">
        <v>1596</v>
      </c>
      <c r="F338" s="383" t="s">
        <v>1597</v>
      </c>
      <c r="G338" s="370" t="s">
        <v>1604</v>
      </c>
      <c r="H338" s="248" t="s">
        <v>422</v>
      </c>
      <c r="I338" s="356">
        <v>2</v>
      </c>
      <c r="J338" s="317">
        <v>6.5</v>
      </c>
      <c r="K338" s="317">
        <v>0</v>
      </c>
      <c r="L338" s="212">
        <v>1</v>
      </c>
      <c r="M338" s="212">
        <f t="shared" si="48"/>
        <v>9.5</v>
      </c>
      <c r="N338" s="212">
        <f t="shared" si="49"/>
        <v>16</v>
      </c>
      <c r="O338" s="212">
        <f t="shared" si="50"/>
        <v>26</v>
      </c>
      <c r="P338" s="212">
        <f t="shared" si="51"/>
        <v>0</v>
      </c>
      <c r="Q338" s="212">
        <f t="shared" si="52"/>
        <v>8</v>
      </c>
      <c r="R338" s="212">
        <f t="shared" si="53"/>
        <v>50</v>
      </c>
      <c r="S338" s="384" t="s">
        <v>1542</v>
      </c>
      <c r="T338" s="384" t="s">
        <v>1541</v>
      </c>
      <c r="U338" s="280">
        <v>56</v>
      </c>
      <c r="V338" s="280">
        <v>56</v>
      </c>
      <c r="W338" s="280">
        <v>56</v>
      </c>
      <c r="X338" s="374">
        <v>44286</v>
      </c>
      <c r="Y338" s="374">
        <v>44317</v>
      </c>
      <c r="Z338" s="374">
        <v>44389</v>
      </c>
      <c r="AA338" s="273">
        <f t="shared" si="54"/>
        <v>2021</v>
      </c>
      <c r="AB338" s="273">
        <f t="shared" si="55"/>
        <v>7</v>
      </c>
      <c r="AC338" s="305" t="s">
        <v>920</v>
      </c>
      <c r="AD338" s="278" t="s">
        <v>422</v>
      </c>
      <c r="AE338" s="278" t="s">
        <v>422</v>
      </c>
      <c r="AF338" s="278" t="s">
        <v>422</v>
      </c>
      <c r="AG338" s="278" t="s">
        <v>422</v>
      </c>
      <c r="AH338" s="278" t="s">
        <v>422</v>
      </c>
      <c r="AI338" s="278" t="s">
        <v>423</v>
      </c>
      <c r="AJ338" s="278" t="s">
        <v>422</v>
      </c>
      <c r="AK338" s="278" t="s">
        <v>423</v>
      </c>
      <c r="AL338" s="279" t="s">
        <v>1372</v>
      </c>
      <c r="AM338" s="241"/>
      <c r="AN338" s="241"/>
    </row>
    <row r="339" spans="1:40" ht="15" customHeight="1" x14ac:dyDescent="0.3">
      <c r="A339" s="185">
        <v>320</v>
      </c>
      <c r="B339" s="230" t="s">
        <v>1501</v>
      </c>
      <c r="C339" s="247" t="s">
        <v>1615</v>
      </c>
      <c r="D339" s="199" t="s">
        <v>1881</v>
      </c>
      <c r="E339" s="383"/>
      <c r="F339" s="383" t="s">
        <v>1597</v>
      </c>
      <c r="G339" s="370" t="s">
        <v>1604</v>
      </c>
      <c r="H339" s="248" t="s">
        <v>422</v>
      </c>
      <c r="I339" s="356">
        <v>2</v>
      </c>
      <c r="J339" s="317">
        <v>4.5</v>
      </c>
      <c r="K339" s="317">
        <v>0</v>
      </c>
      <c r="L339" s="212">
        <v>1</v>
      </c>
      <c r="M339" s="212">
        <f t="shared" si="48"/>
        <v>7.5</v>
      </c>
      <c r="N339" s="212">
        <f t="shared" si="49"/>
        <v>16</v>
      </c>
      <c r="O339" s="212">
        <f t="shared" si="50"/>
        <v>18</v>
      </c>
      <c r="P339" s="212">
        <f t="shared" si="51"/>
        <v>0</v>
      </c>
      <c r="Q339" s="212">
        <f t="shared" si="52"/>
        <v>8</v>
      </c>
      <c r="R339" s="212">
        <f t="shared" si="53"/>
        <v>42</v>
      </c>
      <c r="S339" s="384" t="s">
        <v>1508</v>
      </c>
      <c r="T339" s="384" t="s">
        <v>1509</v>
      </c>
      <c r="U339" s="280">
        <v>104</v>
      </c>
      <c r="V339" s="280">
        <v>98</v>
      </c>
      <c r="W339" s="280">
        <v>98</v>
      </c>
      <c r="X339" s="374">
        <v>44244</v>
      </c>
      <c r="Y339" s="374">
        <v>44317</v>
      </c>
      <c r="Z339" s="276">
        <v>44389</v>
      </c>
      <c r="AA339" s="273">
        <f t="shared" si="54"/>
        <v>2021</v>
      </c>
      <c r="AB339" s="273">
        <f t="shared" si="55"/>
        <v>7</v>
      </c>
      <c r="AC339" s="278" t="s">
        <v>920</v>
      </c>
      <c r="AD339" s="278" t="s">
        <v>422</v>
      </c>
      <c r="AE339" s="278" t="s">
        <v>422</v>
      </c>
      <c r="AF339" s="278" t="s">
        <v>422</v>
      </c>
      <c r="AG339" s="278" t="s">
        <v>422</v>
      </c>
      <c r="AH339" s="278" t="s">
        <v>422</v>
      </c>
      <c r="AI339" s="278" t="s">
        <v>423</v>
      </c>
      <c r="AJ339" s="278" t="s">
        <v>422</v>
      </c>
      <c r="AK339" s="278" t="s">
        <v>423</v>
      </c>
      <c r="AL339" s="279" t="s">
        <v>1240</v>
      </c>
      <c r="AM339" s="241"/>
      <c r="AN339" s="241"/>
    </row>
    <row r="340" spans="1:40" ht="15" customHeight="1" x14ac:dyDescent="0.3">
      <c r="A340" s="185">
        <v>321</v>
      </c>
      <c r="B340" s="230" t="s">
        <v>1502</v>
      </c>
      <c r="C340" s="247" t="s">
        <v>1615</v>
      </c>
      <c r="D340" s="199" t="s">
        <v>1881</v>
      </c>
      <c r="E340" s="383"/>
      <c r="F340" s="383" t="s">
        <v>1597</v>
      </c>
      <c r="G340" s="370" t="s">
        <v>1604</v>
      </c>
      <c r="H340" s="248" t="s">
        <v>1596</v>
      </c>
      <c r="I340" s="356">
        <v>2</v>
      </c>
      <c r="J340" s="317">
        <v>4</v>
      </c>
      <c r="K340" s="317">
        <v>0</v>
      </c>
      <c r="L340" s="212">
        <v>1</v>
      </c>
      <c r="M340" s="212">
        <f t="shared" si="48"/>
        <v>7</v>
      </c>
      <c r="N340" s="212">
        <f t="shared" si="49"/>
        <v>16</v>
      </c>
      <c r="O340" s="212">
        <f t="shared" si="50"/>
        <v>16</v>
      </c>
      <c r="P340" s="212">
        <f t="shared" si="51"/>
        <v>0</v>
      </c>
      <c r="Q340" s="212">
        <f t="shared" si="52"/>
        <v>8</v>
      </c>
      <c r="R340" s="212">
        <f t="shared" si="53"/>
        <v>40</v>
      </c>
      <c r="S340" s="384" t="s">
        <v>1510</v>
      </c>
      <c r="T340" s="384" t="s">
        <v>1511</v>
      </c>
      <c r="U340" s="280">
        <f>61*2</f>
        <v>122</v>
      </c>
      <c r="V340" s="280">
        <v>116</v>
      </c>
      <c r="W340" s="280">
        <v>116</v>
      </c>
      <c r="X340" s="374">
        <v>44244</v>
      </c>
      <c r="Y340" s="374">
        <v>44317</v>
      </c>
      <c r="Z340" s="276">
        <v>44389</v>
      </c>
      <c r="AA340" s="273">
        <f t="shared" si="54"/>
        <v>2021</v>
      </c>
      <c r="AB340" s="273">
        <f t="shared" si="55"/>
        <v>7</v>
      </c>
      <c r="AC340" s="278" t="s">
        <v>920</v>
      </c>
      <c r="AD340" s="278" t="s">
        <v>422</v>
      </c>
      <c r="AE340" s="278" t="s">
        <v>423</v>
      </c>
      <c r="AF340" s="278" t="s">
        <v>422</v>
      </c>
      <c r="AG340" s="278" t="s">
        <v>422</v>
      </c>
      <c r="AH340" s="278" t="s">
        <v>423</v>
      </c>
      <c r="AI340" s="278" t="s">
        <v>423</v>
      </c>
      <c r="AJ340" s="278" t="s">
        <v>423</v>
      </c>
      <c r="AK340" s="278" t="s">
        <v>423</v>
      </c>
      <c r="AL340" s="279" t="s">
        <v>138</v>
      </c>
      <c r="AM340" s="241"/>
      <c r="AN340" s="241"/>
    </row>
    <row r="341" spans="1:40" ht="15" customHeight="1" x14ac:dyDescent="0.3">
      <c r="A341" s="185">
        <v>341</v>
      </c>
      <c r="B341" s="247" t="s">
        <v>1750</v>
      </c>
      <c r="C341" s="247" t="s">
        <v>1615</v>
      </c>
      <c r="D341" s="199" t="s">
        <v>1881</v>
      </c>
      <c r="E341" s="282"/>
      <c r="F341" s="282" t="s">
        <v>1601</v>
      </c>
      <c r="G341" s="370" t="s">
        <v>1604</v>
      </c>
      <c r="H341" s="248" t="s">
        <v>422</v>
      </c>
      <c r="I341" s="317">
        <v>1</v>
      </c>
      <c r="J341" s="317">
        <v>6.5</v>
      </c>
      <c r="K341" s="317">
        <v>0</v>
      </c>
      <c r="L341" s="212">
        <v>1</v>
      </c>
      <c r="M341" s="212">
        <f t="shared" si="48"/>
        <v>8.5</v>
      </c>
      <c r="N341" s="212">
        <f t="shared" si="49"/>
        <v>8</v>
      </c>
      <c r="O341" s="212">
        <f t="shared" si="50"/>
        <v>26</v>
      </c>
      <c r="P341" s="212">
        <f t="shared" si="51"/>
        <v>0</v>
      </c>
      <c r="Q341" s="212">
        <f t="shared" si="52"/>
        <v>8</v>
      </c>
      <c r="R341" s="212">
        <f t="shared" si="53"/>
        <v>42</v>
      </c>
      <c r="S341" s="312" t="s">
        <v>1624</v>
      </c>
      <c r="T341" s="313" t="s">
        <v>1825</v>
      </c>
      <c r="U341" s="280">
        <v>97</v>
      </c>
      <c r="V341" s="273">
        <f>103-2</f>
        <v>101</v>
      </c>
      <c r="W341" s="273">
        <f>103-2</f>
        <v>101</v>
      </c>
      <c r="X341" s="276">
        <v>44307</v>
      </c>
      <c r="Y341" s="277">
        <v>44392</v>
      </c>
      <c r="Z341" s="277">
        <v>44389</v>
      </c>
      <c r="AA341" s="273">
        <f t="shared" si="54"/>
        <v>2021</v>
      </c>
      <c r="AB341" s="273">
        <f t="shared" si="55"/>
        <v>7</v>
      </c>
      <c r="AC341" s="278" t="s">
        <v>920</v>
      </c>
      <c r="AD341" s="278" t="s">
        <v>422</v>
      </c>
      <c r="AE341" s="278" t="s">
        <v>422</v>
      </c>
      <c r="AF341" s="278" t="s">
        <v>422</v>
      </c>
      <c r="AG341" s="278" t="s">
        <v>422</v>
      </c>
      <c r="AH341" s="278" t="s">
        <v>423</v>
      </c>
      <c r="AI341" s="278" t="s">
        <v>422</v>
      </c>
      <c r="AJ341" s="278" t="s">
        <v>423</v>
      </c>
      <c r="AK341" s="278" t="s">
        <v>422</v>
      </c>
      <c r="AL341" s="279" t="s">
        <v>1240</v>
      </c>
      <c r="AM341" s="29"/>
      <c r="AN341" s="29" t="s">
        <v>1756</v>
      </c>
    </row>
    <row r="342" spans="1:40" ht="15" customHeight="1" x14ac:dyDescent="0.3">
      <c r="A342" s="185">
        <v>346</v>
      </c>
      <c r="B342" s="326" t="s">
        <v>1894</v>
      </c>
      <c r="C342" s="247" t="s">
        <v>1615</v>
      </c>
      <c r="D342" s="199" t="s">
        <v>1881</v>
      </c>
      <c r="E342" s="282"/>
      <c r="F342" s="282" t="s">
        <v>1597</v>
      </c>
      <c r="G342" s="370" t="s">
        <v>1604</v>
      </c>
      <c r="H342" s="248" t="s">
        <v>422</v>
      </c>
      <c r="I342" s="317">
        <v>2</v>
      </c>
      <c r="J342" s="317">
        <v>9.8000000000000007</v>
      </c>
      <c r="K342" s="317">
        <v>0</v>
      </c>
      <c r="L342" s="212">
        <v>1.5</v>
      </c>
      <c r="M342" s="212">
        <f t="shared" si="48"/>
        <v>13.3</v>
      </c>
      <c r="N342" s="212">
        <f t="shared" si="49"/>
        <v>16</v>
      </c>
      <c r="O342" s="212">
        <f t="shared" si="50"/>
        <v>39.200000000000003</v>
      </c>
      <c r="P342" s="212">
        <f t="shared" si="51"/>
        <v>0</v>
      </c>
      <c r="Q342" s="212">
        <f t="shared" si="52"/>
        <v>12</v>
      </c>
      <c r="R342" s="212">
        <f t="shared" si="53"/>
        <v>67.2</v>
      </c>
      <c r="S342" s="283" t="s">
        <v>1627</v>
      </c>
      <c r="T342" s="284" t="s">
        <v>1824</v>
      </c>
      <c r="U342" s="280">
        <v>118</v>
      </c>
      <c r="V342" s="273">
        <v>121</v>
      </c>
      <c r="W342" s="273">
        <v>121</v>
      </c>
      <c r="X342" s="276">
        <v>44307</v>
      </c>
      <c r="Y342" s="277">
        <v>44392</v>
      </c>
      <c r="Z342" s="277">
        <v>44389</v>
      </c>
      <c r="AA342" s="273">
        <f t="shared" si="54"/>
        <v>2021</v>
      </c>
      <c r="AB342" s="273">
        <f t="shared" si="55"/>
        <v>7</v>
      </c>
      <c r="AC342" s="278" t="s">
        <v>920</v>
      </c>
      <c r="AD342" s="278" t="s">
        <v>422</v>
      </c>
      <c r="AE342" s="278" t="s">
        <v>422</v>
      </c>
      <c r="AF342" s="278" t="s">
        <v>422</v>
      </c>
      <c r="AG342" s="278" t="s">
        <v>422</v>
      </c>
      <c r="AH342" s="278" t="s">
        <v>422</v>
      </c>
      <c r="AI342" s="278" t="s">
        <v>423</v>
      </c>
      <c r="AJ342" s="278" t="s">
        <v>422</v>
      </c>
      <c r="AK342" s="278" t="s">
        <v>423</v>
      </c>
      <c r="AL342" s="279" t="s">
        <v>1240</v>
      </c>
      <c r="AM342" s="29"/>
      <c r="AN342" s="29" t="s">
        <v>1821</v>
      </c>
    </row>
    <row r="343" spans="1:40" ht="15" customHeight="1" x14ac:dyDescent="0.3">
      <c r="A343" s="185">
        <v>350</v>
      </c>
      <c r="B343" s="326" t="s">
        <v>1633</v>
      </c>
      <c r="C343" s="247" t="s">
        <v>1615</v>
      </c>
      <c r="D343" s="200" t="s">
        <v>1881</v>
      </c>
      <c r="E343" s="230"/>
      <c r="F343" s="274" t="s">
        <v>1597</v>
      </c>
      <c r="G343" s="370" t="s">
        <v>1604</v>
      </c>
      <c r="H343" s="248" t="s">
        <v>422</v>
      </c>
      <c r="I343" s="317">
        <v>2</v>
      </c>
      <c r="J343" s="248">
        <v>15</v>
      </c>
      <c r="K343" s="248">
        <v>0</v>
      </c>
      <c r="L343" s="212">
        <v>1</v>
      </c>
      <c r="M343" s="212">
        <f t="shared" si="48"/>
        <v>18</v>
      </c>
      <c r="N343" s="212">
        <f t="shared" si="49"/>
        <v>16</v>
      </c>
      <c r="O343" s="212">
        <f t="shared" si="50"/>
        <v>60</v>
      </c>
      <c r="P343" s="212">
        <f t="shared" si="51"/>
        <v>0</v>
      </c>
      <c r="Q343" s="212">
        <f t="shared" si="52"/>
        <v>8</v>
      </c>
      <c r="R343" s="212">
        <f t="shared" si="53"/>
        <v>84</v>
      </c>
      <c r="S343" s="286" t="s">
        <v>1634</v>
      </c>
      <c r="T343" s="287" t="s">
        <v>1299</v>
      </c>
      <c r="U343" s="280">
        <v>104</v>
      </c>
      <c r="V343" s="280">
        <v>105</v>
      </c>
      <c r="W343" s="280">
        <v>105</v>
      </c>
      <c r="X343" s="276">
        <v>44307</v>
      </c>
      <c r="Y343" s="277">
        <v>44392</v>
      </c>
      <c r="Z343" s="374">
        <v>44389</v>
      </c>
      <c r="AA343" s="273">
        <f t="shared" si="54"/>
        <v>2021</v>
      </c>
      <c r="AB343" s="273">
        <f t="shared" si="55"/>
        <v>7</v>
      </c>
      <c r="AC343" s="305" t="s">
        <v>920</v>
      </c>
      <c r="AD343" s="278" t="s">
        <v>422</v>
      </c>
      <c r="AE343" s="278" t="s">
        <v>422</v>
      </c>
      <c r="AF343" s="278" t="s">
        <v>422</v>
      </c>
      <c r="AG343" s="278" t="s">
        <v>422</v>
      </c>
      <c r="AH343" s="278" t="s">
        <v>422</v>
      </c>
      <c r="AI343" s="278" t="s">
        <v>423</v>
      </c>
      <c r="AJ343" s="278" t="s">
        <v>423</v>
      </c>
      <c r="AK343" s="278" t="s">
        <v>423</v>
      </c>
      <c r="AL343" s="279" t="s">
        <v>1240</v>
      </c>
      <c r="AM343" s="241"/>
      <c r="AN343" s="242"/>
    </row>
    <row r="344" spans="1:40" s="309" customFormat="1" ht="15" customHeight="1" x14ac:dyDescent="0.3">
      <c r="A344" s="185">
        <v>351</v>
      </c>
      <c r="B344" s="326" t="s">
        <v>1635</v>
      </c>
      <c r="C344" s="281" t="s">
        <v>1615</v>
      </c>
      <c r="D344" s="200" t="s">
        <v>1881</v>
      </c>
      <c r="E344" s="383"/>
      <c r="F344" s="383" t="s">
        <v>1597</v>
      </c>
      <c r="G344" s="370" t="s">
        <v>1604</v>
      </c>
      <c r="H344" s="248"/>
      <c r="I344" s="317">
        <v>2</v>
      </c>
      <c r="J344" s="317">
        <v>14</v>
      </c>
      <c r="K344" s="317">
        <v>0</v>
      </c>
      <c r="L344" s="212">
        <v>1</v>
      </c>
      <c r="M344" s="212">
        <f t="shared" si="48"/>
        <v>17</v>
      </c>
      <c r="N344" s="212">
        <f t="shared" si="49"/>
        <v>16</v>
      </c>
      <c r="O344" s="212">
        <f t="shared" si="50"/>
        <v>56</v>
      </c>
      <c r="P344" s="212">
        <f t="shared" si="51"/>
        <v>0</v>
      </c>
      <c r="Q344" s="212">
        <f t="shared" si="52"/>
        <v>8</v>
      </c>
      <c r="R344" s="212">
        <f t="shared" si="53"/>
        <v>80</v>
      </c>
      <c r="S344" s="283" t="s">
        <v>1636</v>
      </c>
      <c r="T344" s="284" t="s">
        <v>1637</v>
      </c>
      <c r="U344" s="280">
        <v>16</v>
      </c>
      <c r="V344" s="280">
        <v>17</v>
      </c>
      <c r="W344" s="280">
        <v>17</v>
      </c>
      <c r="X344" s="276">
        <v>44307</v>
      </c>
      <c r="Y344" s="277">
        <v>44392</v>
      </c>
      <c r="Z344" s="374">
        <v>44389</v>
      </c>
      <c r="AA344" s="273">
        <f t="shared" si="54"/>
        <v>2021</v>
      </c>
      <c r="AB344" s="273">
        <f t="shared" si="55"/>
        <v>7</v>
      </c>
      <c r="AC344" s="305" t="s">
        <v>920</v>
      </c>
      <c r="AD344" s="278" t="s">
        <v>422</v>
      </c>
      <c r="AE344" s="278" t="s">
        <v>422</v>
      </c>
      <c r="AF344" s="278" t="s">
        <v>422</v>
      </c>
      <c r="AG344" s="278" t="s">
        <v>422</v>
      </c>
      <c r="AH344" s="278" t="s">
        <v>422</v>
      </c>
      <c r="AI344" s="278" t="s">
        <v>423</v>
      </c>
      <c r="AJ344" s="278" t="s">
        <v>422</v>
      </c>
      <c r="AK344" s="278" t="s">
        <v>423</v>
      </c>
      <c r="AL344" s="279" t="s">
        <v>1240</v>
      </c>
      <c r="AM344" s="241"/>
      <c r="AN344" s="242"/>
    </row>
    <row r="345" spans="1:40" s="309" customFormat="1" ht="15" customHeight="1" x14ac:dyDescent="0.3">
      <c r="A345" s="185">
        <v>357</v>
      </c>
      <c r="B345" s="326" t="s">
        <v>1653</v>
      </c>
      <c r="C345" s="281" t="s">
        <v>1615</v>
      </c>
      <c r="D345" s="200" t="s">
        <v>1881</v>
      </c>
      <c r="E345" s="383"/>
      <c r="F345" s="383" t="s">
        <v>1777</v>
      </c>
      <c r="G345" s="370" t="s">
        <v>1604</v>
      </c>
      <c r="H345" s="248" t="s">
        <v>422</v>
      </c>
      <c r="I345" s="317">
        <v>1</v>
      </c>
      <c r="J345" s="317">
        <v>5.2</v>
      </c>
      <c r="K345" s="317">
        <v>0</v>
      </c>
      <c r="L345" s="212">
        <v>1</v>
      </c>
      <c r="M345" s="212">
        <f t="shared" si="48"/>
        <v>7.2</v>
      </c>
      <c r="N345" s="212">
        <f t="shared" si="49"/>
        <v>8</v>
      </c>
      <c r="O345" s="212">
        <f t="shared" si="50"/>
        <v>20.8</v>
      </c>
      <c r="P345" s="212">
        <f t="shared" si="51"/>
        <v>0</v>
      </c>
      <c r="Q345" s="212">
        <f t="shared" si="52"/>
        <v>8</v>
      </c>
      <c r="R345" s="212">
        <f t="shared" si="53"/>
        <v>36.799999999999997</v>
      </c>
      <c r="S345" s="283" t="s">
        <v>1654</v>
      </c>
      <c r="T345" s="284" t="s">
        <v>1304</v>
      </c>
      <c r="U345" s="280">
        <v>200</v>
      </c>
      <c r="V345" s="280">
        <v>200</v>
      </c>
      <c r="W345" s="280">
        <v>200</v>
      </c>
      <c r="X345" s="276">
        <v>44314</v>
      </c>
      <c r="Y345" s="277">
        <v>44362</v>
      </c>
      <c r="Z345" s="276">
        <v>44389</v>
      </c>
      <c r="AA345" s="273">
        <f t="shared" si="54"/>
        <v>2021</v>
      </c>
      <c r="AB345" s="273">
        <f t="shared" si="55"/>
        <v>7</v>
      </c>
      <c r="AC345" s="278" t="s">
        <v>920</v>
      </c>
      <c r="AD345" s="278" t="s">
        <v>422</v>
      </c>
      <c r="AE345" s="278" t="s">
        <v>422</v>
      </c>
      <c r="AF345" s="278" t="s">
        <v>422</v>
      </c>
      <c r="AG345" s="278" t="s">
        <v>422</v>
      </c>
      <c r="AH345" s="278" t="s">
        <v>422</v>
      </c>
      <c r="AI345" s="278" t="s">
        <v>423</v>
      </c>
      <c r="AJ345" s="278" t="s">
        <v>422</v>
      </c>
      <c r="AK345" s="278" t="s">
        <v>423</v>
      </c>
      <c r="AL345" s="279" t="s">
        <v>140</v>
      </c>
      <c r="AM345" s="241"/>
      <c r="AN345" s="242"/>
    </row>
    <row r="346" spans="1:40" s="309" customFormat="1" ht="15" customHeight="1" x14ac:dyDescent="0.3">
      <c r="A346" s="185">
        <v>367</v>
      </c>
      <c r="B346" s="326" t="s">
        <v>1681</v>
      </c>
      <c r="C346" s="281" t="s">
        <v>1615</v>
      </c>
      <c r="D346" s="200" t="s">
        <v>1881</v>
      </c>
      <c r="E346" s="383"/>
      <c r="F346" s="383" t="s">
        <v>1597</v>
      </c>
      <c r="G346" s="370" t="s">
        <v>1604</v>
      </c>
      <c r="H346" s="248" t="s">
        <v>422</v>
      </c>
      <c r="I346" s="317">
        <v>2</v>
      </c>
      <c r="J346" s="317">
        <v>10.5</v>
      </c>
      <c r="K346" s="317">
        <v>0</v>
      </c>
      <c r="L346" s="212">
        <v>1.5</v>
      </c>
      <c r="M346" s="212">
        <f t="shared" si="48"/>
        <v>14</v>
      </c>
      <c r="N346" s="212">
        <f t="shared" si="49"/>
        <v>16</v>
      </c>
      <c r="O346" s="212">
        <f t="shared" si="50"/>
        <v>42</v>
      </c>
      <c r="P346" s="212">
        <f t="shared" si="51"/>
        <v>0</v>
      </c>
      <c r="Q346" s="212">
        <f t="shared" si="52"/>
        <v>12</v>
      </c>
      <c r="R346" s="212">
        <f t="shared" si="53"/>
        <v>70</v>
      </c>
      <c r="S346" s="353" t="s">
        <v>1685</v>
      </c>
      <c r="T346" s="284" t="s">
        <v>1326</v>
      </c>
      <c r="U346" s="280">
        <v>129</v>
      </c>
      <c r="V346" s="280">
        <v>129</v>
      </c>
      <c r="W346" s="280">
        <v>129</v>
      </c>
      <c r="X346" s="276">
        <v>44343</v>
      </c>
      <c r="Y346" s="277">
        <v>44392</v>
      </c>
      <c r="Z346" s="276">
        <v>44389</v>
      </c>
      <c r="AA346" s="273">
        <f t="shared" si="54"/>
        <v>2021</v>
      </c>
      <c r="AB346" s="273">
        <f t="shared" si="55"/>
        <v>7</v>
      </c>
      <c r="AC346" s="278" t="s">
        <v>920</v>
      </c>
      <c r="AD346" s="278" t="s">
        <v>422</v>
      </c>
      <c r="AE346" s="291" t="s">
        <v>422</v>
      </c>
      <c r="AF346" s="291" t="s">
        <v>422</v>
      </c>
      <c r="AG346" s="291" t="s">
        <v>422</v>
      </c>
      <c r="AH346" s="291" t="s">
        <v>422</v>
      </c>
      <c r="AI346" s="291" t="s">
        <v>423</v>
      </c>
      <c r="AJ346" s="291" t="s">
        <v>422</v>
      </c>
      <c r="AK346" s="291" t="s">
        <v>423</v>
      </c>
      <c r="AL346" s="279" t="s">
        <v>140</v>
      </c>
      <c r="AM346" s="241"/>
      <c r="AN346" s="242"/>
    </row>
    <row r="347" spans="1:40" s="309" customFormat="1" ht="15" customHeight="1" x14ac:dyDescent="0.3">
      <c r="A347" s="185">
        <v>368</v>
      </c>
      <c r="B347" s="326" t="s">
        <v>1682</v>
      </c>
      <c r="C347" s="281" t="s">
        <v>1615</v>
      </c>
      <c r="D347" s="200" t="s">
        <v>1881</v>
      </c>
      <c r="E347" s="383"/>
      <c r="F347" s="383" t="s">
        <v>1597</v>
      </c>
      <c r="G347" s="370" t="s">
        <v>1604</v>
      </c>
      <c r="H347" s="248" t="s">
        <v>422</v>
      </c>
      <c r="I347" s="317">
        <v>2</v>
      </c>
      <c r="J347" s="317">
        <v>10.5</v>
      </c>
      <c r="K347" s="317">
        <v>0</v>
      </c>
      <c r="L347" s="212">
        <v>1.5</v>
      </c>
      <c r="M347" s="212">
        <f t="shared" si="48"/>
        <v>14</v>
      </c>
      <c r="N347" s="212">
        <f t="shared" si="49"/>
        <v>16</v>
      </c>
      <c r="O347" s="212">
        <f t="shared" si="50"/>
        <v>42</v>
      </c>
      <c r="P347" s="212">
        <f t="shared" si="51"/>
        <v>0</v>
      </c>
      <c r="Q347" s="212">
        <f t="shared" si="52"/>
        <v>12</v>
      </c>
      <c r="R347" s="212">
        <f t="shared" si="53"/>
        <v>70</v>
      </c>
      <c r="S347" s="353" t="s">
        <v>1686</v>
      </c>
      <c r="T347" s="284" t="s">
        <v>1687</v>
      </c>
      <c r="U347" s="280">
        <v>76</v>
      </c>
      <c r="V347" s="280">
        <v>76</v>
      </c>
      <c r="W347" s="280">
        <v>76</v>
      </c>
      <c r="X347" s="276">
        <v>44343</v>
      </c>
      <c r="Y347" s="277">
        <v>44397</v>
      </c>
      <c r="Z347" s="276">
        <v>44389</v>
      </c>
      <c r="AA347" s="273">
        <f t="shared" si="54"/>
        <v>2021</v>
      </c>
      <c r="AB347" s="273">
        <f t="shared" si="55"/>
        <v>7</v>
      </c>
      <c r="AC347" s="278" t="s">
        <v>920</v>
      </c>
      <c r="AD347" s="278" t="s">
        <v>422</v>
      </c>
      <c r="AE347" s="291" t="s">
        <v>422</v>
      </c>
      <c r="AF347" s="291" t="s">
        <v>422</v>
      </c>
      <c r="AG347" s="291" t="s">
        <v>422</v>
      </c>
      <c r="AH347" s="291" t="s">
        <v>422</v>
      </c>
      <c r="AI347" s="291" t="s">
        <v>423</v>
      </c>
      <c r="AJ347" s="291" t="s">
        <v>422</v>
      </c>
      <c r="AK347" s="291" t="s">
        <v>423</v>
      </c>
      <c r="AL347" s="279" t="s">
        <v>140</v>
      </c>
      <c r="AM347" s="241"/>
      <c r="AN347" s="242"/>
    </row>
    <row r="348" spans="1:40" s="309" customFormat="1" ht="15" customHeight="1" x14ac:dyDescent="0.3">
      <c r="A348" s="185">
        <v>369</v>
      </c>
      <c r="B348" s="326" t="s">
        <v>1683</v>
      </c>
      <c r="C348" s="281" t="s">
        <v>1615</v>
      </c>
      <c r="D348" s="200" t="s">
        <v>1881</v>
      </c>
      <c r="E348" s="383"/>
      <c r="F348" s="383" t="s">
        <v>1597</v>
      </c>
      <c r="G348" s="370" t="s">
        <v>1604</v>
      </c>
      <c r="H348" s="248" t="s">
        <v>422</v>
      </c>
      <c r="I348" s="317">
        <v>2</v>
      </c>
      <c r="J348" s="317">
        <v>7.8</v>
      </c>
      <c r="K348" s="317">
        <v>0</v>
      </c>
      <c r="L348" s="212">
        <v>1.5</v>
      </c>
      <c r="M348" s="212">
        <f t="shared" si="48"/>
        <v>11.3</v>
      </c>
      <c r="N348" s="212">
        <f t="shared" si="49"/>
        <v>16</v>
      </c>
      <c r="O348" s="212">
        <f t="shared" si="50"/>
        <v>31.2</v>
      </c>
      <c r="P348" s="212">
        <f t="shared" si="51"/>
        <v>0</v>
      </c>
      <c r="Q348" s="212">
        <f t="shared" si="52"/>
        <v>12</v>
      </c>
      <c r="R348" s="212">
        <f t="shared" si="53"/>
        <v>59.2</v>
      </c>
      <c r="S348" s="353" t="s">
        <v>1688</v>
      </c>
      <c r="T348" s="284" t="s">
        <v>1687</v>
      </c>
      <c r="U348" s="280">
        <v>60</v>
      </c>
      <c r="V348" s="280">
        <v>60</v>
      </c>
      <c r="W348" s="280">
        <v>60</v>
      </c>
      <c r="X348" s="276">
        <v>44343</v>
      </c>
      <c r="Y348" s="277">
        <v>44397</v>
      </c>
      <c r="Z348" s="276">
        <v>44389</v>
      </c>
      <c r="AA348" s="273">
        <f t="shared" si="54"/>
        <v>2021</v>
      </c>
      <c r="AB348" s="273">
        <f t="shared" si="55"/>
        <v>7</v>
      </c>
      <c r="AC348" s="278" t="s">
        <v>920</v>
      </c>
      <c r="AD348" s="278" t="s">
        <v>422</v>
      </c>
      <c r="AE348" s="291" t="s">
        <v>422</v>
      </c>
      <c r="AF348" s="291" t="s">
        <v>422</v>
      </c>
      <c r="AG348" s="291" t="s">
        <v>422</v>
      </c>
      <c r="AH348" s="291" t="s">
        <v>422</v>
      </c>
      <c r="AI348" s="291" t="s">
        <v>423</v>
      </c>
      <c r="AJ348" s="291" t="s">
        <v>422</v>
      </c>
      <c r="AK348" s="291" t="s">
        <v>423</v>
      </c>
      <c r="AL348" s="279" t="s">
        <v>140</v>
      </c>
      <c r="AM348" s="241"/>
      <c r="AN348" s="242"/>
    </row>
    <row r="349" spans="1:40" s="309" customFormat="1" ht="15" customHeight="1" x14ac:dyDescent="0.3">
      <c r="A349" s="185">
        <v>340</v>
      </c>
      <c r="B349" s="333" t="s">
        <v>1612</v>
      </c>
      <c r="C349" s="281" t="s">
        <v>1618</v>
      </c>
      <c r="D349" s="200" t="s">
        <v>1881</v>
      </c>
      <c r="E349" s="282" t="s">
        <v>1596</v>
      </c>
      <c r="F349" s="282" t="s">
        <v>1597</v>
      </c>
      <c r="G349" s="370" t="s">
        <v>1596</v>
      </c>
      <c r="H349" s="248" t="s">
        <v>422</v>
      </c>
      <c r="I349" s="317">
        <v>2</v>
      </c>
      <c r="J349" s="317">
        <v>6.4</v>
      </c>
      <c r="K349" s="317">
        <v>28</v>
      </c>
      <c r="L349" s="212">
        <v>1</v>
      </c>
      <c r="M349" s="212">
        <f t="shared" si="48"/>
        <v>37.4</v>
      </c>
      <c r="N349" s="212">
        <f t="shared" si="49"/>
        <v>16</v>
      </c>
      <c r="O349" s="212">
        <f t="shared" si="50"/>
        <v>25.6</v>
      </c>
      <c r="P349" s="212">
        <f t="shared" si="51"/>
        <v>186.66666666666669</v>
      </c>
      <c r="Q349" s="212">
        <f t="shared" si="52"/>
        <v>8</v>
      </c>
      <c r="R349" s="212">
        <f t="shared" si="53"/>
        <v>236.26666666666668</v>
      </c>
      <c r="S349" s="312" t="s">
        <v>1611</v>
      </c>
      <c r="T349" s="313" t="s">
        <v>1613</v>
      </c>
      <c r="U349" s="280">
        <v>50</v>
      </c>
      <c r="V349" s="280">
        <v>52</v>
      </c>
      <c r="W349" s="280">
        <v>52</v>
      </c>
      <c r="X349" s="276">
        <v>44300</v>
      </c>
      <c r="Y349" s="277">
        <v>44391</v>
      </c>
      <c r="Z349" s="26">
        <v>44420</v>
      </c>
      <c r="AA349" s="273">
        <f t="shared" si="54"/>
        <v>2021</v>
      </c>
      <c r="AB349" s="273">
        <f t="shared" si="55"/>
        <v>8</v>
      </c>
      <c r="AC349" s="278" t="s">
        <v>920</v>
      </c>
      <c r="AD349" s="278" t="s">
        <v>422</v>
      </c>
      <c r="AE349" s="278" t="s">
        <v>422</v>
      </c>
      <c r="AF349" s="278" t="s">
        <v>422</v>
      </c>
      <c r="AG349" s="278" t="s">
        <v>422</v>
      </c>
      <c r="AH349" s="278" t="s">
        <v>423</v>
      </c>
      <c r="AI349" s="278" t="s">
        <v>422</v>
      </c>
      <c r="AJ349" s="278" t="s">
        <v>423</v>
      </c>
      <c r="AK349" s="278" t="s">
        <v>422</v>
      </c>
      <c r="AL349" s="279" t="s">
        <v>140</v>
      </c>
      <c r="AM349" s="33"/>
      <c r="AN349" s="1" t="s">
        <v>1603</v>
      </c>
    </row>
    <row r="350" spans="1:40" s="309" customFormat="1" ht="15" customHeight="1" x14ac:dyDescent="0.3">
      <c r="A350" s="185">
        <v>272</v>
      </c>
      <c r="B350" s="386" t="s">
        <v>1407</v>
      </c>
      <c r="C350" s="281" t="s">
        <v>1615</v>
      </c>
      <c r="D350" s="200" t="s">
        <v>1881</v>
      </c>
      <c r="E350" s="381" t="s">
        <v>1596</v>
      </c>
      <c r="F350" s="383" t="s">
        <v>1601</v>
      </c>
      <c r="G350" s="370" t="s">
        <v>1604</v>
      </c>
      <c r="H350" s="370" t="s">
        <v>422</v>
      </c>
      <c r="I350" s="381">
        <v>1.7</v>
      </c>
      <c r="J350" s="383">
        <v>10</v>
      </c>
      <c r="K350" s="383">
        <v>0</v>
      </c>
      <c r="L350" s="212">
        <v>1.5</v>
      </c>
      <c r="M350" s="212">
        <f t="shared" si="48"/>
        <v>13.2</v>
      </c>
      <c r="N350" s="212">
        <f t="shared" si="49"/>
        <v>13.6</v>
      </c>
      <c r="O350" s="212">
        <f t="shared" si="50"/>
        <v>40</v>
      </c>
      <c r="P350" s="212">
        <f t="shared" si="51"/>
        <v>0</v>
      </c>
      <c r="Q350" s="212">
        <f t="shared" si="52"/>
        <v>12</v>
      </c>
      <c r="R350" s="212">
        <f t="shared" si="53"/>
        <v>65.599999999999994</v>
      </c>
      <c r="S350" s="384" t="s">
        <v>1417</v>
      </c>
      <c r="T350" s="384" t="s">
        <v>939</v>
      </c>
      <c r="U350" s="280">
        <v>188</v>
      </c>
      <c r="V350" s="280">
        <v>188</v>
      </c>
      <c r="W350" s="280">
        <v>188</v>
      </c>
      <c r="X350" s="374">
        <v>44160</v>
      </c>
      <c r="Y350" s="374">
        <v>44185</v>
      </c>
      <c r="Z350" s="276">
        <v>44414</v>
      </c>
      <c r="AA350" s="273">
        <f t="shared" si="54"/>
        <v>2021</v>
      </c>
      <c r="AB350" s="273">
        <f t="shared" si="55"/>
        <v>8</v>
      </c>
      <c r="AC350" s="278" t="s">
        <v>920</v>
      </c>
      <c r="AD350" s="278" t="s">
        <v>422</v>
      </c>
      <c r="AE350" s="278" t="s">
        <v>422</v>
      </c>
      <c r="AF350" s="278" t="s">
        <v>422</v>
      </c>
      <c r="AG350" s="278" t="s">
        <v>422</v>
      </c>
      <c r="AH350" s="278" t="s">
        <v>423</v>
      </c>
      <c r="AI350" s="278" t="s">
        <v>423</v>
      </c>
      <c r="AJ350" s="278" t="s">
        <v>422</v>
      </c>
      <c r="AK350" s="278" t="s">
        <v>423</v>
      </c>
      <c r="AL350" s="279" t="s">
        <v>138</v>
      </c>
      <c r="AM350" s="241"/>
      <c r="AN350" s="242" t="s">
        <v>1752</v>
      </c>
    </row>
    <row r="351" spans="1:40" ht="15" customHeight="1" x14ac:dyDescent="0.3">
      <c r="A351" s="185">
        <v>273</v>
      </c>
      <c r="B351" s="386" t="s">
        <v>1408</v>
      </c>
      <c r="C351" s="281" t="s">
        <v>1615</v>
      </c>
      <c r="D351" s="200" t="s">
        <v>1881</v>
      </c>
      <c r="E351" s="381" t="s">
        <v>1596</v>
      </c>
      <c r="F351" s="383" t="s">
        <v>1601</v>
      </c>
      <c r="G351" s="370" t="s">
        <v>1604</v>
      </c>
      <c r="H351" s="370" t="s">
        <v>422</v>
      </c>
      <c r="I351" s="381">
        <v>2</v>
      </c>
      <c r="J351" s="383">
        <v>12.5</v>
      </c>
      <c r="K351" s="383">
        <v>0</v>
      </c>
      <c r="L351" s="212">
        <v>1</v>
      </c>
      <c r="M351" s="212">
        <f t="shared" si="48"/>
        <v>15.5</v>
      </c>
      <c r="N351" s="212">
        <f t="shared" si="49"/>
        <v>16</v>
      </c>
      <c r="O351" s="212">
        <f t="shared" si="50"/>
        <v>50</v>
      </c>
      <c r="P351" s="212">
        <f t="shared" si="51"/>
        <v>0</v>
      </c>
      <c r="Q351" s="212">
        <f t="shared" si="52"/>
        <v>8</v>
      </c>
      <c r="R351" s="212">
        <f t="shared" si="53"/>
        <v>74</v>
      </c>
      <c r="S351" s="384" t="s">
        <v>1418</v>
      </c>
      <c r="T351" s="384" t="s">
        <v>940</v>
      </c>
      <c r="U351" s="280">
        <v>70</v>
      </c>
      <c r="V351" s="280">
        <v>70</v>
      </c>
      <c r="W351" s="280">
        <v>70</v>
      </c>
      <c r="X351" s="374">
        <v>44160</v>
      </c>
      <c r="Y351" s="374">
        <v>44185</v>
      </c>
      <c r="Z351" s="276">
        <v>44414</v>
      </c>
      <c r="AA351" s="273">
        <f t="shared" si="54"/>
        <v>2021</v>
      </c>
      <c r="AB351" s="273">
        <f t="shared" si="55"/>
        <v>8</v>
      </c>
      <c r="AC351" s="278" t="s">
        <v>920</v>
      </c>
      <c r="AD351" s="278" t="s">
        <v>422</v>
      </c>
      <c r="AE351" s="278" t="s">
        <v>422</v>
      </c>
      <c r="AF351" s="278" t="s">
        <v>422</v>
      </c>
      <c r="AG351" s="278" t="s">
        <v>422</v>
      </c>
      <c r="AH351" s="278" t="s">
        <v>422</v>
      </c>
      <c r="AI351" s="278" t="s">
        <v>423</v>
      </c>
      <c r="AJ351" s="278" t="s">
        <v>423</v>
      </c>
      <c r="AK351" s="278" t="s">
        <v>423</v>
      </c>
      <c r="AL351" s="279" t="s">
        <v>140</v>
      </c>
      <c r="AM351" s="241"/>
      <c r="AN351" s="241"/>
    </row>
    <row r="352" spans="1:40" ht="15" customHeight="1" x14ac:dyDescent="0.3">
      <c r="A352" s="185">
        <v>344</v>
      </c>
      <c r="B352" s="327" t="s">
        <v>1751</v>
      </c>
      <c r="C352" s="281" t="s">
        <v>1615</v>
      </c>
      <c r="D352" s="200" t="s">
        <v>1881</v>
      </c>
      <c r="E352" s="282"/>
      <c r="F352" s="282" t="s">
        <v>1597</v>
      </c>
      <c r="G352" s="370" t="s">
        <v>1604</v>
      </c>
      <c r="H352" s="248" t="s">
        <v>422</v>
      </c>
      <c r="I352" s="317">
        <v>2</v>
      </c>
      <c r="J352" s="317">
        <v>12</v>
      </c>
      <c r="K352" s="317">
        <v>0</v>
      </c>
      <c r="L352" s="212">
        <v>1</v>
      </c>
      <c r="M352" s="212">
        <f t="shared" si="48"/>
        <v>15</v>
      </c>
      <c r="N352" s="212">
        <f t="shared" si="49"/>
        <v>16</v>
      </c>
      <c r="O352" s="212">
        <f t="shared" si="50"/>
        <v>48</v>
      </c>
      <c r="P352" s="212">
        <f t="shared" si="51"/>
        <v>0</v>
      </c>
      <c r="Q352" s="212">
        <f t="shared" si="52"/>
        <v>8</v>
      </c>
      <c r="R352" s="212">
        <f t="shared" si="53"/>
        <v>72</v>
      </c>
      <c r="S352" s="312" t="s">
        <v>1626</v>
      </c>
      <c r="T352" s="313" t="s">
        <v>1823</v>
      </c>
      <c r="U352" s="280">
        <v>80</v>
      </c>
      <c r="V352" s="273">
        <v>82</v>
      </c>
      <c r="W352" s="273">
        <v>82</v>
      </c>
      <c r="X352" s="276">
        <v>44307</v>
      </c>
      <c r="Y352" s="277">
        <v>44392</v>
      </c>
      <c r="Z352" s="277">
        <v>44414</v>
      </c>
      <c r="AA352" s="273">
        <f t="shared" si="54"/>
        <v>2021</v>
      </c>
      <c r="AB352" s="273">
        <f t="shared" si="55"/>
        <v>8</v>
      </c>
      <c r="AC352" s="278" t="s">
        <v>920</v>
      </c>
      <c r="AD352" s="278" t="s">
        <v>422</v>
      </c>
      <c r="AE352" s="278" t="s">
        <v>422</v>
      </c>
      <c r="AF352" s="278" t="s">
        <v>422</v>
      </c>
      <c r="AG352" s="278" t="s">
        <v>422</v>
      </c>
      <c r="AH352" s="278" t="s">
        <v>422</v>
      </c>
      <c r="AI352" s="278" t="s">
        <v>423</v>
      </c>
      <c r="AJ352" s="278" t="s">
        <v>423</v>
      </c>
      <c r="AK352" s="278" t="s">
        <v>423</v>
      </c>
      <c r="AL352" s="279" t="s">
        <v>1372</v>
      </c>
      <c r="AM352" s="29"/>
      <c r="AN352" s="29" t="s">
        <v>1755</v>
      </c>
    </row>
    <row r="353" spans="1:40" ht="15" customHeight="1" x14ac:dyDescent="0.3">
      <c r="A353" s="185">
        <v>345</v>
      </c>
      <c r="B353" s="327" t="s">
        <v>1751</v>
      </c>
      <c r="C353" s="281" t="s">
        <v>1615</v>
      </c>
      <c r="D353" s="200" t="s">
        <v>1881</v>
      </c>
      <c r="E353" s="308"/>
      <c r="F353" s="282" t="s">
        <v>1597</v>
      </c>
      <c r="G353" s="370" t="s">
        <v>1604</v>
      </c>
      <c r="H353" s="248" t="s">
        <v>1789</v>
      </c>
      <c r="I353" s="317">
        <v>2</v>
      </c>
      <c r="J353" s="356">
        <v>12</v>
      </c>
      <c r="K353" s="317">
        <v>0</v>
      </c>
      <c r="L353" s="212">
        <v>1</v>
      </c>
      <c r="M353" s="212">
        <f t="shared" si="48"/>
        <v>15</v>
      </c>
      <c r="N353" s="212">
        <f t="shared" si="49"/>
        <v>16</v>
      </c>
      <c r="O353" s="212">
        <f t="shared" si="50"/>
        <v>48</v>
      </c>
      <c r="P353" s="212">
        <f t="shared" si="51"/>
        <v>0</v>
      </c>
      <c r="Q353" s="212">
        <f t="shared" si="52"/>
        <v>8</v>
      </c>
      <c r="R353" s="212">
        <f t="shared" si="53"/>
        <v>72</v>
      </c>
      <c r="S353" s="312" t="s">
        <v>1626</v>
      </c>
      <c r="T353" s="313" t="s">
        <v>1823</v>
      </c>
      <c r="U353" s="280">
        <f>226-80</f>
        <v>146</v>
      </c>
      <c r="V353" s="273">
        <v>0</v>
      </c>
      <c r="W353" s="273">
        <v>0</v>
      </c>
      <c r="X353" s="276">
        <v>44307</v>
      </c>
      <c r="Y353" s="277">
        <v>44392</v>
      </c>
      <c r="Z353" s="277">
        <v>44414</v>
      </c>
      <c r="AA353" s="273">
        <f t="shared" si="54"/>
        <v>2021</v>
      </c>
      <c r="AB353" s="273">
        <f t="shared" si="55"/>
        <v>8</v>
      </c>
      <c r="AC353" s="322" t="s">
        <v>1819</v>
      </c>
      <c r="AD353" s="278" t="s">
        <v>449</v>
      </c>
      <c r="AE353" s="278" t="s">
        <v>422</v>
      </c>
      <c r="AF353" s="278" t="s">
        <v>449</v>
      </c>
      <c r="AG353" s="278" t="s">
        <v>449</v>
      </c>
      <c r="AH353" s="278" t="s">
        <v>449</v>
      </c>
      <c r="AI353" s="278" t="s">
        <v>423</v>
      </c>
      <c r="AJ353" s="278" t="s">
        <v>422</v>
      </c>
      <c r="AK353" s="278" t="s">
        <v>423</v>
      </c>
      <c r="AL353" s="279"/>
      <c r="AM353" s="29"/>
      <c r="AN353" s="29"/>
    </row>
    <row r="354" spans="1:40" ht="15" customHeight="1" x14ac:dyDescent="0.3">
      <c r="A354" s="185">
        <v>358</v>
      </c>
      <c r="B354" s="285" t="s">
        <v>1656</v>
      </c>
      <c r="C354" s="281" t="s">
        <v>1618</v>
      </c>
      <c r="D354" s="200" t="s">
        <v>1881</v>
      </c>
      <c r="E354" s="383"/>
      <c r="F354" s="383" t="s">
        <v>1777</v>
      </c>
      <c r="G354" s="370" t="s">
        <v>1604</v>
      </c>
      <c r="H354" s="248" t="s">
        <v>422</v>
      </c>
      <c r="I354" s="317">
        <v>1.5</v>
      </c>
      <c r="J354" s="317">
        <v>14</v>
      </c>
      <c r="K354" s="317">
        <v>0</v>
      </c>
      <c r="L354" s="212">
        <v>1</v>
      </c>
      <c r="M354" s="212">
        <f t="shared" si="48"/>
        <v>16.5</v>
      </c>
      <c r="N354" s="212">
        <f t="shared" si="49"/>
        <v>12</v>
      </c>
      <c r="O354" s="212">
        <f t="shared" si="50"/>
        <v>56</v>
      </c>
      <c r="P354" s="212">
        <f t="shared" si="51"/>
        <v>0</v>
      </c>
      <c r="Q354" s="212">
        <f t="shared" si="52"/>
        <v>8</v>
      </c>
      <c r="R354" s="212">
        <f t="shared" si="53"/>
        <v>76</v>
      </c>
      <c r="S354" s="283" t="s">
        <v>1666</v>
      </c>
      <c r="T354" s="284" t="s">
        <v>1664</v>
      </c>
      <c r="U354" s="280">
        <v>30</v>
      </c>
      <c r="V354" s="280">
        <v>31</v>
      </c>
      <c r="W354" s="280">
        <v>31</v>
      </c>
      <c r="X354" s="276">
        <v>44327</v>
      </c>
      <c r="Y354" s="277">
        <v>44388</v>
      </c>
      <c r="Z354" s="26">
        <v>44420</v>
      </c>
      <c r="AA354" s="273">
        <f t="shared" si="54"/>
        <v>2021</v>
      </c>
      <c r="AB354" s="273">
        <f t="shared" si="55"/>
        <v>8</v>
      </c>
      <c r="AC354" s="278" t="s">
        <v>920</v>
      </c>
      <c r="AD354" s="387" t="s">
        <v>422</v>
      </c>
      <c r="AE354" s="278" t="s">
        <v>422</v>
      </c>
      <c r="AF354" s="278" t="s">
        <v>422</v>
      </c>
      <c r="AG354" s="278" t="s">
        <v>422</v>
      </c>
      <c r="AH354" s="278" t="s">
        <v>422</v>
      </c>
      <c r="AI354" s="278" t="s">
        <v>423</v>
      </c>
      <c r="AJ354" s="278" t="s">
        <v>423</v>
      </c>
      <c r="AK354" s="278" t="s">
        <v>423</v>
      </c>
      <c r="AL354" s="279" t="s">
        <v>1937</v>
      </c>
      <c r="AM354" s="241"/>
      <c r="AN354" s="242" t="s">
        <v>1749</v>
      </c>
    </row>
    <row r="355" spans="1:40" ht="15" customHeight="1" x14ac:dyDescent="0.3">
      <c r="A355" s="185">
        <v>359</v>
      </c>
      <c r="B355" s="285" t="s">
        <v>1655</v>
      </c>
      <c r="C355" s="281" t="s">
        <v>1618</v>
      </c>
      <c r="D355" s="200" t="s">
        <v>1881</v>
      </c>
      <c r="E355" s="383"/>
      <c r="F355" s="383" t="s">
        <v>1777</v>
      </c>
      <c r="G355" s="370" t="s">
        <v>1604</v>
      </c>
      <c r="H355" s="248" t="s">
        <v>422</v>
      </c>
      <c r="I355" s="248">
        <v>1.5</v>
      </c>
      <c r="J355" s="248">
        <v>14</v>
      </c>
      <c r="K355" s="317">
        <v>0</v>
      </c>
      <c r="L355" s="212">
        <v>1</v>
      </c>
      <c r="M355" s="212">
        <f t="shared" si="48"/>
        <v>16.5</v>
      </c>
      <c r="N355" s="212">
        <f t="shared" si="49"/>
        <v>12</v>
      </c>
      <c r="O355" s="212">
        <f t="shared" si="50"/>
        <v>56</v>
      </c>
      <c r="P355" s="212">
        <f t="shared" si="51"/>
        <v>0</v>
      </c>
      <c r="Q355" s="212">
        <f t="shared" si="52"/>
        <v>8</v>
      </c>
      <c r="R355" s="212">
        <f t="shared" si="53"/>
        <v>76</v>
      </c>
      <c r="S355" s="286" t="s">
        <v>1667</v>
      </c>
      <c r="T355" s="284" t="s">
        <v>1665</v>
      </c>
      <c r="U355" s="280">
        <v>10</v>
      </c>
      <c r="V355" s="280">
        <v>10</v>
      </c>
      <c r="W355" s="280">
        <v>10</v>
      </c>
      <c r="X355" s="276">
        <v>44327</v>
      </c>
      <c r="Y355" s="277">
        <v>44388</v>
      </c>
      <c r="Z355" s="26">
        <v>44420</v>
      </c>
      <c r="AA355" s="273">
        <f t="shared" si="54"/>
        <v>2021</v>
      </c>
      <c r="AB355" s="273">
        <f t="shared" si="55"/>
        <v>8</v>
      </c>
      <c r="AC355" s="278" t="s">
        <v>920</v>
      </c>
      <c r="AD355" s="278" t="s">
        <v>422</v>
      </c>
      <c r="AE355" s="278" t="s">
        <v>422</v>
      </c>
      <c r="AF355" s="278" t="s">
        <v>422</v>
      </c>
      <c r="AG355" s="278" t="s">
        <v>422</v>
      </c>
      <c r="AH355" s="278" t="s">
        <v>422</v>
      </c>
      <c r="AI355" s="278" t="s">
        <v>423</v>
      </c>
      <c r="AJ355" s="278" t="s">
        <v>423</v>
      </c>
      <c r="AK355" s="278" t="s">
        <v>423</v>
      </c>
      <c r="AL355" s="279" t="s">
        <v>1937</v>
      </c>
      <c r="AM355" s="241"/>
      <c r="AN355" s="242" t="s">
        <v>1749</v>
      </c>
    </row>
    <row r="356" spans="1:40" ht="15" customHeight="1" x14ac:dyDescent="0.3">
      <c r="A356" s="185">
        <v>360</v>
      </c>
      <c r="B356" s="285" t="s">
        <v>1657</v>
      </c>
      <c r="C356" s="281" t="s">
        <v>1618</v>
      </c>
      <c r="D356" s="200" t="s">
        <v>1881</v>
      </c>
      <c r="E356" s="383"/>
      <c r="F356" s="383" t="s">
        <v>1597</v>
      </c>
      <c r="G356" s="370" t="s">
        <v>1604</v>
      </c>
      <c r="H356" s="248" t="s">
        <v>422</v>
      </c>
      <c r="I356" s="248">
        <v>2</v>
      </c>
      <c r="J356" s="248">
        <v>13</v>
      </c>
      <c r="K356" s="317">
        <v>0</v>
      </c>
      <c r="L356" s="212">
        <v>1</v>
      </c>
      <c r="M356" s="212">
        <f t="shared" si="48"/>
        <v>16</v>
      </c>
      <c r="N356" s="212">
        <f t="shared" si="49"/>
        <v>16</v>
      </c>
      <c r="O356" s="212">
        <f t="shared" si="50"/>
        <v>52</v>
      </c>
      <c r="P356" s="212">
        <f t="shared" si="51"/>
        <v>0</v>
      </c>
      <c r="Q356" s="212">
        <f t="shared" si="52"/>
        <v>8</v>
      </c>
      <c r="R356" s="212">
        <f t="shared" si="53"/>
        <v>76</v>
      </c>
      <c r="S356" s="286" t="s">
        <v>1670</v>
      </c>
      <c r="T356" s="284" t="s">
        <v>1668</v>
      </c>
      <c r="U356" s="280">
        <v>50</v>
      </c>
      <c r="V356" s="280">
        <v>51</v>
      </c>
      <c r="W356" s="280">
        <v>51</v>
      </c>
      <c r="X356" s="276">
        <v>44327</v>
      </c>
      <c r="Y356" s="277">
        <v>44388</v>
      </c>
      <c r="Z356" s="26">
        <v>44420</v>
      </c>
      <c r="AA356" s="273">
        <f t="shared" si="54"/>
        <v>2021</v>
      </c>
      <c r="AB356" s="273">
        <f t="shared" si="55"/>
        <v>8</v>
      </c>
      <c r="AC356" s="278" t="s">
        <v>920</v>
      </c>
      <c r="AD356" s="278" t="s">
        <v>422</v>
      </c>
      <c r="AE356" s="278" t="s">
        <v>422</v>
      </c>
      <c r="AF356" s="278" t="s">
        <v>422</v>
      </c>
      <c r="AG356" s="278" t="s">
        <v>422</v>
      </c>
      <c r="AH356" s="278" t="s">
        <v>423</v>
      </c>
      <c r="AI356" s="278" t="s">
        <v>423</v>
      </c>
      <c r="AJ356" s="278" t="s">
        <v>423</v>
      </c>
      <c r="AK356" s="278" t="s">
        <v>423</v>
      </c>
      <c r="AL356" s="279" t="s">
        <v>1240</v>
      </c>
      <c r="AM356" s="241"/>
      <c r="AN356" s="242" t="s">
        <v>1748</v>
      </c>
    </row>
    <row r="357" spans="1:40" ht="15" customHeight="1" x14ac:dyDescent="0.3">
      <c r="A357" s="185">
        <v>361</v>
      </c>
      <c r="B357" s="285" t="s">
        <v>1658</v>
      </c>
      <c r="C357" s="281" t="s">
        <v>1618</v>
      </c>
      <c r="D357" s="200" t="s">
        <v>1881</v>
      </c>
      <c r="E357" s="383"/>
      <c r="F357" s="383" t="s">
        <v>1597</v>
      </c>
      <c r="G357" s="370" t="s">
        <v>1604</v>
      </c>
      <c r="H357" s="248" t="s">
        <v>422</v>
      </c>
      <c r="I357" s="248">
        <v>2</v>
      </c>
      <c r="J357" s="248">
        <v>13</v>
      </c>
      <c r="K357" s="317">
        <v>0</v>
      </c>
      <c r="L357" s="212">
        <v>1</v>
      </c>
      <c r="M357" s="212">
        <f t="shared" si="48"/>
        <v>16</v>
      </c>
      <c r="N357" s="212">
        <f t="shared" si="49"/>
        <v>16</v>
      </c>
      <c r="O357" s="212">
        <f t="shared" si="50"/>
        <v>52</v>
      </c>
      <c r="P357" s="212">
        <f t="shared" si="51"/>
        <v>0</v>
      </c>
      <c r="Q357" s="212">
        <f t="shared" si="52"/>
        <v>8</v>
      </c>
      <c r="R357" s="212">
        <f t="shared" si="53"/>
        <v>76</v>
      </c>
      <c r="S357" s="286" t="s">
        <v>1671</v>
      </c>
      <c r="T357" s="284" t="s">
        <v>1669</v>
      </c>
      <c r="U357" s="280">
        <v>55</v>
      </c>
      <c r="V357" s="280">
        <v>56</v>
      </c>
      <c r="W357" s="280">
        <v>56</v>
      </c>
      <c r="X357" s="276">
        <v>44327</v>
      </c>
      <c r="Y357" s="277">
        <v>44388</v>
      </c>
      <c r="Z357" s="26">
        <v>44420</v>
      </c>
      <c r="AA357" s="273">
        <f t="shared" si="54"/>
        <v>2021</v>
      </c>
      <c r="AB357" s="273">
        <f t="shared" si="55"/>
        <v>8</v>
      </c>
      <c r="AC357" s="278" t="s">
        <v>920</v>
      </c>
      <c r="AD357" s="278" t="s">
        <v>422</v>
      </c>
      <c r="AE357" s="278" t="s">
        <v>422</v>
      </c>
      <c r="AF357" s="278" t="s">
        <v>422</v>
      </c>
      <c r="AG357" s="278" t="s">
        <v>422</v>
      </c>
      <c r="AH357" s="278" t="s">
        <v>423</v>
      </c>
      <c r="AI357" s="278" t="s">
        <v>423</v>
      </c>
      <c r="AJ357" s="278" t="s">
        <v>423</v>
      </c>
      <c r="AK357" s="278" t="s">
        <v>423</v>
      </c>
      <c r="AL357" s="279" t="s">
        <v>1240</v>
      </c>
      <c r="AM357" s="241"/>
      <c r="AN357" s="242" t="s">
        <v>1748</v>
      </c>
    </row>
    <row r="358" spans="1:40" ht="15" customHeight="1" x14ac:dyDescent="0.3">
      <c r="A358" s="185">
        <v>362</v>
      </c>
      <c r="B358" s="285" t="s">
        <v>1659</v>
      </c>
      <c r="C358" s="281" t="s">
        <v>1618</v>
      </c>
      <c r="D358" s="200" t="s">
        <v>1881</v>
      </c>
      <c r="E358" s="383"/>
      <c r="F358" s="383" t="s">
        <v>1777</v>
      </c>
      <c r="G358" s="370" t="s">
        <v>1604</v>
      </c>
      <c r="H358" s="248" t="s">
        <v>422</v>
      </c>
      <c r="I358" s="248">
        <v>1.4</v>
      </c>
      <c r="J358" s="248">
        <v>6.5</v>
      </c>
      <c r="K358" s="317">
        <v>0</v>
      </c>
      <c r="L358" s="212">
        <v>1</v>
      </c>
      <c r="M358" s="212">
        <f t="shared" si="48"/>
        <v>8.9</v>
      </c>
      <c r="N358" s="212">
        <f t="shared" si="49"/>
        <v>11.2</v>
      </c>
      <c r="O358" s="212">
        <f t="shared" si="50"/>
        <v>26</v>
      </c>
      <c r="P358" s="212">
        <f t="shared" si="51"/>
        <v>0</v>
      </c>
      <c r="Q358" s="212">
        <f t="shared" si="52"/>
        <v>8</v>
      </c>
      <c r="R358" s="212">
        <f t="shared" si="53"/>
        <v>45.2</v>
      </c>
      <c r="S358" s="286" t="s">
        <v>1674</v>
      </c>
      <c r="T358" s="284" t="s">
        <v>1672</v>
      </c>
      <c r="U358" s="280">
        <v>65</v>
      </c>
      <c r="V358" s="280">
        <v>66</v>
      </c>
      <c r="W358" s="280">
        <v>66</v>
      </c>
      <c r="X358" s="276">
        <v>44327</v>
      </c>
      <c r="Y358" s="277">
        <v>44388</v>
      </c>
      <c r="Z358" s="26">
        <v>44420</v>
      </c>
      <c r="AA358" s="273">
        <f t="shared" si="54"/>
        <v>2021</v>
      </c>
      <c r="AB358" s="273">
        <f t="shared" si="55"/>
        <v>8</v>
      </c>
      <c r="AC358" s="278" t="s">
        <v>920</v>
      </c>
      <c r="AD358" s="278" t="s">
        <v>422</v>
      </c>
      <c r="AE358" s="278" t="s">
        <v>422</v>
      </c>
      <c r="AF358" s="278" t="s">
        <v>422</v>
      </c>
      <c r="AG358" s="278" t="s">
        <v>422</v>
      </c>
      <c r="AH358" s="278" t="s">
        <v>423</v>
      </c>
      <c r="AI358" s="278" t="s">
        <v>423</v>
      </c>
      <c r="AJ358" s="278" t="s">
        <v>423</v>
      </c>
      <c r="AK358" s="278" t="s">
        <v>423</v>
      </c>
      <c r="AL358" s="279" t="s">
        <v>140</v>
      </c>
      <c r="AM358" s="241"/>
      <c r="AN358" s="242" t="s">
        <v>1749</v>
      </c>
    </row>
    <row r="359" spans="1:40" ht="15" customHeight="1" x14ac:dyDescent="0.3">
      <c r="A359" s="185">
        <v>363</v>
      </c>
      <c r="B359" s="285" t="s">
        <v>1660</v>
      </c>
      <c r="C359" s="281" t="s">
        <v>1618</v>
      </c>
      <c r="D359" s="200" t="s">
        <v>1881</v>
      </c>
      <c r="E359" s="383"/>
      <c r="F359" s="383" t="s">
        <v>1597</v>
      </c>
      <c r="G359" s="370" t="s">
        <v>1604</v>
      </c>
      <c r="H359" s="248" t="s">
        <v>422</v>
      </c>
      <c r="I359" s="248">
        <v>2</v>
      </c>
      <c r="J359" s="248">
        <v>6</v>
      </c>
      <c r="K359" s="317">
        <v>0</v>
      </c>
      <c r="L359" s="212">
        <v>1</v>
      </c>
      <c r="M359" s="212">
        <f t="shared" si="48"/>
        <v>9</v>
      </c>
      <c r="N359" s="212">
        <f t="shared" si="49"/>
        <v>16</v>
      </c>
      <c r="O359" s="212">
        <f t="shared" si="50"/>
        <v>24</v>
      </c>
      <c r="P359" s="212">
        <f t="shared" si="51"/>
        <v>0</v>
      </c>
      <c r="Q359" s="212">
        <f t="shared" si="52"/>
        <v>8</v>
      </c>
      <c r="R359" s="212">
        <f t="shared" si="53"/>
        <v>48</v>
      </c>
      <c r="S359" s="286" t="s">
        <v>1675</v>
      </c>
      <c r="T359" s="284" t="s">
        <v>1673</v>
      </c>
      <c r="U359" s="280">
        <v>90</v>
      </c>
      <c r="V359" s="280">
        <v>92</v>
      </c>
      <c r="W359" s="280">
        <v>92</v>
      </c>
      <c r="X359" s="276">
        <v>44333</v>
      </c>
      <c r="Y359" s="277">
        <v>44394</v>
      </c>
      <c r="Z359" s="26">
        <v>44420</v>
      </c>
      <c r="AA359" s="273">
        <f t="shared" si="54"/>
        <v>2021</v>
      </c>
      <c r="AB359" s="273">
        <f t="shared" si="55"/>
        <v>8</v>
      </c>
      <c r="AC359" s="278" t="s">
        <v>920</v>
      </c>
      <c r="AD359" s="278" t="s">
        <v>422</v>
      </c>
      <c r="AE359" s="278" t="s">
        <v>422</v>
      </c>
      <c r="AF359" s="278" t="s">
        <v>422</v>
      </c>
      <c r="AG359" s="278" t="s">
        <v>422</v>
      </c>
      <c r="AH359" s="278" t="s">
        <v>423</v>
      </c>
      <c r="AI359" s="278" t="s">
        <v>423</v>
      </c>
      <c r="AJ359" s="278" t="s">
        <v>423</v>
      </c>
      <c r="AK359" s="278" t="s">
        <v>423</v>
      </c>
      <c r="AL359" s="279" t="s">
        <v>1240</v>
      </c>
      <c r="AM359" s="241"/>
      <c r="AN359" s="242" t="s">
        <v>1754</v>
      </c>
    </row>
    <row r="360" spans="1:40" ht="15" customHeight="1" x14ac:dyDescent="0.3">
      <c r="A360" s="185">
        <v>364</v>
      </c>
      <c r="B360" s="285" t="s">
        <v>1661</v>
      </c>
      <c r="C360" s="281" t="s">
        <v>1618</v>
      </c>
      <c r="D360" s="200" t="s">
        <v>1881</v>
      </c>
      <c r="E360" s="383" t="s">
        <v>1789</v>
      </c>
      <c r="F360" s="383" t="s">
        <v>1597</v>
      </c>
      <c r="G360" s="370" t="s">
        <v>1604</v>
      </c>
      <c r="H360" s="248" t="s">
        <v>422</v>
      </c>
      <c r="I360" s="248">
        <v>2</v>
      </c>
      <c r="J360" s="359">
        <v>13</v>
      </c>
      <c r="K360" s="317">
        <v>0</v>
      </c>
      <c r="L360" s="212">
        <v>1</v>
      </c>
      <c r="M360" s="212">
        <f t="shared" si="48"/>
        <v>16</v>
      </c>
      <c r="N360" s="212">
        <f t="shared" si="49"/>
        <v>16</v>
      </c>
      <c r="O360" s="212">
        <f t="shared" si="50"/>
        <v>52</v>
      </c>
      <c r="P360" s="212">
        <f t="shared" si="51"/>
        <v>0</v>
      </c>
      <c r="Q360" s="212">
        <f t="shared" si="52"/>
        <v>8</v>
      </c>
      <c r="R360" s="212">
        <f t="shared" si="53"/>
        <v>76</v>
      </c>
      <c r="S360" s="286" t="s">
        <v>1791</v>
      </c>
      <c r="T360" s="284" t="s">
        <v>1676</v>
      </c>
      <c r="U360" s="280">
        <v>50</v>
      </c>
      <c r="V360" s="280">
        <v>51</v>
      </c>
      <c r="W360" s="280">
        <v>51</v>
      </c>
      <c r="X360" s="276">
        <v>44333</v>
      </c>
      <c r="Y360" s="277">
        <v>44394</v>
      </c>
      <c r="Z360" s="26">
        <v>44420</v>
      </c>
      <c r="AA360" s="273">
        <f t="shared" si="54"/>
        <v>2021</v>
      </c>
      <c r="AB360" s="273">
        <f t="shared" si="55"/>
        <v>8</v>
      </c>
      <c r="AC360" s="278" t="s">
        <v>920</v>
      </c>
      <c r="AD360" s="291" t="s">
        <v>422</v>
      </c>
      <c r="AE360" s="291" t="s">
        <v>423</v>
      </c>
      <c r="AF360" s="291" t="s">
        <v>422</v>
      </c>
      <c r="AG360" s="291" t="s">
        <v>422</v>
      </c>
      <c r="AH360" s="291" t="s">
        <v>423</v>
      </c>
      <c r="AI360" s="291" t="s">
        <v>423</v>
      </c>
      <c r="AJ360" s="291" t="s">
        <v>423</v>
      </c>
      <c r="AK360" s="291" t="s">
        <v>423</v>
      </c>
      <c r="AL360" s="292" t="s">
        <v>138</v>
      </c>
      <c r="AM360" s="293"/>
      <c r="AN360" s="294"/>
    </row>
    <row r="361" spans="1:40" ht="15" customHeight="1" x14ac:dyDescent="0.3">
      <c r="A361" s="185">
        <v>370</v>
      </c>
      <c r="B361" s="285" t="s">
        <v>1684</v>
      </c>
      <c r="C361" s="281" t="s">
        <v>1615</v>
      </c>
      <c r="D361" s="200" t="s">
        <v>1881</v>
      </c>
      <c r="E361" s="383"/>
      <c r="F361" s="383" t="s">
        <v>1777</v>
      </c>
      <c r="G361" s="370" t="s">
        <v>1604</v>
      </c>
      <c r="H361" s="248" t="s">
        <v>422</v>
      </c>
      <c r="I361" s="319">
        <v>1</v>
      </c>
      <c r="J361" s="319">
        <v>3.5</v>
      </c>
      <c r="K361" s="317">
        <v>0</v>
      </c>
      <c r="L361" s="212">
        <v>1</v>
      </c>
      <c r="M361" s="212">
        <f t="shared" si="48"/>
        <v>5.5</v>
      </c>
      <c r="N361" s="212">
        <f t="shared" si="49"/>
        <v>8</v>
      </c>
      <c r="O361" s="212">
        <f t="shared" si="50"/>
        <v>14</v>
      </c>
      <c r="P361" s="212">
        <f t="shared" si="51"/>
        <v>0</v>
      </c>
      <c r="Q361" s="212">
        <f t="shared" si="52"/>
        <v>8</v>
      </c>
      <c r="R361" s="212">
        <f t="shared" si="53"/>
        <v>30</v>
      </c>
      <c r="S361" s="388" t="s">
        <v>1689</v>
      </c>
      <c r="T361" s="313" t="s">
        <v>1690</v>
      </c>
      <c r="U361" s="280">
        <v>60</v>
      </c>
      <c r="V361" s="280">
        <v>60</v>
      </c>
      <c r="W361" s="280">
        <v>60</v>
      </c>
      <c r="X361" s="290">
        <v>44405</v>
      </c>
      <c r="Y361" s="277">
        <v>44409</v>
      </c>
      <c r="Z361" s="276">
        <v>44414</v>
      </c>
      <c r="AA361" s="273">
        <f t="shared" si="54"/>
        <v>2021</v>
      </c>
      <c r="AB361" s="273">
        <f t="shared" si="55"/>
        <v>8</v>
      </c>
      <c r="AC361" s="291" t="s">
        <v>920</v>
      </c>
      <c r="AD361" s="291" t="s">
        <v>422</v>
      </c>
      <c r="AE361" s="291" t="s">
        <v>423</v>
      </c>
      <c r="AF361" s="291" t="s">
        <v>422</v>
      </c>
      <c r="AG361" s="291" t="s">
        <v>422</v>
      </c>
      <c r="AH361" s="291" t="s">
        <v>423</v>
      </c>
      <c r="AI361" s="291" t="s">
        <v>423</v>
      </c>
      <c r="AJ361" s="291" t="s">
        <v>423</v>
      </c>
      <c r="AK361" s="291" t="s">
        <v>422</v>
      </c>
      <c r="AL361" s="292" t="s">
        <v>138</v>
      </c>
      <c r="AM361" s="293"/>
      <c r="AN361" s="294"/>
    </row>
    <row r="362" spans="1:40" ht="15" customHeight="1" x14ac:dyDescent="0.3">
      <c r="A362" s="185">
        <v>371</v>
      </c>
      <c r="B362" s="285" t="s">
        <v>1691</v>
      </c>
      <c r="C362" s="281" t="s">
        <v>1618</v>
      </c>
      <c r="D362" s="200" t="s">
        <v>1848</v>
      </c>
      <c r="E362" s="383" t="s">
        <v>1789</v>
      </c>
      <c r="F362" s="383" t="s">
        <v>1597</v>
      </c>
      <c r="G362" s="370" t="s">
        <v>1596</v>
      </c>
      <c r="H362" s="248" t="s">
        <v>422</v>
      </c>
      <c r="I362" s="319">
        <v>2</v>
      </c>
      <c r="J362" s="319">
        <v>13</v>
      </c>
      <c r="K362" s="317">
        <v>0</v>
      </c>
      <c r="L362" s="212">
        <v>1</v>
      </c>
      <c r="M362" s="212">
        <f t="shared" si="48"/>
        <v>16</v>
      </c>
      <c r="N362" s="212">
        <f t="shared" si="49"/>
        <v>16</v>
      </c>
      <c r="O362" s="212">
        <f t="shared" si="50"/>
        <v>52</v>
      </c>
      <c r="P362" s="212">
        <f t="shared" si="51"/>
        <v>0</v>
      </c>
      <c r="Q362" s="212">
        <f t="shared" si="52"/>
        <v>8</v>
      </c>
      <c r="R362" s="212">
        <f t="shared" si="53"/>
        <v>76</v>
      </c>
      <c r="S362" s="289" t="s">
        <v>1703</v>
      </c>
      <c r="T362" s="313" t="s">
        <v>1704</v>
      </c>
      <c r="U362" s="280">
        <v>10</v>
      </c>
      <c r="V362" s="280">
        <v>11</v>
      </c>
      <c r="W362" s="280">
        <v>11</v>
      </c>
      <c r="X362" s="290">
        <v>44351</v>
      </c>
      <c r="Y362" s="277">
        <v>44423</v>
      </c>
      <c r="Z362" s="26">
        <v>44420</v>
      </c>
      <c r="AA362" s="273">
        <f t="shared" si="54"/>
        <v>2021</v>
      </c>
      <c r="AB362" s="273">
        <f t="shared" si="55"/>
        <v>8</v>
      </c>
      <c r="AC362" s="278" t="s">
        <v>920</v>
      </c>
      <c r="AD362" s="278" t="s">
        <v>422</v>
      </c>
      <c r="AE362" s="278" t="s">
        <v>422</v>
      </c>
      <c r="AF362" s="278" t="s">
        <v>422</v>
      </c>
      <c r="AG362" s="278" t="s">
        <v>422</v>
      </c>
      <c r="AH362" s="278" t="s">
        <v>422</v>
      </c>
      <c r="AI362" s="278" t="s">
        <v>422</v>
      </c>
      <c r="AJ362" s="278" t="s">
        <v>423</v>
      </c>
      <c r="AK362" s="278" t="s">
        <v>423</v>
      </c>
      <c r="AL362" s="279" t="s">
        <v>1240</v>
      </c>
      <c r="AM362" s="241"/>
      <c r="AN362" s="242"/>
    </row>
    <row r="363" spans="1:40" ht="15" customHeight="1" x14ac:dyDescent="0.3">
      <c r="A363" s="185">
        <v>326</v>
      </c>
      <c r="B363" s="389" t="s">
        <v>1545</v>
      </c>
      <c r="C363" s="281" t="s">
        <v>1615</v>
      </c>
      <c r="D363" s="200" t="s">
        <v>1881</v>
      </c>
      <c r="E363" s="381" t="s">
        <v>1596</v>
      </c>
      <c r="F363" s="383" t="s">
        <v>1601</v>
      </c>
      <c r="G363" s="370" t="s">
        <v>1596</v>
      </c>
      <c r="H363" s="248" t="s">
        <v>422</v>
      </c>
      <c r="I363" s="319">
        <v>1.3</v>
      </c>
      <c r="J363" s="319">
        <v>6.4</v>
      </c>
      <c r="K363" s="319">
        <v>29</v>
      </c>
      <c r="L363" s="212">
        <v>1</v>
      </c>
      <c r="M363" s="212">
        <f t="shared" si="48"/>
        <v>37.700000000000003</v>
      </c>
      <c r="N363" s="212">
        <f t="shared" si="49"/>
        <v>10.4</v>
      </c>
      <c r="O363" s="212">
        <f t="shared" si="50"/>
        <v>25.6</v>
      </c>
      <c r="P363" s="212">
        <f t="shared" si="51"/>
        <v>193.33333333333334</v>
      </c>
      <c r="Q363" s="212">
        <f t="shared" si="52"/>
        <v>8</v>
      </c>
      <c r="R363" s="212">
        <f t="shared" si="53"/>
        <v>237.33333333333334</v>
      </c>
      <c r="S363" s="390" t="s">
        <v>1550</v>
      </c>
      <c r="T363" s="384" t="s">
        <v>1551</v>
      </c>
      <c r="U363" s="280">
        <v>96</v>
      </c>
      <c r="V363" s="280">
        <v>98</v>
      </c>
      <c r="W363" s="280">
        <v>98</v>
      </c>
      <c r="X363" s="391">
        <v>44286</v>
      </c>
      <c r="Y363" s="374">
        <v>44348</v>
      </c>
      <c r="Z363" s="276">
        <v>44460</v>
      </c>
      <c r="AA363" s="273">
        <f t="shared" si="54"/>
        <v>2021</v>
      </c>
      <c r="AB363" s="273">
        <f t="shared" si="55"/>
        <v>9</v>
      </c>
      <c r="AC363" s="278" t="s">
        <v>920</v>
      </c>
      <c r="AD363" s="278" t="s">
        <v>422</v>
      </c>
      <c r="AE363" s="278" t="s">
        <v>423</v>
      </c>
      <c r="AF363" s="278" t="s">
        <v>422</v>
      </c>
      <c r="AG363" s="278" t="s">
        <v>422</v>
      </c>
      <c r="AH363" s="278" t="s">
        <v>423</v>
      </c>
      <c r="AI363" s="278" t="s">
        <v>422</v>
      </c>
      <c r="AJ363" s="278" t="s">
        <v>423</v>
      </c>
      <c r="AK363" s="278" t="s">
        <v>422</v>
      </c>
      <c r="AL363" s="1" t="s">
        <v>140</v>
      </c>
      <c r="AM363" s="241"/>
      <c r="AN363" s="242" t="s">
        <v>140</v>
      </c>
    </row>
    <row r="364" spans="1:40" ht="15" customHeight="1" x14ac:dyDescent="0.3">
      <c r="A364" s="185">
        <v>349</v>
      </c>
      <c r="B364" s="285" t="s">
        <v>1630</v>
      </c>
      <c r="C364" s="281" t="s">
        <v>1615</v>
      </c>
      <c r="D364" s="200" t="s">
        <v>1881</v>
      </c>
      <c r="E364" s="383"/>
      <c r="F364" s="312" t="s">
        <v>1597</v>
      </c>
      <c r="G364" s="370" t="s">
        <v>1596</v>
      </c>
      <c r="H364" s="248" t="s">
        <v>422</v>
      </c>
      <c r="I364" s="319">
        <v>2</v>
      </c>
      <c r="J364" s="319">
        <v>9</v>
      </c>
      <c r="K364" s="319">
        <v>36</v>
      </c>
      <c r="L364" s="212">
        <v>1</v>
      </c>
      <c r="M364" s="212">
        <f t="shared" si="48"/>
        <v>48</v>
      </c>
      <c r="N364" s="212">
        <f t="shared" si="49"/>
        <v>16</v>
      </c>
      <c r="O364" s="212">
        <f t="shared" si="50"/>
        <v>36</v>
      </c>
      <c r="P364" s="212">
        <f t="shared" si="51"/>
        <v>240</v>
      </c>
      <c r="Q364" s="212">
        <f t="shared" si="52"/>
        <v>8</v>
      </c>
      <c r="R364" s="212">
        <f t="shared" si="53"/>
        <v>300</v>
      </c>
      <c r="S364" s="289" t="s">
        <v>1631</v>
      </c>
      <c r="T364" s="284" t="s">
        <v>1632</v>
      </c>
      <c r="U364" s="280">
        <v>20</v>
      </c>
      <c r="V364" s="280">
        <v>22</v>
      </c>
      <c r="W364" s="280">
        <v>22</v>
      </c>
      <c r="X364" s="290">
        <v>44307</v>
      </c>
      <c r="Y364" s="277">
        <v>44392</v>
      </c>
      <c r="Z364" s="276">
        <v>44460</v>
      </c>
      <c r="AA364" s="273">
        <f t="shared" si="54"/>
        <v>2021</v>
      </c>
      <c r="AB364" s="273">
        <f t="shared" si="55"/>
        <v>9</v>
      </c>
      <c r="AC364" s="278" t="s">
        <v>920</v>
      </c>
      <c r="AD364" s="278" t="s">
        <v>422</v>
      </c>
      <c r="AE364" s="278" t="s">
        <v>422</v>
      </c>
      <c r="AF364" s="278" t="s">
        <v>422</v>
      </c>
      <c r="AG364" s="278" t="s">
        <v>422</v>
      </c>
      <c r="AH364" s="278" t="s">
        <v>423</v>
      </c>
      <c r="AI364" s="278" t="s">
        <v>422</v>
      </c>
      <c r="AJ364" s="278" t="s">
        <v>422</v>
      </c>
      <c r="AK364" s="278" t="s">
        <v>422</v>
      </c>
      <c r="AL364" s="279" t="s">
        <v>772</v>
      </c>
      <c r="AM364" s="241"/>
      <c r="AN364" s="242"/>
    </row>
    <row r="365" spans="1:40" ht="15" customHeight="1" x14ac:dyDescent="0.3">
      <c r="A365" s="185">
        <v>353</v>
      </c>
      <c r="B365" s="285" t="s">
        <v>1642</v>
      </c>
      <c r="C365" s="281" t="s">
        <v>1615</v>
      </c>
      <c r="D365" s="200" t="s">
        <v>1881</v>
      </c>
      <c r="E365" s="383"/>
      <c r="F365" s="383" t="s">
        <v>1597</v>
      </c>
      <c r="G365" s="370" t="s">
        <v>1596</v>
      </c>
      <c r="H365" s="248" t="s">
        <v>422</v>
      </c>
      <c r="I365" s="319">
        <v>2</v>
      </c>
      <c r="J365" s="319">
        <v>6.5</v>
      </c>
      <c r="K365" s="319">
        <v>8</v>
      </c>
      <c r="L365" s="212">
        <v>1</v>
      </c>
      <c r="M365" s="212">
        <f t="shared" si="48"/>
        <v>17.5</v>
      </c>
      <c r="N365" s="212">
        <f t="shared" si="49"/>
        <v>16</v>
      </c>
      <c r="O365" s="212">
        <f t="shared" si="50"/>
        <v>26</v>
      </c>
      <c r="P365" s="212">
        <f t="shared" si="51"/>
        <v>53.333333333333336</v>
      </c>
      <c r="Q365" s="212">
        <f t="shared" si="52"/>
        <v>8</v>
      </c>
      <c r="R365" s="212">
        <f t="shared" si="53"/>
        <v>103.33333333333334</v>
      </c>
      <c r="S365" s="289" t="s">
        <v>1643</v>
      </c>
      <c r="T365" s="284" t="s">
        <v>1644</v>
      </c>
      <c r="U365" s="280">
        <v>52</v>
      </c>
      <c r="V365" s="280">
        <v>54</v>
      </c>
      <c r="W365" s="280">
        <v>54</v>
      </c>
      <c r="X365" s="290">
        <v>44326</v>
      </c>
      <c r="Y365" s="277">
        <v>44378</v>
      </c>
      <c r="Z365" s="276">
        <v>44460</v>
      </c>
      <c r="AA365" s="273">
        <f t="shared" si="54"/>
        <v>2021</v>
      </c>
      <c r="AB365" s="273">
        <f t="shared" si="55"/>
        <v>9</v>
      </c>
      <c r="AC365" s="278" t="s">
        <v>920</v>
      </c>
      <c r="AD365" s="278" t="s">
        <v>422</v>
      </c>
      <c r="AE365" s="278" t="s">
        <v>423</v>
      </c>
      <c r="AF365" s="278" t="s">
        <v>422</v>
      </c>
      <c r="AG365" s="278" t="s">
        <v>422</v>
      </c>
      <c r="AH365" s="278" t="s">
        <v>423</v>
      </c>
      <c r="AI365" s="278" t="s">
        <v>422</v>
      </c>
      <c r="AJ365" s="278" t="s">
        <v>423</v>
      </c>
      <c r="AK365" s="278" t="s">
        <v>423</v>
      </c>
      <c r="AL365" s="279" t="s">
        <v>1240</v>
      </c>
      <c r="AM365" s="241"/>
      <c r="AN365" s="242"/>
    </row>
    <row r="366" spans="1:40" ht="15" customHeight="1" x14ac:dyDescent="0.3">
      <c r="A366" s="185">
        <v>354</v>
      </c>
      <c r="B366" s="285" t="s">
        <v>1645</v>
      </c>
      <c r="C366" s="281" t="s">
        <v>1615</v>
      </c>
      <c r="D366" s="200" t="s">
        <v>1881</v>
      </c>
      <c r="E366" s="383"/>
      <c r="F366" s="383" t="s">
        <v>1597</v>
      </c>
      <c r="G366" s="370" t="s">
        <v>1596</v>
      </c>
      <c r="H366" s="248" t="s">
        <v>422</v>
      </c>
      <c r="I366" s="319">
        <v>2</v>
      </c>
      <c r="J366" s="319">
        <v>7</v>
      </c>
      <c r="K366" s="319">
        <v>8</v>
      </c>
      <c r="L366" s="212">
        <v>1</v>
      </c>
      <c r="M366" s="212">
        <f t="shared" si="48"/>
        <v>18</v>
      </c>
      <c r="N366" s="212">
        <f t="shared" si="49"/>
        <v>16</v>
      </c>
      <c r="O366" s="212">
        <f t="shared" si="50"/>
        <v>28</v>
      </c>
      <c r="P366" s="212">
        <f t="shared" si="51"/>
        <v>53.333333333333336</v>
      </c>
      <c r="Q366" s="212">
        <f t="shared" si="52"/>
        <v>8</v>
      </c>
      <c r="R366" s="212">
        <f t="shared" si="53"/>
        <v>105.33333333333334</v>
      </c>
      <c r="S366" s="289" t="s">
        <v>1646</v>
      </c>
      <c r="T366" s="284" t="s">
        <v>1647</v>
      </c>
      <c r="U366" s="280">
        <v>38</v>
      </c>
      <c r="V366" s="280">
        <v>39</v>
      </c>
      <c r="W366" s="280">
        <v>39</v>
      </c>
      <c r="X366" s="290">
        <v>44327</v>
      </c>
      <c r="Y366" s="277">
        <v>44367</v>
      </c>
      <c r="Z366" s="276">
        <v>44460</v>
      </c>
      <c r="AA366" s="273">
        <f t="shared" si="54"/>
        <v>2021</v>
      </c>
      <c r="AB366" s="273">
        <f t="shared" si="55"/>
        <v>9</v>
      </c>
      <c r="AC366" s="278" t="s">
        <v>920</v>
      </c>
      <c r="AD366" s="278" t="s">
        <v>422</v>
      </c>
      <c r="AE366" s="278" t="s">
        <v>423</v>
      </c>
      <c r="AF366" s="278" t="s">
        <v>422</v>
      </c>
      <c r="AG366" s="278" t="s">
        <v>422</v>
      </c>
      <c r="AH366" s="278" t="s">
        <v>423</v>
      </c>
      <c r="AI366" s="278" t="s">
        <v>422</v>
      </c>
      <c r="AJ366" s="278" t="s">
        <v>423</v>
      </c>
      <c r="AK366" s="278" t="s">
        <v>423</v>
      </c>
      <c r="AL366" s="279" t="s">
        <v>1240</v>
      </c>
      <c r="AM366" s="241"/>
      <c r="AN366" s="242"/>
    </row>
    <row r="367" spans="1:40" ht="15" customHeight="1" x14ac:dyDescent="0.3">
      <c r="A367" s="185">
        <v>355</v>
      </c>
      <c r="B367" s="285" t="s">
        <v>1648</v>
      </c>
      <c r="C367" s="281" t="s">
        <v>1615</v>
      </c>
      <c r="D367" s="200" t="s">
        <v>1881</v>
      </c>
      <c r="E367" s="383"/>
      <c r="F367" s="383" t="s">
        <v>1597</v>
      </c>
      <c r="G367" s="370" t="s">
        <v>1596</v>
      </c>
      <c r="H367" s="248" t="s">
        <v>422</v>
      </c>
      <c r="I367" s="248">
        <v>2</v>
      </c>
      <c r="J367" s="248">
        <v>6</v>
      </c>
      <c r="K367" s="248">
        <v>8</v>
      </c>
      <c r="L367" s="212">
        <v>1</v>
      </c>
      <c r="M367" s="212">
        <f t="shared" si="48"/>
        <v>17</v>
      </c>
      <c r="N367" s="212">
        <f t="shared" si="49"/>
        <v>16</v>
      </c>
      <c r="O367" s="212">
        <f t="shared" si="50"/>
        <v>24</v>
      </c>
      <c r="P367" s="212">
        <f t="shared" si="51"/>
        <v>53.333333333333336</v>
      </c>
      <c r="Q367" s="212">
        <f t="shared" si="52"/>
        <v>8</v>
      </c>
      <c r="R367" s="212">
        <f t="shared" si="53"/>
        <v>101.33333333333334</v>
      </c>
      <c r="S367" s="286" t="s">
        <v>1649</v>
      </c>
      <c r="T367" s="284" t="s">
        <v>1650</v>
      </c>
      <c r="U367" s="280">
        <v>48</v>
      </c>
      <c r="V367" s="280">
        <v>50</v>
      </c>
      <c r="W367" s="280">
        <v>50</v>
      </c>
      <c r="X367" s="276">
        <v>44327</v>
      </c>
      <c r="Y367" s="277">
        <v>44367</v>
      </c>
      <c r="Z367" s="276">
        <v>44460</v>
      </c>
      <c r="AA367" s="273">
        <f t="shared" si="54"/>
        <v>2021</v>
      </c>
      <c r="AB367" s="273">
        <f t="shared" si="55"/>
        <v>9</v>
      </c>
      <c r="AC367" s="278" t="s">
        <v>920</v>
      </c>
      <c r="AD367" s="278" t="s">
        <v>422</v>
      </c>
      <c r="AE367" s="278" t="s">
        <v>423</v>
      </c>
      <c r="AF367" s="278" t="s">
        <v>422</v>
      </c>
      <c r="AG367" s="278" t="s">
        <v>422</v>
      </c>
      <c r="AH367" s="278" t="s">
        <v>423</v>
      </c>
      <c r="AI367" s="278" t="s">
        <v>422</v>
      </c>
      <c r="AJ367" s="278" t="s">
        <v>423</v>
      </c>
      <c r="AK367" s="278" t="s">
        <v>423</v>
      </c>
      <c r="AL367" s="279" t="s">
        <v>1240</v>
      </c>
      <c r="AM367" s="241"/>
      <c r="AN367" s="242"/>
    </row>
    <row r="368" spans="1:40" ht="15" customHeight="1" x14ac:dyDescent="0.3">
      <c r="A368" s="185">
        <v>356</v>
      </c>
      <c r="B368" s="285" t="s">
        <v>1651</v>
      </c>
      <c r="C368" s="281" t="s">
        <v>1615</v>
      </c>
      <c r="D368" s="200" t="s">
        <v>1881</v>
      </c>
      <c r="E368" s="383"/>
      <c r="F368" s="383" t="s">
        <v>1597</v>
      </c>
      <c r="G368" s="370" t="s">
        <v>1596</v>
      </c>
      <c r="H368" s="248" t="s">
        <v>422</v>
      </c>
      <c r="I368" s="248">
        <v>2</v>
      </c>
      <c r="J368" s="248">
        <v>6.5</v>
      </c>
      <c r="K368" s="248">
        <v>5.8</v>
      </c>
      <c r="L368" s="212">
        <v>1</v>
      </c>
      <c r="M368" s="212">
        <f t="shared" si="48"/>
        <v>15.3</v>
      </c>
      <c r="N368" s="212">
        <f t="shared" si="49"/>
        <v>16</v>
      </c>
      <c r="O368" s="212">
        <f t="shared" si="50"/>
        <v>26</v>
      </c>
      <c r="P368" s="212">
        <f t="shared" si="51"/>
        <v>38.666666666666664</v>
      </c>
      <c r="Q368" s="212">
        <f t="shared" si="52"/>
        <v>8</v>
      </c>
      <c r="R368" s="212">
        <f t="shared" si="53"/>
        <v>88.666666666666657</v>
      </c>
      <c r="S368" s="286" t="s">
        <v>1923</v>
      </c>
      <c r="T368" s="284" t="s">
        <v>1652</v>
      </c>
      <c r="U368" s="280">
        <v>34</v>
      </c>
      <c r="V368" s="280">
        <v>34</v>
      </c>
      <c r="W368" s="280">
        <v>34</v>
      </c>
      <c r="X368" s="276">
        <v>44327</v>
      </c>
      <c r="Y368" s="277">
        <v>44367</v>
      </c>
      <c r="Z368" s="276">
        <v>44460</v>
      </c>
      <c r="AA368" s="273">
        <f t="shared" si="54"/>
        <v>2021</v>
      </c>
      <c r="AB368" s="273">
        <f t="shared" si="55"/>
        <v>9</v>
      </c>
      <c r="AC368" s="278" t="s">
        <v>920</v>
      </c>
      <c r="AD368" s="278" t="s">
        <v>422</v>
      </c>
      <c r="AE368" s="278" t="s">
        <v>423</v>
      </c>
      <c r="AF368" s="278" t="s">
        <v>422</v>
      </c>
      <c r="AG368" s="278" t="s">
        <v>422</v>
      </c>
      <c r="AH368" s="278" t="s">
        <v>423</v>
      </c>
      <c r="AI368" s="278" t="s">
        <v>422</v>
      </c>
      <c r="AJ368" s="278" t="s">
        <v>423</v>
      </c>
      <c r="AK368" s="278" t="s">
        <v>423</v>
      </c>
      <c r="AL368" s="279" t="s">
        <v>254</v>
      </c>
      <c r="AM368" s="241"/>
      <c r="AN368" s="242"/>
    </row>
    <row r="369" spans="1:40" s="295" customFormat="1" ht="15" customHeight="1" x14ac:dyDescent="0.3">
      <c r="A369" s="185">
        <v>365</v>
      </c>
      <c r="B369" s="285" t="s">
        <v>1662</v>
      </c>
      <c r="C369" s="281" t="s">
        <v>1618</v>
      </c>
      <c r="D369" s="200" t="s">
        <v>1881</v>
      </c>
      <c r="E369" s="383"/>
      <c r="F369" s="383"/>
      <c r="G369" s="370" t="s">
        <v>1604</v>
      </c>
      <c r="H369" s="248" t="s">
        <v>422</v>
      </c>
      <c r="I369" s="248">
        <v>2</v>
      </c>
      <c r="J369" s="248">
        <v>6.8</v>
      </c>
      <c r="K369" s="248">
        <v>0</v>
      </c>
      <c r="L369" s="212">
        <v>1</v>
      </c>
      <c r="M369" s="212">
        <f t="shared" si="48"/>
        <v>9.8000000000000007</v>
      </c>
      <c r="N369" s="212">
        <f t="shared" si="49"/>
        <v>16</v>
      </c>
      <c r="O369" s="212">
        <f t="shared" si="50"/>
        <v>27.2</v>
      </c>
      <c r="P369" s="212">
        <f t="shared" si="51"/>
        <v>0</v>
      </c>
      <c r="Q369" s="212">
        <f t="shared" si="52"/>
        <v>8</v>
      </c>
      <c r="R369" s="212">
        <f t="shared" si="53"/>
        <v>51.2</v>
      </c>
      <c r="S369" s="286" t="s">
        <v>1678</v>
      </c>
      <c r="T369" s="313" t="s">
        <v>1677</v>
      </c>
      <c r="U369" s="280">
        <v>120</v>
      </c>
      <c r="V369" s="280">
        <v>124</v>
      </c>
      <c r="W369" s="280">
        <v>124</v>
      </c>
      <c r="X369" s="276">
        <v>44333</v>
      </c>
      <c r="Y369" s="277">
        <v>44394</v>
      </c>
      <c r="Z369" s="276">
        <v>44463</v>
      </c>
      <c r="AA369" s="273">
        <f t="shared" si="54"/>
        <v>2021</v>
      </c>
      <c r="AB369" s="273">
        <f t="shared" si="55"/>
        <v>9</v>
      </c>
      <c r="AC369" s="278" t="s">
        <v>920</v>
      </c>
      <c r="AD369" s="278" t="s">
        <v>422</v>
      </c>
      <c r="AE369" s="278" t="s">
        <v>423</v>
      </c>
      <c r="AF369" s="278" t="s">
        <v>422</v>
      </c>
      <c r="AG369" s="278" t="s">
        <v>422</v>
      </c>
      <c r="AH369" s="278" t="s">
        <v>423</v>
      </c>
      <c r="AI369" s="278" t="s">
        <v>423</v>
      </c>
      <c r="AJ369" s="278" t="s">
        <v>423</v>
      </c>
      <c r="AK369" s="278" t="s">
        <v>422</v>
      </c>
      <c r="AL369" s="279" t="s">
        <v>1372</v>
      </c>
      <c r="AM369" s="241"/>
      <c r="AN369" s="242"/>
    </row>
    <row r="370" spans="1:40" ht="15" customHeight="1" x14ac:dyDescent="0.3">
      <c r="A370" s="185">
        <v>366</v>
      </c>
      <c r="B370" s="285" t="s">
        <v>1663</v>
      </c>
      <c r="C370" s="281" t="s">
        <v>1618</v>
      </c>
      <c r="D370" s="200" t="s">
        <v>1881</v>
      </c>
      <c r="E370" s="383"/>
      <c r="F370" s="383"/>
      <c r="G370" s="370" t="s">
        <v>1604</v>
      </c>
      <c r="H370" s="248" t="s">
        <v>422</v>
      </c>
      <c r="I370" s="248">
        <v>2</v>
      </c>
      <c r="J370" s="248">
        <v>7.5</v>
      </c>
      <c r="K370" s="248">
        <v>0</v>
      </c>
      <c r="L370" s="212">
        <v>1</v>
      </c>
      <c r="M370" s="212">
        <f t="shared" si="48"/>
        <v>10.5</v>
      </c>
      <c r="N370" s="212">
        <f t="shared" si="49"/>
        <v>16</v>
      </c>
      <c r="O370" s="212">
        <f t="shared" si="50"/>
        <v>30</v>
      </c>
      <c r="P370" s="212">
        <f t="shared" si="51"/>
        <v>0</v>
      </c>
      <c r="Q370" s="212">
        <f t="shared" si="52"/>
        <v>8</v>
      </c>
      <c r="R370" s="212">
        <f t="shared" si="53"/>
        <v>54</v>
      </c>
      <c r="S370" s="286" t="s">
        <v>1680</v>
      </c>
      <c r="T370" s="275" t="s">
        <v>1679</v>
      </c>
      <c r="U370" s="280">
        <v>120</v>
      </c>
      <c r="V370" s="280">
        <v>124</v>
      </c>
      <c r="W370" s="280">
        <v>124</v>
      </c>
      <c r="X370" s="276">
        <v>44333</v>
      </c>
      <c r="Y370" s="277">
        <v>44394</v>
      </c>
      <c r="Z370" s="276">
        <v>44463</v>
      </c>
      <c r="AA370" s="273">
        <f t="shared" si="54"/>
        <v>2021</v>
      </c>
      <c r="AB370" s="273">
        <f t="shared" si="55"/>
        <v>9</v>
      </c>
      <c r="AC370" s="278" t="s">
        <v>920</v>
      </c>
      <c r="AD370" s="278" t="s">
        <v>422</v>
      </c>
      <c r="AE370" s="278" t="s">
        <v>423</v>
      </c>
      <c r="AF370" s="278" t="s">
        <v>422</v>
      </c>
      <c r="AG370" s="278" t="s">
        <v>422</v>
      </c>
      <c r="AH370" s="278" t="s">
        <v>423</v>
      </c>
      <c r="AI370" s="278" t="s">
        <v>423</v>
      </c>
      <c r="AJ370" s="278" t="s">
        <v>423</v>
      </c>
      <c r="AK370" s="278" t="s">
        <v>422</v>
      </c>
      <c r="AL370" s="279" t="s">
        <v>1372</v>
      </c>
      <c r="AM370" s="241"/>
      <c r="AN370" s="242"/>
    </row>
    <row r="371" spans="1:40" ht="15" customHeight="1" x14ac:dyDescent="0.3">
      <c r="A371" s="185">
        <v>372</v>
      </c>
      <c r="B371" s="285" t="s">
        <v>1692</v>
      </c>
      <c r="C371" s="281" t="s">
        <v>1618</v>
      </c>
      <c r="D371" s="200" t="s">
        <v>1848</v>
      </c>
      <c r="E371" s="383" t="s">
        <v>1790</v>
      </c>
      <c r="F371" s="383" t="s">
        <v>1597</v>
      </c>
      <c r="G371" s="370" t="s">
        <v>1596</v>
      </c>
      <c r="H371" s="248" t="s">
        <v>422</v>
      </c>
      <c r="I371" s="248">
        <v>2</v>
      </c>
      <c r="J371" s="248">
        <v>11.5</v>
      </c>
      <c r="K371" s="248">
        <v>9</v>
      </c>
      <c r="L371" s="212">
        <v>1</v>
      </c>
      <c r="M371" s="212">
        <f t="shared" si="48"/>
        <v>23.5</v>
      </c>
      <c r="N371" s="212">
        <f t="shared" si="49"/>
        <v>16</v>
      </c>
      <c r="O371" s="212">
        <f t="shared" si="50"/>
        <v>46</v>
      </c>
      <c r="P371" s="212">
        <f t="shared" si="51"/>
        <v>60</v>
      </c>
      <c r="Q371" s="212">
        <f t="shared" si="52"/>
        <v>8</v>
      </c>
      <c r="R371" s="212">
        <f t="shared" si="53"/>
        <v>130</v>
      </c>
      <c r="S371" s="286" t="s">
        <v>1705</v>
      </c>
      <c r="T371" s="275" t="s">
        <v>1714</v>
      </c>
      <c r="U371" s="280">
        <v>20</v>
      </c>
      <c r="V371" s="280">
        <v>22</v>
      </c>
      <c r="W371" s="280">
        <v>22</v>
      </c>
      <c r="X371" s="276">
        <v>44351</v>
      </c>
      <c r="Y371" s="277">
        <v>44423</v>
      </c>
      <c r="Z371" s="276">
        <v>44463</v>
      </c>
      <c r="AA371" s="273">
        <f t="shared" si="54"/>
        <v>2021</v>
      </c>
      <c r="AB371" s="273">
        <f t="shared" si="55"/>
        <v>9</v>
      </c>
      <c r="AC371" s="278" t="s">
        <v>920</v>
      </c>
      <c r="AD371" s="278" t="s">
        <v>422</v>
      </c>
      <c r="AE371" s="278" t="s">
        <v>422</v>
      </c>
      <c r="AF371" s="278" t="s">
        <v>422</v>
      </c>
      <c r="AG371" s="278" t="s">
        <v>422</v>
      </c>
      <c r="AH371" s="278" t="s">
        <v>422</v>
      </c>
      <c r="AI371" s="278" t="s">
        <v>422</v>
      </c>
      <c r="AJ371" s="278" t="s">
        <v>423</v>
      </c>
      <c r="AK371" s="278" t="s">
        <v>423</v>
      </c>
      <c r="AL371" s="279" t="s">
        <v>772</v>
      </c>
      <c r="AM371" s="241"/>
      <c r="AN371" s="242"/>
    </row>
    <row r="372" spans="1:40" ht="15" customHeight="1" x14ac:dyDescent="0.3">
      <c r="A372" s="185">
        <v>373</v>
      </c>
      <c r="B372" s="285" t="s">
        <v>1693</v>
      </c>
      <c r="C372" s="281" t="s">
        <v>1618</v>
      </c>
      <c r="D372" s="200" t="s">
        <v>1848</v>
      </c>
      <c r="E372" s="383" t="s">
        <v>1790</v>
      </c>
      <c r="F372" s="383" t="s">
        <v>1597</v>
      </c>
      <c r="G372" s="370" t="s">
        <v>1596</v>
      </c>
      <c r="H372" s="248" t="s">
        <v>422</v>
      </c>
      <c r="I372" s="248">
        <v>2</v>
      </c>
      <c r="J372" s="248">
        <v>5.5</v>
      </c>
      <c r="K372" s="248">
        <v>11</v>
      </c>
      <c r="L372" s="212">
        <v>1</v>
      </c>
      <c r="M372" s="212">
        <f t="shared" si="48"/>
        <v>19.5</v>
      </c>
      <c r="N372" s="212">
        <f t="shared" si="49"/>
        <v>16</v>
      </c>
      <c r="O372" s="212">
        <f t="shared" si="50"/>
        <v>22</v>
      </c>
      <c r="P372" s="212">
        <f t="shared" si="51"/>
        <v>73.333333333333343</v>
      </c>
      <c r="Q372" s="212">
        <f t="shared" si="52"/>
        <v>8</v>
      </c>
      <c r="R372" s="212">
        <f t="shared" si="53"/>
        <v>119.33333333333334</v>
      </c>
      <c r="S372" s="286" t="s">
        <v>1706</v>
      </c>
      <c r="T372" s="275" t="s">
        <v>1715</v>
      </c>
      <c r="U372" s="280">
        <v>10</v>
      </c>
      <c r="V372" s="280">
        <v>11</v>
      </c>
      <c r="W372" s="280">
        <v>11</v>
      </c>
      <c r="X372" s="276">
        <v>44351</v>
      </c>
      <c r="Y372" s="277">
        <v>44423</v>
      </c>
      <c r="Z372" s="276">
        <v>44463</v>
      </c>
      <c r="AA372" s="273">
        <f t="shared" si="54"/>
        <v>2021</v>
      </c>
      <c r="AB372" s="273">
        <f t="shared" si="55"/>
        <v>9</v>
      </c>
      <c r="AC372" s="278" t="s">
        <v>920</v>
      </c>
      <c r="AD372" s="278" t="s">
        <v>422</v>
      </c>
      <c r="AE372" s="278" t="s">
        <v>423</v>
      </c>
      <c r="AF372" s="278" t="s">
        <v>422</v>
      </c>
      <c r="AG372" s="278" t="s">
        <v>422</v>
      </c>
      <c r="AH372" s="278" t="s">
        <v>423</v>
      </c>
      <c r="AI372" s="278" t="s">
        <v>422</v>
      </c>
      <c r="AJ372" s="278" t="s">
        <v>423</v>
      </c>
      <c r="AK372" s="278" t="s">
        <v>423</v>
      </c>
      <c r="AL372" s="279" t="s">
        <v>772</v>
      </c>
      <c r="AM372" s="241"/>
      <c r="AN372" s="242"/>
    </row>
    <row r="373" spans="1:40" ht="15" customHeight="1" x14ac:dyDescent="0.3">
      <c r="A373" s="185">
        <v>374</v>
      </c>
      <c r="B373" s="285" t="s">
        <v>1694</v>
      </c>
      <c r="C373" s="281" t="s">
        <v>1618</v>
      </c>
      <c r="D373" s="200" t="s">
        <v>1848</v>
      </c>
      <c r="E373" s="383" t="s">
        <v>1790</v>
      </c>
      <c r="F373" s="383" t="s">
        <v>1597</v>
      </c>
      <c r="G373" s="370" t="s">
        <v>1596</v>
      </c>
      <c r="H373" s="248" t="s">
        <v>422</v>
      </c>
      <c r="I373" s="248">
        <v>1</v>
      </c>
      <c r="J373" s="248">
        <v>3.5</v>
      </c>
      <c r="K373" s="248">
        <v>6</v>
      </c>
      <c r="L373" s="212">
        <v>1</v>
      </c>
      <c r="M373" s="212">
        <f t="shared" si="48"/>
        <v>11.5</v>
      </c>
      <c r="N373" s="212">
        <f t="shared" si="49"/>
        <v>8</v>
      </c>
      <c r="O373" s="212">
        <f t="shared" si="50"/>
        <v>14</v>
      </c>
      <c r="P373" s="212">
        <f t="shared" si="51"/>
        <v>40</v>
      </c>
      <c r="Q373" s="212">
        <f t="shared" si="52"/>
        <v>8</v>
      </c>
      <c r="R373" s="212">
        <f t="shared" si="53"/>
        <v>70</v>
      </c>
      <c r="S373" s="286" t="s">
        <v>1707</v>
      </c>
      <c r="T373" s="275" t="s">
        <v>1716</v>
      </c>
      <c r="U373" s="280">
        <v>10</v>
      </c>
      <c r="V373" s="280">
        <v>11</v>
      </c>
      <c r="W373" s="280">
        <v>11</v>
      </c>
      <c r="X373" s="276">
        <v>44351</v>
      </c>
      <c r="Y373" s="277">
        <v>44423</v>
      </c>
      <c r="Z373" s="276">
        <v>44463</v>
      </c>
      <c r="AA373" s="273">
        <f t="shared" si="54"/>
        <v>2021</v>
      </c>
      <c r="AB373" s="273">
        <f t="shared" si="55"/>
        <v>9</v>
      </c>
      <c r="AC373" s="278" t="s">
        <v>920</v>
      </c>
      <c r="AD373" s="278" t="s">
        <v>422</v>
      </c>
      <c r="AE373" s="278" t="s">
        <v>423</v>
      </c>
      <c r="AF373" s="278" t="s">
        <v>422</v>
      </c>
      <c r="AG373" s="278" t="s">
        <v>422</v>
      </c>
      <c r="AH373" s="278" t="s">
        <v>423</v>
      </c>
      <c r="AI373" s="278" t="s">
        <v>422</v>
      </c>
      <c r="AJ373" s="278" t="s">
        <v>423</v>
      </c>
      <c r="AK373" s="278" t="s">
        <v>423</v>
      </c>
      <c r="AL373" s="279" t="s">
        <v>772</v>
      </c>
      <c r="AM373" s="241"/>
      <c r="AN373" s="242"/>
    </row>
    <row r="374" spans="1:40" ht="15" customHeight="1" x14ac:dyDescent="0.3">
      <c r="A374" s="185">
        <v>375</v>
      </c>
      <c r="B374" s="285" t="s">
        <v>1695</v>
      </c>
      <c r="C374" s="281" t="s">
        <v>1618</v>
      </c>
      <c r="D374" s="200" t="s">
        <v>1848</v>
      </c>
      <c r="E374" s="383" t="s">
        <v>1790</v>
      </c>
      <c r="F374" s="383" t="s">
        <v>1597</v>
      </c>
      <c r="G374" s="370" t="s">
        <v>1596</v>
      </c>
      <c r="H374" s="248" t="s">
        <v>422</v>
      </c>
      <c r="I374" s="248">
        <v>1</v>
      </c>
      <c r="J374" s="248">
        <v>3.5</v>
      </c>
      <c r="K374" s="359">
        <v>6</v>
      </c>
      <c r="L374" s="212">
        <v>1</v>
      </c>
      <c r="M374" s="212">
        <f t="shared" si="48"/>
        <v>11.5</v>
      </c>
      <c r="N374" s="212">
        <f t="shared" si="49"/>
        <v>8</v>
      </c>
      <c r="O374" s="212">
        <f t="shared" si="50"/>
        <v>14</v>
      </c>
      <c r="P374" s="212">
        <f t="shared" si="51"/>
        <v>40</v>
      </c>
      <c r="Q374" s="212">
        <f t="shared" si="52"/>
        <v>8</v>
      </c>
      <c r="R374" s="212">
        <f t="shared" si="53"/>
        <v>70</v>
      </c>
      <c r="S374" s="286" t="s">
        <v>1708</v>
      </c>
      <c r="T374" s="275" t="s">
        <v>1717</v>
      </c>
      <c r="U374" s="280">
        <v>10</v>
      </c>
      <c r="V374" s="280">
        <v>11</v>
      </c>
      <c r="W374" s="280">
        <v>11</v>
      </c>
      <c r="X374" s="276">
        <v>44351</v>
      </c>
      <c r="Y374" s="277">
        <v>44423</v>
      </c>
      <c r="Z374" s="276">
        <v>44463</v>
      </c>
      <c r="AA374" s="273">
        <f t="shared" si="54"/>
        <v>2021</v>
      </c>
      <c r="AB374" s="273">
        <f t="shared" si="55"/>
        <v>9</v>
      </c>
      <c r="AC374" s="278" t="s">
        <v>920</v>
      </c>
      <c r="AD374" s="278" t="s">
        <v>422</v>
      </c>
      <c r="AE374" s="278" t="s">
        <v>423</v>
      </c>
      <c r="AF374" s="278" t="s">
        <v>422</v>
      </c>
      <c r="AG374" s="278" t="s">
        <v>422</v>
      </c>
      <c r="AH374" s="278" t="s">
        <v>423</v>
      </c>
      <c r="AI374" s="278" t="s">
        <v>422</v>
      </c>
      <c r="AJ374" s="278" t="s">
        <v>423</v>
      </c>
      <c r="AK374" s="278" t="s">
        <v>423</v>
      </c>
      <c r="AL374" s="279" t="s">
        <v>772</v>
      </c>
      <c r="AM374" s="241"/>
      <c r="AN374" s="242"/>
    </row>
    <row r="375" spans="1:40" s="295" customFormat="1" ht="15" customHeight="1" x14ac:dyDescent="0.3">
      <c r="A375" s="185">
        <v>376</v>
      </c>
      <c r="B375" s="285" t="s">
        <v>1696</v>
      </c>
      <c r="C375" s="281" t="s">
        <v>1618</v>
      </c>
      <c r="D375" s="200" t="s">
        <v>1848</v>
      </c>
      <c r="E375" s="383" t="s">
        <v>1790</v>
      </c>
      <c r="F375" s="383" t="s">
        <v>1597</v>
      </c>
      <c r="G375" s="370" t="s">
        <v>1596</v>
      </c>
      <c r="H375" s="248" t="s">
        <v>422</v>
      </c>
      <c r="I375" s="248">
        <v>2</v>
      </c>
      <c r="J375" s="248">
        <v>5.5</v>
      </c>
      <c r="K375" s="359">
        <v>6</v>
      </c>
      <c r="L375" s="212">
        <v>1</v>
      </c>
      <c r="M375" s="212">
        <f t="shared" si="48"/>
        <v>14.5</v>
      </c>
      <c r="N375" s="212">
        <f t="shared" si="49"/>
        <v>16</v>
      </c>
      <c r="O375" s="212">
        <f t="shared" si="50"/>
        <v>22</v>
      </c>
      <c r="P375" s="212">
        <f t="shared" si="51"/>
        <v>40</v>
      </c>
      <c r="Q375" s="212">
        <f t="shared" si="52"/>
        <v>8</v>
      </c>
      <c r="R375" s="212">
        <f t="shared" si="53"/>
        <v>86</v>
      </c>
      <c r="S375" s="286" t="s">
        <v>1709</v>
      </c>
      <c r="T375" s="313" t="s">
        <v>1718</v>
      </c>
      <c r="U375" s="280">
        <v>10</v>
      </c>
      <c r="V375" s="280">
        <v>11</v>
      </c>
      <c r="W375" s="280">
        <v>11</v>
      </c>
      <c r="X375" s="276">
        <v>44351</v>
      </c>
      <c r="Y375" s="277">
        <v>44423</v>
      </c>
      <c r="Z375" s="276">
        <v>44463</v>
      </c>
      <c r="AA375" s="273">
        <f t="shared" si="54"/>
        <v>2021</v>
      </c>
      <c r="AB375" s="273">
        <f t="shared" si="55"/>
        <v>9</v>
      </c>
      <c r="AC375" s="278" t="s">
        <v>920</v>
      </c>
      <c r="AD375" s="278" t="s">
        <v>422</v>
      </c>
      <c r="AE375" s="278" t="s">
        <v>423</v>
      </c>
      <c r="AF375" s="278" t="s">
        <v>422</v>
      </c>
      <c r="AG375" s="278" t="s">
        <v>422</v>
      </c>
      <c r="AH375" s="278" t="s">
        <v>423</v>
      </c>
      <c r="AI375" s="278" t="s">
        <v>422</v>
      </c>
      <c r="AJ375" s="278" t="s">
        <v>423</v>
      </c>
      <c r="AK375" s="278" t="s">
        <v>423</v>
      </c>
      <c r="AL375" s="279" t="s">
        <v>772</v>
      </c>
      <c r="AM375" s="241"/>
      <c r="AN375" s="242"/>
    </row>
    <row r="376" spans="1:40" ht="15" customHeight="1" x14ac:dyDescent="0.3">
      <c r="A376" s="185">
        <v>377</v>
      </c>
      <c r="B376" s="285" t="s">
        <v>1697</v>
      </c>
      <c r="C376" s="281" t="s">
        <v>1618</v>
      </c>
      <c r="D376" s="200" t="s">
        <v>1848</v>
      </c>
      <c r="E376" s="383" t="s">
        <v>1790</v>
      </c>
      <c r="F376" s="383" t="s">
        <v>1597</v>
      </c>
      <c r="G376" s="370" t="s">
        <v>1596</v>
      </c>
      <c r="H376" s="248" t="s">
        <v>422</v>
      </c>
      <c r="I376" s="248">
        <v>1</v>
      </c>
      <c r="J376" s="248">
        <v>3.5</v>
      </c>
      <c r="K376" s="359">
        <v>6</v>
      </c>
      <c r="L376" s="212">
        <v>1</v>
      </c>
      <c r="M376" s="212">
        <f t="shared" si="48"/>
        <v>11.5</v>
      </c>
      <c r="N376" s="212">
        <f t="shared" si="49"/>
        <v>8</v>
      </c>
      <c r="O376" s="212">
        <f t="shared" si="50"/>
        <v>14</v>
      </c>
      <c r="P376" s="212">
        <f t="shared" si="51"/>
        <v>40</v>
      </c>
      <c r="Q376" s="212">
        <f t="shared" si="52"/>
        <v>8</v>
      </c>
      <c r="R376" s="212">
        <f t="shared" si="53"/>
        <v>70</v>
      </c>
      <c r="S376" s="286" t="s">
        <v>1710</v>
      </c>
      <c r="T376" s="275" t="s">
        <v>1719</v>
      </c>
      <c r="U376" s="280">
        <v>10</v>
      </c>
      <c r="V376" s="280">
        <v>11</v>
      </c>
      <c r="W376" s="280">
        <v>11</v>
      </c>
      <c r="X376" s="276">
        <v>44351</v>
      </c>
      <c r="Y376" s="277">
        <v>44423</v>
      </c>
      <c r="Z376" s="276">
        <v>44463</v>
      </c>
      <c r="AA376" s="273">
        <f t="shared" si="54"/>
        <v>2021</v>
      </c>
      <c r="AB376" s="273">
        <f t="shared" si="55"/>
        <v>9</v>
      </c>
      <c r="AC376" s="278" t="s">
        <v>920</v>
      </c>
      <c r="AD376" s="278" t="s">
        <v>422</v>
      </c>
      <c r="AE376" s="278" t="s">
        <v>423</v>
      </c>
      <c r="AF376" s="278" t="s">
        <v>422</v>
      </c>
      <c r="AG376" s="278" t="s">
        <v>422</v>
      </c>
      <c r="AH376" s="278" t="s">
        <v>423</v>
      </c>
      <c r="AI376" s="278" t="s">
        <v>422</v>
      </c>
      <c r="AJ376" s="278" t="s">
        <v>423</v>
      </c>
      <c r="AK376" s="278" t="s">
        <v>423</v>
      </c>
      <c r="AL376" s="279" t="s">
        <v>772</v>
      </c>
      <c r="AM376" s="241"/>
      <c r="AN376" s="242"/>
    </row>
    <row r="377" spans="1:40" ht="15" customHeight="1" x14ac:dyDescent="0.3">
      <c r="A377" s="185">
        <v>378</v>
      </c>
      <c r="B377" s="285" t="s">
        <v>1698</v>
      </c>
      <c r="C377" s="281" t="s">
        <v>1618</v>
      </c>
      <c r="D377" s="200" t="s">
        <v>1848</v>
      </c>
      <c r="E377" s="383" t="s">
        <v>1790</v>
      </c>
      <c r="F377" s="383" t="s">
        <v>1597</v>
      </c>
      <c r="G377" s="370" t="s">
        <v>1596</v>
      </c>
      <c r="H377" s="248" t="s">
        <v>422</v>
      </c>
      <c r="I377" s="248">
        <v>1</v>
      </c>
      <c r="J377" s="248">
        <v>3.5</v>
      </c>
      <c r="K377" s="359">
        <v>6</v>
      </c>
      <c r="L377" s="212">
        <v>1</v>
      </c>
      <c r="M377" s="212">
        <f t="shared" si="48"/>
        <v>11.5</v>
      </c>
      <c r="N377" s="212">
        <f t="shared" si="49"/>
        <v>8</v>
      </c>
      <c r="O377" s="212">
        <f t="shared" si="50"/>
        <v>14</v>
      </c>
      <c r="P377" s="212">
        <f t="shared" si="51"/>
        <v>40</v>
      </c>
      <c r="Q377" s="212">
        <f t="shared" si="52"/>
        <v>8</v>
      </c>
      <c r="R377" s="212">
        <f t="shared" si="53"/>
        <v>70</v>
      </c>
      <c r="S377" s="286" t="s">
        <v>1711</v>
      </c>
      <c r="T377" s="275" t="s">
        <v>1720</v>
      </c>
      <c r="U377" s="280">
        <v>10</v>
      </c>
      <c r="V377" s="280">
        <v>11</v>
      </c>
      <c r="W377" s="280">
        <v>11</v>
      </c>
      <c r="X377" s="276">
        <v>44351</v>
      </c>
      <c r="Y377" s="277">
        <v>44423</v>
      </c>
      <c r="Z377" s="276">
        <v>44463</v>
      </c>
      <c r="AA377" s="273">
        <f t="shared" si="54"/>
        <v>2021</v>
      </c>
      <c r="AB377" s="273">
        <f t="shared" si="55"/>
        <v>9</v>
      </c>
      <c r="AC377" s="278" t="s">
        <v>920</v>
      </c>
      <c r="AD377" s="278" t="s">
        <v>422</v>
      </c>
      <c r="AE377" s="278" t="s">
        <v>423</v>
      </c>
      <c r="AF377" s="278" t="s">
        <v>422</v>
      </c>
      <c r="AG377" s="278" t="s">
        <v>422</v>
      </c>
      <c r="AH377" s="278" t="s">
        <v>423</v>
      </c>
      <c r="AI377" s="278" t="s">
        <v>422</v>
      </c>
      <c r="AJ377" s="278" t="s">
        <v>423</v>
      </c>
      <c r="AK377" s="278" t="s">
        <v>423</v>
      </c>
      <c r="AL377" s="279" t="s">
        <v>772</v>
      </c>
      <c r="AM377" s="241"/>
      <c r="AN377" s="242"/>
    </row>
    <row r="378" spans="1:40" ht="15" customHeight="1" x14ac:dyDescent="0.3">
      <c r="A378" s="185">
        <v>382</v>
      </c>
      <c r="B378" s="285" t="s">
        <v>1721</v>
      </c>
      <c r="C378" s="281" t="s">
        <v>1621</v>
      </c>
      <c r="D378" s="200" t="s">
        <v>1881</v>
      </c>
      <c r="E378" s="383" t="s">
        <v>1596</v>
      </c>
      <c r="F378" s="383" t="s">
        <v>1597</v>
      </c>
      <c r="G378" s="370" t="s">
        <v>1604</v>
      </c>
      <c r="H378" s="248" t="s">
        <v>422</v>
      </c>
      <c r="I378" s="248">
        <v>2</v>
      </c>
      <c r="J378" s="248">
        <v>11</v>
      </c>
      <c r="K378" s="248">
        <v>0</v>
      </c>
      <c r="L378" s="212">
        <v>1</v>
      </c>
      <c r="M378" s="212">
        <f t="shared" si="48"/>
        <v>14</v>
      </c>
      <c r="N378" s="212">
        <f t="shared" si="49"/>
        <v>16</v>
      </c>
      <c r="O378" s="212">
        <f t="shared" si="50"/>
        <v>44</v>
      </c>
      <c r="P378" s="212">
        <f t="shared" si="51"/>
        <v>0</v>
      </c>
      <c r="Q378" s="212">
        <f t="shared" si="52"/>
        <v>8</v>
      </c>
      <c r="R378" s="212">
        <f t="shared" si="53"/>
        <v>68</v>
      </c>
      <c r="S378" s="286" t="s">
        <v>1726</v>
      </c>
      <c r="T378" s="275" t="s">
        <v>1728</v>
      </c>
      <c r="U378" s="280">
        <v>18</v>
      </c>
      <c r="V378" s="280">
        <v>18</v>
      </c>
      <c r="W378" s="280">
        <v>18</v>
      </c>
      <c r="X378" s="276">
        <v>44389</v>
      </c>
      <c r="Y378" s="277">
        <v>44408</v>
      </c>
      <c r="Z378" s="276">
        <v>44446</v>
      </c>
      <c r="AA378" s="273">
        <f t="shared" si="54"/>
        <v>2021</v>
      </c>
      <c r="AB378" s="273">
        <f t="shared" si="55"/>
        <v>9</v>
      </c>
      <c r="AC378" s="278" t="s">
        <v>920</v>
      </c>
      <c r="AD378" s="278" t="s">
        <v>422</v>
      </c>
      <c r="AE378" s="278" t="s">
        <v>423</v>
      </c>
      <c r="AF378" s="278" t="s">
        <v>422</v>
      </c>
      <c r="AG378" s="278" t="s">
        <v>422</v>
      </c>
      <c r="AH378" s="278" t="s">
        <v>422</v>
      </c>
      <c r="AI378" s="278" t="s">
        <v>423</v>
      </c>
      <c r="AJ378" s="278" t="s">
        <v>423</v>
      </c>
      <c r="AK378" s="278" t="s">
        <v>423</v>
      </c>
      <c r="AL378" s="279" t="s">
        <v>140</v>
      </c>
      <c r="AM378" s="241"/>
      <c r="AN378" s="242"/>
    </row>
    <row r="379" spans="1:40" ht="15" customHeight="1" x14ac:dyDescent="0.3">
      <c r="A379" s="185">
        <v>383</v>
      </c>
      <c r="B379" s="285" t="s">
        <v>1722</v>
      </c>
      <c r="C379" s="281" t="s">
        <v>1621</v>
      </c>
      <c r="D379" s="200" t="s">
        <v>1881</v>
      </c>
      <c r="E379" s="383" t="s">
        <v>1596</v>
      </c>
      <c r="F379" s="383" t="s">
        <v>1597</v>
      </c>
      <c r="G379" s="370" t="s">
        <v>1604</v>
      </c>
      <c r="H379" s="248" t="s">
        <v>422</v>
      </c>
      <c r="I379" s="248">
        <v>2</v>
      </c>
      <c r="J379" s="248">
        <v>11</v>
      </c>
      <c r="K379" s="248">
        <v>0</v>
      </c>
      <c r="L379" s="212">
        <v>1</v>
      </c>
      <c r="M379" s="212">
        <f t="shared" si="48"/>
        <v>14</v>
      </c>
      <c r="N379" s="212">
        <f t="shared" si="49"/>
        <v>16</v>
      </c>
      <c r="O379" s="212">
        <f t="shared" si="50"/>
        <v>44</v>
      </c>
      <c r="P379" s="212">
        <f t="shared" si="51"/>
        <v>0</v>
      </c>
      <c r="Q379" s="212">
        <f t="shared" si="52"/>
        <v>8</v>
      </c>
      <c r="R379" s="212">
        <f t="shared" si="53"/>
        <v>68</v>
      </c>
      <c r="S379" s="286" t="s">
        <v>1725</v>
      </c>
      <c r="T379" s="275" t="s">
        <v>1728</v>
      </c>
      <c r="U379" s="280">
        <v>18</v>
      </c>
      <c r="V379" s="280">
        <v>18</v>
      </c>
      <c r="W379" s="280">
        <v>18</v>
      </c>
      <c r="X379" s="276">
        <v>44389</v>
      </c>
      <c r="Y379" s="277">
        <v>44408</v>
      </c>
      <c r="Z379" s="276">
        <v>44446</v>
      </c>
      <c r="AA379" s="273">
        <f t="shared" si="54"/>
        <v>2021</v>
      </c>
      <c r="AB379" s="273">
        <f t="shared" si="55"/>
        <v>9</v>
      </c>
      <c r="AC379" s="278" t="s">
        <v>920</v>
      </c>
      <c r="AD379" s="278" t="s">
        <v>422</v>
      </c>
      <c r="AE379" s="278" t="s">
        <v>423</v>
      </c>
      <c r="AF379" s="278" t="s">
        <v>422</v>
      </c>
      <c r="AG379" s="278" t="s">
        <v>422</v>
      </c>
      <c r="AH379" s="278" t="s">
        <v>422</v>
      </c>
      <c r="AI379" s="278" t="s">
        <v>423</v>
      </c>
      <c r="AJ379" s="278" t="s">
        <v>423</v>
      </c>
      <c r="AK379" s="278" t="s">
        <v>423</v>
      </c>
      <c r="AL379" s="279" t="s">
        <v>140</v>
      </c>
      <c r="AM379" s="241"/>
      <c r="AN379" s="242"/>
    </row>
    <row r="380" spans="1:40" ht="15" customHeight="1" x14ac:dyDescent="0.3">
      <c r="A380" s="185">
        <v>384</v>
      </c>
      <c r="B380" s="285" t="s">
        <v>1723</v>
      </c>
      <c r="C380" s="281" t="s">
        <v>1621</v>
      </c>
      <c r="D380" s="200" t="s">
        <v>1881</v>
      </c>
      <c r="E380" s="383" t="s">
        <v>1596</v>
      </c>
      <c r="F380" s="383" t="s">
        <v>1597</v>
      </c>
      <c r="G380" s="370" t="s">
        <v>1604</v>
      </c>
      <c r="H380" s="248" t="s">
        <v>422</v>
      </c>
      <c r="I380" s="248">
        <v>2</v>
      </c>
      <c r="J380" s="248">
        <v>12</v>
      </c>
      <c r="K380" s="248">
        <v>0</v>
      </c>
      <c r="L380" s="212">
        <v>1</v>
      </c>
      <c r="M380" s="212">
        <f t="shared" si="48"/>
        <v>15</v>
      </c>
      <c r="N380" s="212">
        <f t="shared" si="49"/>
        <v>16</v>
      </c>
      <c r="O380" s="212">
        <f t="shared" si="50"/>
        <v>48</v>
      </c>
      <c r="P380" s="212">
        <f t="shared" si="51"/>
        <v>0</v>
      </c>
      <c r="Q380" s="212">
        <f t="shared" si="52"/>
        <v>8</v>
      </c>
      <c r="R380" s="212">
        <f t="shared" si="53"/>
        <v>72</v>
      </c>
      <c r="S380" s="286" t="s">
        <v>1725</v>
      </c>
      <c r="T380" s="275" t="s">
        <v>1729</v>
      </c>
      <c r="U380" s="280">
        <v>18</v>
      </c>
      <c r="V380" s="280">
        <v>18</v>
      </c>
      <c r="W380" s="280">
        <v>18</v>
      </c>
      <c r="X380" s="276">
        <v>44389</v>
      </c>
      <c r="Y380" s="277">
        <v>44408</v>
      </c>
      <c r="Z380" s="276">
        <v>44446</v>
      </c>
      <c r="AA380" s="273">
        <f t="shared" si="54"/>
        <v>2021</v>
      </c>
      <c r="AB380" s="273">
        <f t="shared" si="55"/>
        <v>9</v>
      </c>
      <c r="AC380" s="278" t="s">
        <v>920</v>
      </c>
      <c r="AD380" s="278" t="s">
        <v>422</v>
      </c>
      <c r="AE380" s="278" t="s">
        <v>423</v>
      </c>
      <c r="AF380" s="278" t="s">
        <v>422</v>
      </c>
      <c r="AG380" s="278" t="s">
        <v>422</v>
      </c>
      <c r="AH380" s="278" t="s">
        <v>422</v>
      </c>
      <c r="AI380" s="278" t="s">
        <v>423</v>
      </c>
      <c r="AJ380" s="278" t="s">
        <v>422</v>
      </c>
      <c r="AK380" s="278" t="s">
        <v>423</v>
      </c>
      <c r="AL380" s="279" t="s">
        <v>140</v>
      </c>
      <c r="AM380" s="241"/>
      <c r="AN380" s="242"/>
    </row>
    <row r="381" spans="1:40" ht="15" customHeight="1" x14ac:dyDescent="0.3">
      <c r="A381" s="185">
        <v>385</v>
      </c>
      <c r="B381" s="285" t="s">
        <v>1724</v>
      </c>
      <c r="C381" s="281" t="s">
        <v>1621</v>
      </c>
      <c r="D381" s="200" t="s">
        <v>1881</v>
      </c>
      <c r="E381" s="383" t="s">
        <v>1596</v>
      </c>
      <c r="F381" s="383" t="s">
        <v>1597</v>
      </c>
      <c r="G381" s="370" t="s">
        <v>1604</v>
      </c>
      <c r="H381" s="248" t="s">
        <v>422</v>
      </c>
      <c r="I381" s="248">
        <v>2</v>
      </c>
      <c r="J381" s="248">
        <v>12</v>
      </c>
      <c r="K381" s="248">
        <v>0</v>
      </c>
      <c r="L381" s="212">
        <v>1</v>
      </c>
      <c r="M381" s="212">
        <f t="shared" si="48"/>
        <v>15</v>
      </c>
      <c r="N381" s="212">
        <f t="shared" si="49"/>
        <v>16</v>
      </c>
      <c r="O381" s="212">
        <f t="shared" si="50"/>
        <v>48</v>
      </c>
      <c r="P381" s="212">
        <f t="shared" si="51"/>
        <v>0</v>
      </c>
      <c r="Q381" s="212">
        <f t="shared" si="52"/>
        <v>8</v>
      </c>
      <c r="R381" s="212">
        <f t="shared" si="53"/>
        <v>72</v>
      </c>
      <c r="S381" s="286" t="s">
        <v>1725</v>
      </c>
      <c r="T381" s="275" t="s">
        <v>1727</v>
      </c>
      <c r="U381" s="280">
        <v>9</v>
      </c>
      <c r="V381" s="280">
        <v>9</v>
      </c>
      <c r="W381" s="280">
        <v>9</v>
      </c>
      <c r="X381" s="276">
        <v>44389</v>
      </c>
      <c r="Y381" s="277">
        <v>44408</v>
      </c>
      <c r="Z381" s="276">
        <v>44446</v>
      </c>
      <c r="AA381" s="273">
        <f t="shared" si="54"/>
        <v>2021</v>
      </c>
      <c r="AB381" s="273">
        <f t="shared" si="55"/>
        <v>9</v>
      </c>
      <c r="AC381" s="278" t="s">
        <v>920</v>
      </c>
      <c r="AD381" s="278" t="s">
        <v>422</v>
      </c>
      <c r="AE381" s="278" t="s">
        <v>423</v>
      </c>
      <c r="AF381" s="278" t="s">
        <v>422</v>
      </c>
      <c r="AG381" s="278" t="s">
        <v>422</v>
      </c>
      <c r="AH381" s="278" t="s">
        <v>422</v>
      </c>
      <c r="AI381" s="278" t="s">
        <v>423</v>
      </c>
      <c r="AJ381" s="278" t="s">
        <v>422</v>
      </c>
      <c r="AK381" s="278" t="s">
        <v>423</v>
      </c>
      <c r="AL381" s="279" t="s">
        <v>140</v>
      </c>
      <c r="AM381" s="241"/>
      <c r="AN381" s="242"/>
    </row>
    <row r="382" spans="1:40" ht="15" customHeight="1" x14ac:dyDescent="0.3">
      <c r="A382" s="185">
        <v>387</v>
      </c>
      <c r="B382" s="285" t="s">
        <v>1731</v>
      </c>
      <c r="C382" s="281" t="s">
        <v>1618</v>
      </c>
      <c r="D382" s="200" t="s">
        <v>1881</v>
      </c>
      <c r="E382" s="383"/>
      <c r="F382" s="383" t="s">
        <v>1597</v>
      </c>
      <c r="G382" s="370" t="s">
        <v>1596</v>
      </c>
      <c r="H382" s="248" t="s">
        <v>422</v>
      </c>
      <c r="I382" s="248">
        <v>2</v>
      </c>
      <c r="J382" s="248">
        <v>6.6</v>
      </c>
      <c r="K382" s="248">
        <v>15</v>
      </c>
      <c r="L382" s="212">
        <v>1</v>
      </c>
      <c r="M382" s="212">
        <f t="shared" si="48"/>
        <v>24.6</v>
      </c>
      <c r="N382" s="212">
        <f t="shared" si="49"/>
        <v>16</v>
      </c>
      <c r="O382" s="212">
        <f t="shared" si="50"/>
        <v>26.4</v>
      </c>
      <c r="P382" s="212">
        <f t="shared" si="51"/>
        <v>100</v>
      </c>
      <c r="Q382" s="212">
        <f t="shared" si="52"/>
        <v>8</v>
      </c>
      <c r="R382" s="212">
        <f t="shared" si="53"/>
        <v>150.4</v>
      </c>
      <c r="S382" s="286" t="s">
        <v>1743</v>
      </c>
      <c r="T382" s="275" t="s">
        <v>1737</v>
      </c>
      <c r="U382" s="280">
        <v>80</v>
      </c>
      <c r="V382" s="280">
        <v>84</v>
      </c>
      <c r="W382" s="280">
        <v>84</v>
      </c>
      <c r="X382" s="276">
        <v>44397</v>
      </c>
      <c r="Y382" s="277">
        <v>44469</v>
      </c>
      <c r="Z382" s="276">
        <v>44463</v>
      </c>
      <c r="AA382" s="273">
        <f t="shared" si="54"/>
        <v>2021</v>
      </c>
      <c r="AB382" s="273">
        <f t="shared" si="55"/>
        <v>9</v>
      </c>
      <c r="AC382" s="278" t="s">
        <v>920</v>
      </c>
      <c r="AD382" s="278" t="s">
        <v>422</v>
      </c>
      <c r="AE382" s="278" t="s">
        <v>422</v>
      </c>
      <c r="AF382" s="278" t="s">
        <v>422</v>
      </c>
      <c r="AG382" s="278" t="s">
        <v>422</v>
      </c>
      <c r="AH382" s="278" t="s">
        <v>422</v>
      </c>
      <c r="AI382" s="278" t="s">
        <v>422</v>
      </c>
      <c r="AJ382" s="278" t="s">
        <v>422</v>
      </c>
      <c r="AK382" s="278" t="s">
        <v>422</v>
      </c>
      <c r="AL382" s="279" t="s">
        <v>140</v>
      </c>
      <c r="AM382" s="241"/>
      <c r="AN382" s="242"/>
    </row>
    <row r="383" spans="1:40" ht="15" customHeight="1" x14ac:dyDescent="0.3">
      <c r="A383" s="185">
        <v>388</v>
      </c>
      <c r="B383" s="285" t="s">
        <v>1732</v>
      </c>
      <c r="C383" s="281" t="s">
        <v>1618</v>
      </c>
      <c r="D383" s="200" t="s">
        <v>1881</v>
      </c>
      <c r="E383" s="383"/>
      <c r="F383" s="383" t="s">
        <v>1597</v>
      </c>
      <c r="G383" s="370" t="s">
        <v>1604</v>
      </c>
      <c r="H383" s="248" t="s">
        <v>422</v>
      </c>
      <c r="I383" s="248">
        <v>2</v>
      </c>
      <c r="J383" s="248">
        <v>10</v>
      </c>
      <c r="K383" s="248">
        <v>0</v>
      </c>
      <c r="L383" s="212">
        <v>1</v>
      </c>
      <c r="M383" s="212">
        <f t="shared" si="48"/>
        <v>13</v>
      </c>
      <c r="N383" s="212">
        <f t="shared" si="49"/>
        <v>16</v>
      </c>
      <c r="O383" s="212">
        <f t="shared" si="50"/>
        <v>40</v>
      </c>
      <c r="P383" s="212">
        <f t="shared" si="51"/>
        <v>0</v>
      </c>
      <c r="Q383" s="212">
        <f t="shared" si="52"/>
        <v>8</v>
      </c>
      <c r="R383" s="212">
        <f t="shared" si="53"/>
        <v>64</v>
      </c>
      <c r="S383" s="286" t="s">
        <v>1744</v>
      </c>
      <c r="T383" s="275" t="s">
        <v>1738</v>
      </c>
      <c r="U383" s="280">
        <v>50</v>
      </c>
      <c r="V383" s="280">
        <v>52</v>
      </c>
      <c r="W383" s="280">
        <v>52</v>
      </c>
      <c r="X383" s="276">
        <v>44397</v>
      </c>
      <c r="Y383" s="277">
        <v>44469</v>
      </c>
      <c r="Z383" s="276">
        <v>44463</v>
      </c>
      <c r="AA383" s="273">
        <f t="shared" si="54"/>
        <v>2021</v>
      </c>
      <c r="AB383" s="273">
        <f t="shared" si="55"/>
        <v>9</v>
      </c>
      <c r="AC383" s="278" t="s">
        <v>920</v>
      </c>
      <c r="AD383" s="278" t="s">
        <v>422</v>
      </c>
      <c r="AE383" s="278" t="s">
        <v>423</v>
      </c>
      <c r="AF383" s="278" t="s">
        <v>422</v>
      </c>
      <c r="AG383" s="278" t="s">
        <v>422</v>
      </c>
      <c r="AH383" s="278" t="s">
        <v>423</v>
      </c>
      <c r="AI383" s="278" t="s">
        <v>423</v>
      </c>
      <c r="AJ383" s="278" t="s">
        <v>423</v>
      </c>
      <c r="AK383" s="278" t="s">
        <v>423</v>
      </c>
      <c r="AL383" s="279" t="s">
        <v>1372</v>
      </c>
      <c r="AM383" s="241"/>
      <c r="AN383" s="242"/>
    </row>
    <row r="384" spans="1:40" ht="15" customHeight="1" x14ac:dyDescent="0.3">
      <c r="A384" s="185">
        <v>389</v>
      </c>
      <c r="B384" s="285" t="s">
        <v>1733</v>
      </c>
      <c r="C384" s="281" t="s">
        <v>1618</v>
      </c>
      <c r="D384" s="200" t="s">
        <v>1881</v>
      </c>
      <c r="E384" s="383" t="s">
        <v>1596</v>
      </c>
      <c r="F384" s="383" t="s">
        <v>1597</v>
      </c>
      <c r="G384" s="370" t="s">
        <v>1604</v>
      </c>
      <c r="H384" s="248" t="s">
        <v>422</v>
      </c>
      <c r="I384" s="248">
        <v>2</v>
      </c>
      <c r="J384" s="248">
        <v>7.5</v>
      </c>
      <c r="K384" s="248">
        <v>0</v>
      </c>
      <c r="L384" s="212">
        <v>1</v>
      </c>
      <c r="M384" s="212">
        <f t="shared" si="48"/>
        <v>10.5</v>
      </c>
      <c r="N384" s="212">
        <f t="shared" si="49"/>
        <v>16</v>
      </c>
      <c r="O384" s="212">
        <f t="shared" si="50"/>
        <v>30</v>
      </c>
      <c r="P384" s="212">
        <f t="shared" si="51"/>
        <v>0</v>
      </c>
      <c r="Q384" s="212">
        <f t="shared" si="52"/>
        <v>8</v>
      </c>
      <c r="R384" s="212">
        <f t="shared" si="53"/>
        <v>54</v>
      </c>
      <c r="S384" s="286" t="s">
        <v>1745</v>
      </c>
      <c r="T384" s="275" t="s">
        <v>1739</v>
      </c>
      <c r="U384" s="280">
        <v>50</v>
      </c>
      <c r="V384" s="280">
        <v>52</v>
      </c>
      <c r="W384" s="280">
        <v>52</v>
      </c>
      <c r="X384" s="276">
        <v>44397</v>
      </c>
      <c r="Y384" s="277">
        <v>44469</v>
      </c>
      <c r="Z384" s="276">
        <v>44463</v>
      </c>
      <c r="AA384" s="273">
        <f t="shared" si="54"/>
        <v>2021</v>
      </c>
      <c r="AB384" s="273">
        <f t="shared" si="55"/>
        <v>9</v>
      </c>
      <c r="AC384" s="278" t="s">
        <v>920</v>
      </c>
      <c r="AD384" s="278" t="s">
        <v>422</v>
      </c>
      <c r="AE384" s="278" t="s">
        <v>423</v>
      </c>
      <c r="AF384" s="278" t="s">
        <v>422</v>
      </c>
      <c r="AG384" s="278" t="s">
        <v>422</v>
      </c>
      <c r="AH384" s="278" t="s">
        <v>423</v>
      </c>
      <c r="AI384" s="278" t="s">
        <v>423</v>
      </c>
      <c r="AJ384" s="278" t="s">
        <v>423</v>
      </c>
      <c r="AK384" s="278" t="s">
        <v>423</v>
      </c>
      <c r="AL384" s="279" t="s">
        <v>1372</v>
      </c>
      <c r="AM384" s="241"/>
      <c r="AN384" s="242"/>
    </row>
    <row r="385" spans="1:40" ht="15" customHeight="1" x14ac:dyDescent="0.3">
      <c r="A385" s="185">
        <v>390</v>
      </c>
      <c r="B385" s="285" t="s">
        <v>1734</v>
      </c>
      <c r="C385" s="281" t="s">
        <v>1618</v>
      </c>
      <c r="D385" s="200" t="s">
        <v>1881</v>
      </c>
      <c r="E385" s="383" t="s">
        <v>1596</v>
      </c>
      <c r="F385" s="383" t="s">
        <v>1597</v>
      </c>
      <c r="G385" s="370" t="s">
        <v>1604</v>
      </c>
      <c r="H385" s="248" t="s">
        <v>422</v>
      </c>
      <c r="I385" s="248">
        <v>2</v>
      </c>
      <c r="J385" s="248">
        <v>8.5</v>
      </c>
      <c r="K385" s="248">
        <v>0</v>
      </c>
      <c r="L385" s="212">
        <v>1</v>
      </c>
      <c r="M385" s="212">
        <f t="shared" si="48"/>
        <v>11.5</v>
      </c>
      <c r="N385" s="212">
        <f t="shared" si="49"/>
        <v>16</v>
      </c>
      <c r="O385" s="212">
        <f t="shared" si="50"/>
        <v>34</v>
      </c>
      <c r="P385" s="212">
        <f t="shared" si="51"/>
        <v>0</v>
      </c>
      <c r="Q385" s="212">
        <f t="shared" si="52"/>
        <v>8</v>
      </c>
      <c r="R385" s="212">
        <f t="shared" si="53"/>
        <v>58</v>
      </c>
      <c r="S385" s="286" t="s">
        <v>1746</v>
      </c>
      <c r="T385" s="275" t="s">
        <v>1740</v>
      </c>
      <c r="U385" s="280">
        <v>65</v>
      </c>
      <c r="V385" s="280">
        <v>67</v>
      </c>
      <c r="W385" s="280">
        <v>67</v>
      </c>
      <c r="X385" s="276">
        <v>44397</v>
      </c>
      <c r="Y385" s="277">
        <v>44469</v>
      </c>
      <c r="Z385" s="276">
        <v>44463</v>
      </c>
      <c r="AA385" s="273">
        <f t="shared" si="54"/>
        <v>2021</v>
      </c>
      <c r="AB385" s="273">
        <f t="shared" si="55"/>
        <v>9</v>
      </c>
      <c r="AC385" s="278" t="s">
        <v>920</v>
      </c>
      <c r="AD385" s="278" t="s">
        <v>422</v>
      </c>
      <c r="AE385" s="278" t="s">
        <v>422</v>
      </c>
      <c r="AF385" s="278" t="s">
        <v>422</v>
      </c>
      <c r="AG385" s="278" t="s">
        <v>422</v>
      </c>
      <c r="AH385" s="278" t="s">
        <v>422</v>
      </c>
      <c r="AI385" s="278" t="s">
        <v>423</v>
      </c>
      <c r="AJ385" s="278" t="s">
        <v>422</v>
      </c>
      <c r="AK385" s="278" t="s">
        <v>423</v>
      </c>
      <c r="AL385" s="279" t="s">
        <v>1240</v>
      </c>
      <c r="AM385" s="241"/>
      <c r="AN385" s="242"/>
    </row>
    <row r="386" spans="1:40" ht="15" customHeight="1" x14ac:dyDescent="0.3">
      <c r="A386" s="185">
        <v>391</v>
      </c>
      <c r="B386" s="285" t="s">
        <v>1735</v>
      </c>
      <c r="C386" s="281" t="s">
        <v>1618</v>
      </c>
      <c r="D386" s="200" t="s">
        <v>1881</v>
      </c>
      <c r="E386" s="383" t="s">
        <v>1596</v>
      </c>
      <c r="F386" s="383" t="s">
        <v>1597</v>
      </c>
      <c r="G386" s="370" t="s">
        <v>1604</v>
      </c>
      <c r="H386" s="248" t="s">
        <v>422</v>
      </c>
      <c r="I386" s="248">
        <v>2</v>
      </c>
      <c r="J386" s="248">
        <v>6</v>
      </c>
      <c r="K386" s="248">
        <v>0</v>
      </c>
      <c r="L386" s="212">
        <v>1</v>
      </c>
      <c r="M386" s="212">
        <f t="shared" si="48"/>
        <v>9</v>
      </c>
      <c r="N386" s="212">
        <f t="shared" si="49"/>
        <v>16</v>
      </c>
      <c r="O386" s="212">
        <f t="shared" si="50"/>
        <v>24</v>
      </c>
      <c r="P386" s="212">
        <f t="shared" si="51"/>
        <v>0</v>
      </c>
      <c r="Q386" s="212">
        <f t="shared" si="52"/>
        <v>8</v>
      </c>
      <c r="R386" s="212">
        <f t="shared" si="53"/>
        <v>48</v>
      </c>
      <c r="S386" s="286" t="s">
        <v>1747</v>
      </c>
      <c r="T386" s="275" t="s">
        <v>1741</v>
      </c>
      <c r="U386" s="280">
        <v>100</v>
      </c>
      <c r="V386" s="280">
        <v>104</v>
      </c>
      <c r="W386" s="280">
        <v>104</v>
      </c>
      <c r="X386" s="276">
        <v>44397</v>
      </c>
      <c r="Y386" s="277">
        <v>44469</v>
      </c>
      <c r="Z386" s="276">
        <v>44463</v>
      </c>
      <c r="AA386" s="273">
        <f t="shared" si="54"/>
        <v>2021</v>
      </c>
      <c r="AB386" s="273">
        <f t="shared" si="55"/>
        <v>9</v>
      </c>
      <c r="AC386" s="278" t="s">
        <v>920</v>
      </c>
      <c r="AD386" s="278" t="s">
        <v>422</v>
      </c>
      <c r="AE386" s="278" t="s">
        <v>422</v>
      </c>
      <c r="AF386" s="278" t="s">
        <v>422</v>
      </c>
      <c r="AG386" s="278" t="s">
        <v>422</v>
      </c>
      <c r="AH386" s="278" t="s">
        <v>422</v>
      </c>
      <c r="AI386" s="278" t="s">
        <v>423</v>
      </c>
      <c r="AJ386" s="278" t="s">
        <v>422</v>
      </c>
      <c r="AK386" s="278" t="s">
        <v>423</v>
      </c>
      <c r="AL386" s="279" t="s">
        <v>1240</v>
      </c>
      <c r="AM386" s="241"/>
      <c r="AN386" s="242"/>
    </row>
    <row r="387" spans="1:40" ht="15" customHeight="1" x14ac:dyDescent="0.3">
      <c r="A387" s="185">
        <v>400</v>
      </c>
      <c r="B387" s="285" t="s">
        <v>1778</v>
      </c>
      <c r="C387" s="281" t="s">
        <v>1615</v>
      </c>
      <c r="D387" s="200" t="s">
        <v>1881</v>
      </c>
      <c r="E387" s="383"/>
      <c r="F387" s="383" t="s">
        <v>1597</v>
      </c>
      <c r="G387" s="370" t="s">
        <v>1604</v>
      </c>
      <c r="H387" s="248" t="s">
        <v>422</v>
      </c>
      <c r="I387" s="248">
        <v>2</v>
      </c>
      <c r="J387" s="248">
        <v>10.5</v>
      </c>
      <c r="K387" s="248">
        <v>0</v>
      </c>
      <c r="L387" s="212">
        <v>1</v>
      </c>
      <c r="M387" s="212">
        <f t="shared" si="48"/>
        <v>13.5</v>
      </c>
      <c r="N387" s="212">
        <f t="shared" si="49"/>
        <v>16</v>
      </c>
      <c r="O387" s="212">
        <f t="shared" si="50"/>
        <v>42</v>
      </c>
      <c r="P387" s="212">
        <f t="shared" si="51"/>
        <v>0</v>
      </c>
      <c r="Q387" s="212">
        <f t="shared" si="52"/>
        <v>8</v>
      </c>
      <c r="R387" s="212">
        <f t="shared" si="53"/>
        <v>66</v>
      </c>
      <c r="S387" s="286" t="s">
        <v>1779</v>
      </c>
      <c r="T387" s="275" t="s">
        <v>1780</v>
      </c>
      <c r="U387" s="280">
        <v>211</v>
      </c>
      <c r="V387" s="280">
        <v>216</v>
      </c>
      <c r="W387" s="280">
        <v>216</v>
      </c>
      <c r="X387" s="276">
        <v>44418</v>
      </c>
      <c r="Y387" s="277">
        <v>44423</v>
      </c>
      <c r="Z387" s="276">
        <v>44460</v>
      </c>
      <c r="AA387" s="273">
        <f t="shared" si="54"/>
        <v>2021</v>
      </c>
      <c r="AB387" s="273">
        <f t="shared" si="55"/>
        <v>9</v>
      </c>
      <c r="AC387" s="278" t="s">
        <v>920</v>
      </c>
      <c r="AD387" s="278" t="s">
        <v>422</v>
      </c>
      <c r="AE387" s="278" t="s">
        <v>422</v>
      </c>
      <c r="AF387" s="278" t="s">
        <v>422</v>
      </c>
      <c r="AG387" s="278" t="s">
        <v>422</v>
      </c>
      <c r="AH387" s="278" t="s">
        <v>422</v>
      </c>
      <c r="AI387" s="278" t="s">
        <v>423</v>
      </c>
      <c r="AJ387" s="278" t="s">
        <v>422</v>
      </c>
      <c r="AK387" s="278" t="s">
        <v>423</v>
      </c>
      <c r="AL387" s="279" t="s">
        <v>140</v>
      </c>
      <c r="AM387" s="241"/>
      <c r="AN387" s="242"/>
    </row>
    <row r="388" spans="1:40" ht="15" customHeight="1" x14ac:dyDescent="0.3">
      <c r="A388" s="185">
        <v>401</v>
      </c>
      <c r="B388" s="285" t="s">
        <v>1781</v>
      </c>
      <c r="C388" s="281" t="s">
        <v>1615</v>
      </c>
      <c r="D388" s="200" t="s">
        <v>1881</v>
      </c>
      <c r="E388" s="383"/>
      <c r="F388" s="383"/>
      <c r="G388" s="370" t="s">
        <v>1604</v>
      </c>
      <c r="H388" s="248"/>
      <c r="I388" s="359">
        <v>2</v>
      </c>
      <c r="J388" s="359">
        <v>7.5</v>
      </c>
      <c r="K388" s="248">
        <v>0</v>
      </c>
      <c r="L388" s="212">
        <v>1</v>
      </c>
      <c r="M388" s="212">
        <f t="shared" si="48"/>
        <v>10.5</v>
      </c>
      <c r="N388" s="212">
        <f t="shared" si="49"/>
        <v>16</v>
      </c>
      <c r="O388" s="212">
        <f t="shared" si="50"/>
        <v>30</v>
      </c>
      <c r="P388" s="212">
        <f t="shared" si="51"/>
        <v>0</v>
      </c>
      <c r="Q388" s="212">
        <f t="shared" si="52"/>
        <v>8</v>
      </c>
      <c r="R388" s="212">
        <f t="shared" si="53"/>
        <v>54</v>
      </c>
      <c r="S388" s="286" t="s">
        <v>1782</v>
      </c>
      <c r="T388" s="275" t="s">
        <v>1391</v>
      </c>
      <c r="U388" s="280">
        <v>155</v>
      </c>
      <c r="V388" s="280">
        <v>160</v>
      </c>
      <c r="W388" s="280">
        <v>160</v>
      </c>
      <c r="X388" s="276">
        <v>44418</v>
      </c>
      <c r="Y388" s="277">
        <v>44423</v>
      </c>
      <c r="Z388" s="276">
        <v>44460</v>
      </c>
      <c r="AA388" s="273">
        <f t="shared" si="54"/>
        <v>2021</v>
      </c>
      <c r="AB388" s="273">
        <f t="shared" si="55"/>
        <v>9</v>
      </c>
      <c r="AC388" s="278" t="s">
        <v>920</v>
      </c>
      <c r="AD388" s="278" t="s">
        <v>422</v>
      </c>
      <c r="AE388" s="278" t="s">
        <v>422</v>
      </c>
      <c r="AF388" s="278" t="s">
        <v>422</v>
      </c>
      <c r="AG388" s="278" t="s">
        <v>422</v>
      </c>
      <c r="AH388" s="278" t="s">
        <v>422</v>
      </c>
      <c r="AI388" s="278" t="s">
        <v>423</v>
      </c>
      <c r="AJ388" s="278" t="s">
        <v>422</v>
      </c>
      <c r="AK388" s="278" t="s">
        <v>423</v>
      </c>
      <c r="AL388" s="279" t="s">
        <v>1240</v>
      </c>
      <c r="AM388" s="241"/>
      <c r="AN388" s="242"/>
    </row>
    <row r="389" spans="1:40" ht="15" customHeight="1" x14ac:dyDescent="0.3">
      <c r="A389" s="185">
        <v>413</v>
      </c>
      <c r="B389" s="285" t="s">
        <v>1805</v>
      </c>
      <c r="C389" s="281" t="s">
        <v>1618</v>
      </c>
      <c r="D389" s="200" t="s">
        <v>1881</v>
      </c>
      <c r="E389" s="383"/>
      <c r="F389" s="383" t="s">
        <v>1597</v>
      </c>
      <c r="G389" s="370" t="s">
        <v>1604</v>
      </c>
      <c r="H389" s="248" t="s">
        <v>422</v>
      </c>
      <c r="I389" s="248">
        <v>2</v>
      </c>
      <c r="J389" s="248">
        <v>6.5</v>
      </c>
      <c r="K389" s="248">
        <v>0</v>
      </c>
      <c r="L389" s="212">
        <v>1</v>
      </c>
      <c r="M389" s="212">
        <f t="shared" si="48"/>
        <v>9.5</v>
      </c>
      <c r="N389" s="212">
        <f t="shared" si="49"/>
        <v>16</v>
      </c>
      <c r="O389" s="212">
        <f t="shared" si="50"/>
        <v>26</v>
      </c>
      <c r="P389" s="212">
        <f t="shared" si="51"/>
        <v>0</v>
      </c>
      <c r="Q389" s="212">
        <f t="shared" si="52"/>
        <v>8</v>
      </c>
      <c r="R389" s="212">
        <f t="shared" si="53"/>
        <v>50</v>
      </c>
      <c r="S389" s="286" t="s">
        <v>1793</v>
      </c>
      <c r="T389" s="275" t="s">
        <v>1794</v>
      </c>
      <c r="U389" s="280">
        <v>120</v>
      </c>
      <c r="V389" s="280">
        <v>124</v>
      </c>
      <c r="W389" s="280">
        <v>124</v>
      </c>
      <c r="X389" s="276">
        <v>44414</v>
      </c>
      <c r="Y389" s="277">
        <v>44506</v>
      </c>
      <c r="Z389" s="276">
        <v>44463</v>
      </c>
      <c r="AA389" s="273">
        <f t="shared" si="54"/>
        <v>2021</v>
      </c>
      <c r="AB389" s="273">
        <f t="shared" si="55"/>
        <v>9</v>
      </c>
      <c r="AC389" s="278" t="s">
        <v>920</v>
      </c>
      <c r="AD389" s="278" t="s">
        <v>422</v>
      </c>
      <c r="AE389" s="278" t="s">
        <v>422</v>
      </c>
      <c r="AF389" s="278" t="s">
        <v>422</v>
      </c>
      <c r="AG389" s="278" t="s">
        <v>422</v>
      </c>
      <c r="AH389" s="278" t="s">
        <v>422</v>
      </c>
      <c r="AI389" s="278" t="s">
        <v>423</v>
      </c>
      <c r="AJ389" s="278" t="s">
        <v>422</v>
      </c>
      <c r="AK389" s="278" t="s">
        <v>423</v>
      </c>
      <c r="AL389" s="279" t="s">
        <v>1372</v>
      </c>
      <c r="AM389" s="241"/>
      <c r="AN389" s="242"/>
    </row>
    <row r="390" spans="1:40" ht="15" customHeight="1" x14ac:dyDescent="0.3">
      <c r="A390" s="185">
        <v>414</v>
      </c>
      <c r="B390" s="285" t="s">
        <v>1806</v>
      </c>
      <c r="C390" s="281" t="s">
        <v>1618</v>
      </c>
      <c r="D390" s="200" t="s">
        <v>1881</v>
      </c>
      <c r="E390" s="383"/>
      <c r="F390" s="383" t="s">
        <v>1597</v>
      </c>
      <c r="G390" s="370" t="s">
        <v>1604</v>
      </c>
      <c r="H390" s="248" t="s">
        <v>422</v>
      </c>
      <c r="I390" s="248">
        <v>2</v>
      </c>
      <c r="J390" s="248">
        <v>7</v>
      </c>
      <c r="K390" s="248">
        <v>0</v>
      </c>
      <c r="L390" s="212">
        <v>1.5</v>
      </c>
      <c r="M390" s="212">
        <f t="shared" si="48"/>
        <v>10.5</v>
      </c>
      <c r="N390" s="212">
        <f t="shared" si="49"/>
        <v>16</v>
      </c>
      <c r="O390" s="212">
        <f t="shared" si="50"/>
        <v>28</v>
      </c>
      <c r="P390" s="212">
        <f t="shared" si="51"/>
        <v>0</v>
      </c>
      <c r="Q390" s="212">
        <f t="shared" si="52"/>
        <v>12</v>
      </c>
      <c r="R390" s="212">
        <f t="shared" si="53"/>
        <v>56</v>
      </c>
      <c r="S390" s="286" t="s">
        <v>1793</v>
      </c>
      <c r="T390" s="275" t="s">
        <v>1795</v>
      </c>
      <c r="U390" s="280">
        <v>80</v>
      </c>
      <c r="V390" s="280">
        <v>82</v>
      </c>
      <c r="W390" s="280">
        <v>82</v>
      </c>
      <c r="X390" s="276">
        <v>44414</v>
      </c>
      <c r="Y390" s="277">
        <v>44506</v>
      </c>
      <c r="Z390" s="276">
        <v>44463</v>
      </c>
      <c r="AA390" s="273">
        <f t="shared" si="54"/>
        <v>2021</v>
      </c>
      <c r="AB390" s="273">
        <f t="shared" si="55"/>
        <v>9</v>
      </c>
      <c r="AC390" s="278" t="s">
        <v>920</v>
      </c>
      <c r="AD390" s="278" t="s">
        <v>422</v>
      </c>
      <c r="AE390" s="278" t="s">
        <v>422</v>
      </c>
      <c r="AF390" s="278" t="s">
        <v>422</v>
      </c>
      <c r="AG390" s="278" t="s">
        <v>422</v>
      </c>
      <c r="AH390" s="278" t="s">
        <v>422</v>
      </c>
      <c r="AI390" s="278" t="s">
        <v>423</v>
      </c>
      <c r="AJ390" s="278" t="s">
        <v>422</v>
      </c>
      <c r="AK390" s="278" t="s">
        <v>423</v>
      </c>
      <c r="AL390" s="279" t="s">
        <v>1372</v>
      </c>
      <c r="AM390" s="241"/>
      <c r="AN390" s="242"/>
    </row>
    <row r="391" spans="1:40" ht="15" customHeight="1" x14ac:dyDescent="0.3">
      <c r="A391" s="185">
        <v>348</v>
      </c>
      <c r="B391" s="235" t="s">
        <v>1753</v>
      </c>
      <c r="C391" s="281" t="s">
        <v>1615</v>
      </c>
      <c r="D391" s="200" t="s">
        <v>1881</v>
      </c>
      <c r="E391" s="282"/>
      <c r="F391" s="282" t="s">
        <v>1597</v>
      </c>
      <c r="G391" s="273" t="s">
        <v>1596</v>
      </c>
      <c r="H391" s="248" t="s">
        <v>422</v>
      </c>
      <c r="I391" s="248">
        <v>2</v>
      </c>
      <c r="J391" s="248">
        <v>9.8000000000000007</v>
      </c>
      <c r="K391" s="248">
        <v>30</v>
      </c>
      <c r="L391" s="212">
        <v>1</v>
      </c>
      <c r="M391" s="212">
        <f t="shared" ref="M391:M454" si="56">SUM((I391:L391))</f>
        <v>42.8</v>
      </c>
      <c r="N391" s="212">
        <f t="shared" ref="N391:N464" si="57">+I391/0.125</f>
        <v>16</v>
      </c>
      <c r="O391" s="212">
        <f t="shared" ref="O391:O460" si="58">+J391/0.25</f>
        <v>39.200000000000003</v>
      </c>
      <c r="P391" s="212">
        <f t="shared" ref="P391:P460" si="59">+K391/0.15</f>
        <v>200</v>
      </c>
      <c r="Q391" s="212">
        <f t="shared" ref="Q391:Q460" si="60">+L391/0.125</f>
        <v>8</v>
      </c>
      <c r="R391" s="212">
        <f t="shared" ref="R391:R454" si="61">SUM(N391:Q391)</f>
        <v>263.2</v>
      </c>
      <c r="S391" s="286" t="s">
        <v>1628</v>
      </c>
      <c r="T391" s="287" t="s">
        <v>1629</v>
      </c>
      <c r="U391" s="280">
        <v>67</v>
      </c>
      <c r="V391" s="273">
        <v>70</v>
      </c>
      <c r="W391" s="273">
        <v>70</v>
      </c>
      <c r="X391" s="276">
        <v>44307</v>
      </c>
      <c r="Y391" s="277">
        <v>44392</v>
      </c>
      <c r="Z391" s="277">
        <v>44480</v>
      </c>
      <c r="AA391" s="273">
        <f t="shared" ref="AA391:AA454" si="62">IF(YEAR(Z391)&gt;2000,YEAR(Z391),YEAR(Y391))</f>
        <v>2021</v>
      </c>
      <c r="AB391" s="273">
        <f t="shared" ref="AB391:AB464" si="63">MONTH(Z391)</f>
        <v>10</v>
      </c>
      <c r="AC391" s="278" t="s">
        <v>920</v>
      </c>
      <c r="AD391" s="278" t="s">
        <v>422</v>
      </c>
      <c r="AE391" s="278" t="s">
        <v>422</v>
      </c>
      <c r="AF391" s="278" t="s">
        <v>422</v>
      </c>
      <c r="AG391" s="278" t="s">
        <v>422</v>
      </c>
      <c r="AH391" s="278" t="s">
        <v>422</v>
      </c>
      <c r="AI391" s="278" t="s">
        <v>422</v>
      </c>
      <c r="AJ391" s="278" t="s">
        <v>422</v>
      </c>
      <c r="AK391" s="278" t="s">
        <v>422</v>
      </c>
      <c r="AL391" s="279" t="s">
        <v>140</v>
      </c>
      <c r="AM391" s="33"/>
      <c r="AN391" s="1" t="s">
        <v>1433</v>
      </c>
    </row>
    <row r="392" spans="1:40" ht="15" customHeight="1" x14ac:dyDescent="0.3">
      <c r="A392" s="185">
        <v>379</v>
      </c>
      <c r="B392" s="235" t="s">
        <v>1699</v>
      </c>
      <c r="C392" s="281" t="s">
        <v>1618</v>
      </c>
      <c r="D392" s="200" t="s">
        <v>1881</v>
      </c>
      <c r="E392" s="383"/>
      <c r="F392" s="383" t="s">
        <v>1601</v>
      </c>
      <c r="G392" s="370" t="s">
        <v>1604</v>
      </c>
      <c r="H392" s="248" t="s">
        <v>422</v>
      </c>
      <c r="I392" s="248">
        <v>1.2</v>
      </c>
      <c r="J392" s="248">
        <v>7</v>
      </c>
      <c r="K392" s="248">
        <v>0</v>
      </c>
      <c r="L392" s="212">
        <v>1</v>
      </c>
      <c r="M392" s="212">
        <f t="shared" si="56"/>
        <v>9.1999999999999993</v>
      </c>
      <c r="N392" s="212">
        <f t="shared" si="57"/>
        <v>9.6</v>
      </c>
      <c r="O392" s="212">
        <f t="shared" si="58"/>
        <v>28</v>
      </c>
      <c r="P392" s="212">
        <f t="shared" si="59"/>
        <v>0</v>
      </c>
      <c r="Q392" s="212">
        <f t="shared" si="60"/>
        <v>8</v>
      </c>
      <c r="R392" s="212">
        <f t="shared" si="61"/>
        <v>45.6</v>
      </c>
      <c r="S392" s="286" t="s">
        <v>1712</v>
      </c>
      <c r="T392" s="275" t="s">
        <v>1713</v>
      </c>
      <c r="U392" s="280">
        <f>95+55</f>
        <v>150</v>
      </c>
      <c r="V392" s="280">
        <v>152</v>
      </c>
      <c r="W392" s="280">
        <v>152</v>
      </c>
      <c r="X392" s="276">
        <v>44351</v>
      </c>
      <c r="Y392" s="277">
        <v>44423</v>
      </c>
      <c r="Z392" s="276">
        <v>44496</v>
      </c>
      <c r="AA392" s="273">
        <f t="shared" si="62"/>
        <v>2021</v>
      </c>
      <c r="AB392" s="273">
        <f t="shared" si="63"/>
        <v>10</v>
      </c>
      <c r="AC392" s="278" t="s">
        <v>920</v>
      </c>
      <c r="AD392" s="278" t="s">
        <v>422</v>
      </c>
      <c r="AE392" s="278" t="s">
        <v>422</v>
      </c>
      <c r="AF392" s="278" t="s">
        <v>422</v>
      </c>
      <c r="AG392" s="278" t="s">
        <v>422</v>
      </c>
      <c r="AH392" s="278" t="s">
        <v>423</v>
      </c>
      <c r="AI392" s="278" t="s">
        <v>423</v>
      </c>
      <c r="AJ392" s="278" t="s">
        <v>423</v>
      </c>
      <c r="AK392" s="278" t="s">
        <v>423</v>
      </c>
      <c r="AL392" s="279" t="s">
        <v>1911</v>
      </c>
      <c r="AM392" s="241"/>
      <c r="AN392" s="242"/>
    </row>
    <row r="393" spans="1:40" ht="15" customHeight="1" x14ac:dyDescent="0.3">
      <c r="A393" s="185">
        <v>380</v>
      </c>
      <c r="B393" s="235" t="s">
        <v>1700</v>
      </c>
      <c r="C393" s="281" t="s">
        <v>1618</v>
      </c>
      <c r="D393" s="200" t="s">
        <v>1881</v>
      </c>
      <c r="E393" s="383"/>
      <c r="F393" s="383" t="s">
        <v>1601</v>
      </c>
      <c r="G393" s="370" t="s">
        <v>1604</v>
      </c>
      <c r="H393" s="248" t="s">
        <v>422</v>
      </c>
      <c r="I393" s="248">
        <v>1.5</v>
      </c>
      <c r="J393" s="248">
        <v>14</v>
      </c>
      <c r="K393" s="248">
        <v>0</v>
      </c>
      <c r="L393" s="212">
        <v>1</v>
      </c>
      <c r="M393" s="212">
        <f t="shared" si="56"/>
        <v>16.5</v>
      </c>
      <c r="N393" s="212">
        <f t="shared" si="57"/>
        <v>12</v>
      </c>
      <c r="O393" s="212">
        <f t="shared" si="58"/>
        <v>56</v>
      </c>
      <c r="P393" s="212">
        <f t="shared" si="59"/>
        <v>0</v>
      </c>
      <c r="Q393" s="212">
        <f t="shared" si="60"/>
        <v>8</v>
      </c>
      <c r="R393" s="212">
        <f t="shared" si="61"/>
        <v>76</v>
      </c>
      <c r="S393" s="286" t="s">
        <v>1671</v>
      </c>
      <c r="T393" s="275" t="s">
        <v>1702</v>
      </c>
      <c r="U393" s="280">
        <v>55</v>
      </c>
      <c r="V393" s="280">
        <v>44</v>
      </c>
      <c r="W393" s="280">
        <v>44</v>
      </c>
      <c r="X393" s="276">
        <v>44351</v>
      </c>
      <c r="Y393" s="277">
        <v>44423</v>
      </c>
      <c r="Z393" s="276">
        <v>44496</v>
      </c>
      <c r="AA393" s="273">
        <f t="shared" si="62"/>
        <v>2021</v>
      </c>
      <c r="AB393" s="273">
        <f t="shared" si="63"/>
        <v>10</v>
      </c>
      <c r="AC393" s="278" t="s">
        <v>920</v>
      </c>
      <c r="AD393" s="278" t="s">
        <v>422</v>
      </c>
      <c r="AE393" s="278" t="s">
        <v>422</v>
      </c>
      <c r="AF393" s="278" t="s">
        <v>422</v>
      </c>
      <c r="AG393" s="278" t="s">
        <v>422</v>
      </c>
      <c r="AH393" s="278" t="s">
        <v>423</v>
      </c>
      <c r="AI393" s="278" t="s">
        <v>423</v>
      </c>
      <c r="AJ393" s="278" t="s">
        <v>423</v>
      </c>
      <c r="AK393" s="278" t="s">
        <v>423</v>
      </c>
      <c r="AL393" s="279" t="s">
        <v>1372</v>
      </c>
      <c r="AM393" s="241"/>
      <c r="AN393" s="242" t="s">
        <v>1826</v>
      </c>
    </row>
    <row r="394" spans="1:40" ht="15" customHeight="1" x14ac:dyDescent="0.3">
      <c r="A394" s="185">
        <v>381</v>
      </c>
      <c r="B394" s="235" t="s">
        <v>1701</v>
      </c>
      <c r="C394" s="281" t="s">
        <v>1618</v>
      </c>
      <c r="D394" s="200" t="s">
        <v>1881</v>
      </c>
      <c r="E394" s="383"/>
      <c r="F394" s="383" t="s">
        <v>1777</v>
      </c>
      <c r="G394" s="370" t="s">
        <v>1604</v>
      </c>
      <c r="H394" s="248" t="s">
        <v>422</v>
      </c>
      <c r="I394" s="248">
        <v>1.5</v>
      </c>
      <c r="J394" s="248">
        <v>14</v>
      </c>
      <c r="K394" s="248">
        <v>0</v>
      </c>
      <c r="L394" s="212">
        <v>1</v>
      </c>
      <c r="M394" s="212">
        <f t="shared" si="56"/>
        <v>16.5</v>
      </c>
      <c r="N394" s="212">
        <f t="shared" si="57"/>
        <v>12</v>
      </c>
      <c r="O394" s="212">
        <f t="shared" si="58"/>
        <v>56</v>
      </c>
      <c r="P394" s="212">
        <f t="shared" si="59"/>
        <v>0</v>
      </c>
      <c r="Q394" s="212">
        <f t="shared" si="60"/>
        <v>8</v>
      </c>
      <c r="R394" s="212">
        <f t="shared" si="61"/>
        <v>76</v>
      </c>
      <c r="S394" s="286" t="s">
        <v>1670</v>
      </c>
      <c r="T394" s="275" t="s">
        <v>1668</v>
      </c>
      <c r="U394" s="280">
        <v>60</v>
      </c>
      <c r="V394" s="280">
        <v>55</v>
      </c>
      <c r="W394" s="280">
        <v>55</v>
      </c>
      <c r="X394" s="276">
        <v>44351</v>
      </c>
      <c r="Y394" s="277">
        <v>44423</v>
      </c>
      <c r="Z394" s="276">
        <v>44496</v>
      </c>
      <c r="AA394" s="273">
        <f t="shared" si="62"/>
        <v>2021</v>
      </c>
      <c r="AB394" s="273">
        <f t="shared" si="63"/>
        <v>10</v>
      </c>
      <c r="AC394" s="278" t="s">
        <v>920</v>
      </c>
      <c r="AD394" s="278" t="s">
        <v>422</v>
      </c>
      <c r="AE394" s="278" t="s">
        <v>422</v>
      </c>
      <c r="AF394" s="278" t="s">
        <v>422</v>
      </c>
      <c r="AG394" s="278" t="s">
        <v>422</v>
      </c>
      <c r="AH394" s="278" t="s">
        <v>423</v>
      </c>
      <c r="AI394" s="278" t="s">
        <v>423</v>
      </c>
      <c r="AJ394" s="278" t="s">
        <v>423</v>
      </c>
      <c r="AK394" s="278" t="s">
        <v>423</v>
      </c>
      <c r="AL394" s="279" t="s">
        <v>1372</v>
      </c>
      <c r="AM394" s="241"/>
      <c r="AN394" s="242" t="s">
        <v>1826</v>
      </c>
    </row>
    <row r="395" spans="1:40" ht="15" customHeight="1" x14ac:dyDescent="0.3">
      <c r="A395" s="185">
        <v>393</v>
      </c>
      <c r="B395" s="235" t="s">
        <v>1759</v>
      </c>
      <c r="C395" s="281" t="s">
        <v>1615</v>
      </c>
      <c r="D395" s="200" t="s">
        <v>1881</v>
      </c>
      <c r="E395" s="383"/>
      <c r="F395" s="383" t="s">
        <v>1777</v>
      </c>
      <c r="G395" s="370" t="s">
        <v>1604</v>
      </c>
      <c r="H395" s="248" t="s">
        <v>422</v>
      </c>
      <c r="I395" s="248">
        <v>2</v>
      </c>
      <c r="J395" s="359">
        <v>13</v>
      </c>
      <c r="K395" s="248">
        <v>0</v>
      </c>
      <c r="L395" s="212">
        <v>1</v>
      </c>
      <c r="M395" s="212">
        <f t="shared" si="56"/>
        <v>16</v>
      </c>
      <c r="N395" s="212">
        <f t="shared" si="57"/>
        <v>16</v>
      </c>
      <c r="O395" s="212">
        <f t="shared" si="58"/>
        <v>52</v>
      </c>
      <c r="P395" s="212">
        <f t="shared" si="59"/>
        <v>0</v>
      </c>
      <c r="Q395" s="212">
        <f t="shared" si="60"/>
        <v>8</v>
      </c>
      <c r="R395" s="212">
        <f t="shared" si="61"/>
        <v>76</v>
      </c>
      <c r="S395" s="286" t="s">
        <v>1766</v>
      </c>
      <c r="T395" s="275" t="s">
        <v>1767</v>
      </c>
      <c r="U395" s="280">
        <v>60</v>
      </c>
      <c r="V395" s="280">
        <v>62</v>
      </c>
      <c r="W395" s="280">
        <v>62</v>
      </c>
      <c r="X395" s="276">
        <v>44418</v>
      </c>
      <c r="Y395" s="277">
        <v>44484</v>
      </c>
      <c r="Z395" s="26">
        <v>44480</v>
      </c>
      <c r="AA395" s="273">
        <f t="shared" si="62"/>
        <v>2021</v>
      </c>
      <c r="AB395" s="273">
        <f t="shared" si="63"/>
        <v>10</v>
      </c>
      <c r="AC395" s="278" t="s">
        <v>920</v>
      </c>
      <c r="AD395" s="278" t="s">
        <v>422</v>
      </c>
      <c r="AE395" s="278" t="s">
        <v>422</v>
      </c>
      <c r="AF395" s="278" t="s">
        <v>422</v>
      </c>
      <c r="AG395" s="278" t="s">
        <v>422</v>
      </c>
      <c r="AH395" s="278" t="s">
        <v>422</v>
      </c>
      <c r="AI395" s="278" t="s">
        <v>423</v>
      </c>
      <c r="AJ395" s="278" t="s">
        <v>422</v>
      </c>
      <c r="AK395" s="278" t="s">
        <v>423</v>
      </c>
      <c r="AL395" s="279" t="s">
        <v>140</v>
      </c>
      <c r="AM395" s="241"/>
      <c r="AN395" s="242"/>
    </row>
    <row r="396" spans="1:40" ht="15" customHeight="1" x14ac:dyDescent="0.3">
      <c r="A396" s="185">
        <v>394</v>
      </c>
      <c r="B396" s="235" t="s">
        <v>1760</v>
      </c>
      <c r="C396" s="281" t="s">
        <v>1615</v>
      </c>
      <c r="D396" s="200" t="s">
        <v>1881</v>
      </c>
      <c r="E396" s="383"/>
      <c r="F396" s="383" t="s">
        <v>1777</v>
      </c>
      <c r="G396" s="370" t="s">
        <v>1604</v>
      </c>
      <c r="H396" s="248" t="s">
        <v>422</v>
      </c>
      <c r="I396" s="248">
        <v>2</v>
      </c>
      <c r="J396" s="248">
        <v>13</v>
      </c>
      <c r="K396" s="248">
        <v>0</v>
      </c>
      <c r="L396" s="212">
        <v>1</v>
      </c>
      <c r="M396" s="212">
        <f t="shared" si="56"/>
        <v>16</v>
      </c>
      <c r="N396" s="212">
        <f t="shared" si="57"/>
        <v>16</v>
      </c>
      <c r="O396" s="212">
        <f t="shared" si="58"/>
        <v>52</v>
      </c>
      <c r="P396" s="212">
        <f t="shared" si="59"/>
        <v>0</v>
      </c>
      <c r="Q396" s="212">
        <f t="shared" si="60"/>
        <v>8</v>
      </c>
      <c r="R396" s="212">
        <f t="shared" si="61"/>
        <v>76</v>
      </c>
      <c r="S396" s="286" t="s">
        <v>1768</v>
      </c>
      <c r="T396" s="275" t="s">
        <v>1769</v>
      </c>
      <c r="U396" s="280">
        <v>60</v>
      </c>
      <c r="V396" s="280">
        <v>37</v>
      </c>
      <c r="W396" s="280">
        <v>37</v>
      </c>
      <c r="X396" s="276">
        <v>44418</v>
      </c>
      <c r="Y396" s="277">
        <v>44484</v>
      </c>
      <c r="Z396" s="26">
        <v>44480</v>
      </c>
      <c r="AA396" s="273">
        <f t="shared" si="62"/>
        <v>2021</v>
      </c>
      <c r="AB396" s="273">
        <f t="shared" si="63"/>
        <v>10</v>
      </c>
      <c r="AC396" s="278" t="s">
        <v>920</v>
      </c>
      <c r="AD396" s="278" t="s">
        <v>422</v>
      </c>
      <c r="AE396" s="278" t="s">
        <v>422</v>
      </c>
      <c r="AF396" s="278" t="s">
        <v>422</v>
      </c>
      <c r="AG396" s="278" t="s">
        <v>422</v>
      </c>
      <c r="AH396" s="278" t="s">
        <v>422</v>
      </c>
      <c r="AI396" s="278" t="s">
        <v>423</v>
      </c>
      <c r="AJ396" s="278" t="s">
        <v>422</v>
      </c>
      <c r="AK396" s="278" t="s">
        <v>423</v>
      </c>
      <c r="AL396" s="279" t="s">
        <v>138</v>
      </c>
      <c r="AM396" s="241"/>
      <c r="AN396" s="242"/>
    </row>
    <row r="397" spans="1:40" ht="15" customHeight="1" x14ac:dyDescent="0.3">
      <c r="A397" s="185">
        <v>395</v>
      </c>
      <c r="B397" s="235" t="s">
        <v>1761</v>
      </c>
      <c r="C397" s="281" t="s">
        <v>1615</v>
      </c>
      <c r="D397" s="200" t="s">
        <v>1881</v>
      </c>
      <c r="E397" s="383"/>
      <c r="F397" s="383" t="s">
        <v>1777</v>
      </c>
      <c r="G397" s="370" t="s">
        <v>1604</v>
      </c>
      <c r="H397" s="248" t="s">
        <v>422</v>
      </c>
      <c r="I397" s="359">
        <v>2</v>
      </c>
      <c r="J397" s="248">
        <v>8.5</v>
      </c>
      <c r="K397" s="248">
        <v>0</v>
      </c>
      <c r="L397" s="212">
        <v>1.5</v>
      </c>
      <c r="M397" s="212">
        <f t="shared" si="56"/>
        <v>12</v>
      </c>
      <c r="N397" s="212">
        <f t="shared" si="57"/>
        <v>16</v>
      </c>
      <c r="O397" s="212">
        <f t="shared" si="58"/>
        <v>34</v>
      </c>
      <c r="P397" s="212">
        <f t="shared" si="59"/>
        <v>0</v>
      </c>
      <c r="Q397" s="212">
        <f t="shared" si="60"/>
        <v>12</v>
      </c>
      <c r="R397" s="212">
        <f t="shared" si="61"/>
        <v>62</v>
      </c>
      <c r="S397" s="286" t="s">
        <v>1770</v>
      </c>
      <c r="T397" s="275" t="s">
        <v>1771</v>
      </c>
      <c r="U397" s="280">
        <v>60</v>
      </c>
      <c r="V397" s="280">
        <v>65</v>
      </c>
      <c r="W397" s="280">
        <v>65</v>
      </c>
      <c r="X397" s="276">
        <v>44418</v>
      </c>
      <c r="Y397" s="277">
        <v>44484</v>
      </c>
      <c r="Z397" s="26">
        <v>44480</v>
      </c>
      <c r="AA397" s="273">
        <f t="shared" si="62"/>
        <v>2021</v>
      </c>
      <c r="AB397" s="273">
        <f t="shared" si="63"/>
        <v>10</v>
      </c>
      <c r="AC397" s="278" t="s">
        <v>920</v>
      </c>
      <c r="AD397" s="278" t="s">
        <v>422</v>
      </c>
      <c r="AE397" s="278" t="s">
        <v>422</v>
      </c>
      <c r="AF397" s="278" t="s">
        <v>422</v>
      </c>
      <c r="AG397" s="278" t="s">
        <v>422</v>
      </c>
      <c r="AH397" s="278" t="s">
        <v>422</v>
      </c>
      <c r="AI397" s="278" t="s">
        <v>423</v>
      </c>
      <c r="AJ397" s="278" t="s">
        <v>422</v>
      </c>
      <c r="AK397" s="278" t="s">
        <v>423</v>
      </c>
      <c r="AL397" s="279" t="s">
        <v>138</v>
      </c>
      <c r="AM397" s="241"/>
      <c r="AN397" s="242"/>
    </row>
    <row r="398" spans="1:40" ht="15" customHeight="1" x14ac:dyDescent="0.3">
      <c r="A398" s="185">
        <v>396</v>
      </c>
      <c r="B398" s="235" t="s">
        <v>1762</v>
      </c>
      <c r="C398" s="281" t="s">
        <v>1615</v>
      </c>
      <c r="D398" s="200" t="s">
        <v>1881</v>
      </c>
      <c r="E398" s="383"/>
      <c r="F398" s="383" t="s">
        <v>1777</v>
      </c>
      <c r="G398" s="370" t="s">
        <v>1604</v>
      </c>
      <c r="H398" s="248" t="s">
        <v>422</v>
      </c>
      <c r="I398" s="248">
        <v>1.5</v>
      </c>
      <c r="J398" s="248">
        <v>10.5</v>
      </c>
      <c r="K398" s="248">
        <v>0</v>
      </c>
      <c r="L398" s="212">
        <v>1.5</v>
      </c>
      <c r="M398" s="212">
        <f t="shared" si="56"/>
        <v>13.5</v>
      </c>
      <c r="N398" s="212">
        <f t="shared" si="57"/>
        <v>12</v>
      </c>
      <c r="O398" s="212">
        <f t="shared" si="58"/>
        <v>42</v>
      </c>
      <c r="P398" s="212">
        <f t="shared" si="59"/>
        <v>0</v>
      </c>
      <c r="Q398" s="212">
        <f t="shared" si="60"/>
        <v>12</v>
      </c>
      <c r="R398" s="212">
        <f t="shared" si="61"/>
        <v>66</v>
      </c>
      <c r="S398" s="286" t="s">
        <v>1772</v>
      </c>
      <c r="T398" s="275" t="s">
        <v>1773</v>
      </c>
      <c r="U398" s="280">
        <v>75</v>
      </c>
      <c r="V398" s="280">
        <v>76</v>
      </c>
      <c r="W398" s="280">
        <v>76</v>
      </c>
      <c r="X398" s="276">
        <v>44418</v>
      </c>
      <c r="Y398" s="277">
        <v>44484</v>
      </c>
      <c r="Z398" s="26">
        <v>44480</v>
      </c>
      <c r="AA398" s="273">
        <f t="shared" si="62"/>
        <v>2021</v>
      </c>
      <c r="AB398" s="273">
        <f t="shared" si="63"/>
        <v>10</v>
      </c>
      <c r="AC398" s="278" t="s">
        <v>920</v>
      </c>
      <c r="AD398" s="278" t="s">
        <v>422</v>
      </c>
      <c r="AE398" s="278" t="s">
        <v>422</v>
      </c>
      <c r="AF398" s="278" t="s">
        <v>422</v>
      </c>
      <c r="AG398" s="278" t="s">
        <v>422</v>
      </c>
      <c r="AH398" s="278" t="s">
        <v>422</v>
      </c>
      <c r="AI398" s="278" t="s">
        <v>423</v>
      </c>
      <c r="AJ398" s="278" t="s">
        <v>422</v>
      </c>
      <c r="AK398" s="278" t="s">
        <v>423</v>
      </c>
      <c r="AL398" s="279" t="s">
        <v>138</v>
      </c>
      <c r="AM398" s="241"/>
      <c r="AN398" s="242"/>
    </row>
    <row r="399" spans="1:40" ht="15" customHeight="1" x14ac:dyDescent="0.3">
      <c r="A399" s="185">
        <v>397</v>
      </c>
      <c r="B399" s="235" t="s">
        <v>1763</v>
      </c>
      <c r="C399" s="281" t="s">
        <v>1615</v>
      </c>
      <c r="D399" s="200" t="s">
        <v>1881</v>
      </c>
      <c r="E399" s="383"/>
      <c r="F399" s="383" t="s">
        <v>1777</v>
      </c>
      <c r="G399" s="370" t="s">
        <v>1604</v>
      </c>
      <c r="H399" s="248" t="s">
        <v>422</v>
      </c>
      <c r="I399" s="248">
        <v>2</v>
      </c>
      <c r="J399" s="248">
        <v>11.5</v>
      </c>
      <c r="K399" s="248">
        <v>0</v>
      </c>
      <c r="L399" s="212">
        <v>1.5</v>
      </c>
      <c r="M399" s="212">
        <f t="shared" si="56"/>
        <v>15</v>
      </c>
      <c r="N399" s="212">
        <f t="shared" si="57"/>
        <v>16</v>
      </c>
      <c r="O399" s="212">
        <f t="shared" si="58"/>
        <v>46</v>
      </c>
      <c r="P399" s="212">
        <f t="shared" si="59"/>
        <v>0</v>
      </c>
      <c r="Q399" s="212">
        <f t="shared" si="60"/>
        <v>12</v>
      </c>
      <c r="R399" s="212">
        <f t="shared" si="61"/>
        <v>74</v>
      </c>
      <c r="S399" s="286" t="s">
        <v>1774</v>
      </c>
      <c r="T399" s="275" t="s">
        <v>1775</v>
      </c>
      <c r="U399" s="280">
        <v>80</v>
      </c>
      <c r="V399" s="280">
        <v>82</v>
      </c>
      <c r="W399" s="280">
        <v>82</v>
      </c>
      <c r="X399" s="276">
        <v>44418</v>
      </c>
      <c r="Y399" s="277">
        <v>44484</v>
      </c>
      <c r="Z399" s="26">
        <v>44480</v>
      </c>
      <c r="AA399" s="273">
        <f t="shared" si="62"/>
        <v>2021</v>
      </c>
      <c r="AB399" s="273">
        <f t="shared" si="63"/>
        <v>10</v>
      </c>
      <c r="AC399" s="278" t="s">
        <v>920</v>
      </c>
      <c r="AD399" s="278" t="s">
        <v>422</v>
      </c>
      <c r="AE399" s="278" t="s">
        <v>422</v>
      </c>
      <c r="AF399" s="278" t="s">
        <v>422</v>
      </c>
      <c r="AG399" s="278" t="s">
        <v>422</v>
      </c>
      <c r="AH399" s="278" t="s">
        <v>422</v>
      </c>
      <c r="AI399" s="278" t="s">
        <v>423</v>
      </c>
      <c r="AJ399" s="278" t="s">
        <v>422</v>
      </c>
      <c r="AK399" s="278" t="s">
        <v>423</v>
      </c>
      <c r="AL399" s="279" t="s">
        <v>1827</v>
      </c>
      <c r="AM399" s="241"/>
      <c r="AN399" s="242"/>
    </row>
    <row r="400" spans="1:40" ht="15" customHeight="1" x14ac:dyDescent="0.3">
      <c r="A400" s="185">
        <v>398</v>
      </c>
      <c r="B400" s="235" t="s">
        <v>1764</v>
      </c>
      <c r="C400" s="281" t="s">
        <v>1615</v>
      </c>
      <c r="D400" s="200" t="s">
        <v>1881</v>
      </c>
      <c r="E400" s="383"/>
      <c r="F400" s="383" t="s">
        <v>1777</v>
      </c>
      <c r="G400" s="370" t="s">
        <v>1604</v>
      </c>
      <c r="H400" s="248" t="s">
        <v>422</v>
      </c>
      <c r="I400" s="248">
        <v>2</v>
      </c>
      <c r="J400" s="248">
        <v>12</v>
      </c>
      <c r="K400" s="248">
        <v>0</v>
      </c>
      <c r="L400" s="212">
        <v>1.5</v>
      </c>
      <c r="M400" s="212">
        <f t="shared" si="56"/>
        <v>15.5</v>
      </c>
      <c r="N400" s="212">
        <f t="shared" si="57"/>
        <v>16</v>
      </c>
      <c r="O400" s="212">
        <f t="shared" si="58"/>
        <v>48</v>
      </c>
      <c r="P400" s="212">
        <f t="shared" si="59"/>
        <v>0</v>
      </c>
      <c r="Q400" s="212">
        <f t="shared" si="60"/>
        <v>12</v>
      </c>
      <c r="R400" s="212">
        <f t="shared" si="61"/>
        <v>76</v>
      </c>
      <c r="S400" s="286" t="s">
        <v>1776</v>
      </c>
      <c r="T400" s="275" t="s">
        <v>1282</v>
      </c>
      <c r="U400" s="280">
        <v>152</v>
      </c>
      <c r="V400" s="280">
        <f>53+41+61</f>
        <v>155</v>
      </c>
      <c r="W400" s="280">
        <f>53+41+61</f>
        <v>155</v>
      </c>
      <c r="X400" s="276">
        <v>44418</v>
      </c>
      <c r="Y400" s="277">
        <v>44484</v>
      </c>
      <c r="Z400" s="26">
        <v>44480</v>
      </c>
      <c r="AA400" s="273">
        <f t="shared" si="62"/>
        <v>2021</v>
      </c>
      <c r="AB400" s="273">
        <f t="shared" si="63"/>
        <v>10</v>
      </c>
      <c r="AC400" s="278" t="s">
        <v>920</v>
      </c>
      <c r="AD400" s="278" t="s">
        <v>422</v>
      </c>
      <c r="AE400" s="278" t="s">
        <v>422</v>
      </c>
      <c r="AF400" s="278" t="s">
        <v>422</v>
      </c>
      <c r="AG400" s="278" t="s">
        <v>422</v>
      </c>
      <c r="AH400" s="278" t="s">
        <v>422</v>
      </c>
      <c r="AI400" s="278" t="s">
        <v>423</v>
      </c>
      <c r="AJ400" s="278" t="s">
        <v>422</v>
      </c>
      <c r="AK400" s="278" t="s">
        <v>423</v>
      </c>
      <c r="AL400" s="279" t="s">
        <v>140</v>
      </c>
      <c r="AM400" s="241"/>
      <c r="AN400" s="242"/>
    </row>
    <row r="401" spans="1:40" ht="15" customHeight="1" x14ac:dyDescent="0.3">
      <c r="A401" s="185">
        <v>402</v>
      </c>
      <c r="B401" s="235" t="s">
        <v>1783</v>
      </c>
      <c r="C401" s="281" t="s">
        <v>1615</v>
      </c>
      <c r="D401" s="200" t="s">
        <v>1881</v>
      </c>
      <c r="E401" s="383"/>
      <c r="F401" s="383"/>
      <c r="G401" s="370" t="s">
        <v>1604</v>
      </c>
      <c r="H401" s="248" t="s">
        <v>422</v>
      </c>
      <c r="I401" s="359">
        <v>2</v>
      </c>
      <c r="J401" s="248">
        <v>11</v>
      </c>
      <c r="K401" s="248">
        <v>0</v>
      </c>
      <c r="L401" s="212">
        <v>1</v>
      </c>
      <c r="M401" s="212">
        <f t="shared" si="56"/>
        <v>14</v>
      </c>
      <c r="N401" s="212">
        <f t="shared" si="57"/>
        <v>16</v>
      </c>
      <c r="O401" s="212">
        <f t="shared" si="58"/>
        <v>44</v>
      </c>
      <c r="P401" s="212">
        <f t="shared" si="59"/>
        <v>0</v>
      </c>
      <c r="Q401" s="212">
        <f t="shared" si="60"/>
        <v>8</v>
      </c>
      <c r="R401" s="212">
        <f t="shared" si="61"/>
        <v>68</v>
      </c>
      <c r="S401" s="286" t="s">
        <v>1828</v>
      </c>
      <c r="T401" s="275" t="s">
        <v>1784</v>
      </c>
      <c r="U401" s="280">
        <v>144</v>
      </c>
      <c r="V401" s="280">
        <f>49*3</f>
        <v>147</v>
      </c>
      <c r="W401" s="280">
        <f>49*3</f>
        <v>147</v>
      </c>
      <c r="X401" s="276">
        <v>44418</v>
      </c>
      <c r="Y401" s="277">
        <v>44423</v>
      </c>
      <c r="Z401" s="26">
        <v>44480</v>
      </c>
      <c r="AA401" s="273">
        <f t="shared" si="62"/>
        <v>2021</v>
      </c>
      <c r="AB401" s="273">
        <f t="shared" si="63"/>
        <v>10</v>
      </c>
      <c r="AC401" s="278" t="s">
        <v>920</v>
      </c>
      <c r="AD401" s="278" t="s">
        <v>422</v>
      </c>
      <c r="AE401" s="278" t="s">
        <v>422</v>
      </c>
      <c r="AF401" s="278" t="s">
        <v>422</v>
      </c>
      <c r="AG401" s="278" t="s">
        <v>422</v>
      </c>
      <c r="AH401" s="278" t="s">
        <v>422</v>
      </c>
      <c r="AI401" s="278" t="s">
        <v>423</v>
      </c>
      <c r="AJ401" s="278" t="s">
        <v>422</v>
      </c>
      <c r="AK401" s="278" t="s">
        <v>422</v>
      </c>
      <c r="AL401" s="279" t="s">
        <v>1372</v>
      </c>
      <c r="AM401" s="241"/>
      <c r="AN401" s="242"/>
    </row>
    <row r="402" spans="1:40" ht="15" customHeight="1" x14ac:dyDescent="0.3">
      <c r="A402" s="185">
        <v>403</v>
      </c>
      <c r="B402" s="235" t="s">
        <v>1785</v>
      </c>
      <c r="C402" s="281" t="s">
        <v>1615</v>
      </c>
      <c r="D402" s="200" t="s">
        <v>1881</v>
      </c>
      <c r="E402" s="383"/>
      <c r="F402" s="383"/>
      <c r="G402" s="370" t="s">
        <v>1604</v>
      </c>
      <c r="H402" s="248" t="s">
        <v>422</v>
      </c>
      <c r="I402" s="359">
        <v>2</v>
      </c>
      <c r="J402" s="248">
        <v>11.5</v>
      </c>
      <c r="K402" s="248">
        <v>0</v>
      </c>
      <c r="L402" s="212">
        <v>1</v>
      </c>
      <c r="M402" s="212">
        <f t="shared" si="56"/>
        <v>14.5</v>
      </c>
      <c r="N402" s="212">
        <f t="shared" si="57"/>
        <v>16</v>
      </c>
      <c r="O402" s="212">
        <f t="shared" si="58"/>
        <v>46</v>
      </c>
      <c r="P402" s="212">
        <f t="shared" si="59"/>
        <v>0</v>
      </c>
      <c r="Q402" s="212">
        <f t="shared" si="60"/>
        <v>8</v>
      </c>
      <c r="R402" s="212">
        <f t="shared" si="61"/>
        <v>70</v>
      </c>
      <c r="S402" s="286" t="s">
        <v>1829</v>
      </c>
      <c r="T402" s="275" t="s">
        <v>1786</v>
      </c>
      <c r="U402" s="280">
        <v>144</v>
      </c>
      <c r="V402" s="280">
        <f>49*3</f>
        <v>147</v>
      </c>
      <c r="W402" s="280">
        <f>49*3</f>
        <v>147</v>
      </c>
      <c r="X402" s="276">
        <v>44418</v>
      </c>
      <c r="Y402" s="277">
        <v>44423</v>
      </c>
      <c r="Z402" s="26">
        <v>44480</v>
      </c>
      <c r="AA402" s="273">
        <f t="shared" si="62"/>
        <v>2021</v>
      </c>
      <c r="AB402" s="273">
        <f t="shared" si="63"/>
        <v>10</v>
      </c>
      <c r="AC402" s="278" t="s">
        <v>920</v>
      </c>
      <c r="AD402" s="278" t="s">
        <v>422</v>
      </c>
      <c r="AE402" s="278" t="s">
        <v>422</v>
      </c>
      <c r="AF402" s="278" t="s">
        <v>422</v>
      </c>
      <c r="AG402" s="278" t="s">
        <v>422</v>
      </c>
      <c r="AH402" s="278" t="s">
        <v>422</v>
      </c>
      <c r="AI402" s="278" t="s">
        <v>423</v>
      </c>
      <c r="AJ402" s="278" t="s">
        <v>422</v>
      </c>
      <c r="AK402" s="278" t="s">
        <v>422</v>
      </c>
      <c r="AL402" s="279" t="s">
        <v>1372</v>
      </c>
      <c r="AM402" s="241"/>
      <c r="AN402" s="242"/>
    </row>
    <row r="403" spans="1:40" ht="15" customHeight="1" x14ac:dyDescent="0.3">
      <c r="A403" s="185">
        <v>408</v>
      </c>
      <c r="B403" s="235" t="s">
        <v>1800</v>
      </c>
      <c r="C403" s="281" t="s">
        <v>1618</v>
      </c>
      <c r="D403" s="200" t="s">
        <v>1881</v>
      </c>
      <c r="E403" s="383"/>
      <c r="F403" s="383" t="s">
        <v>1777</v>
      </c>
      <c r="G403" s="370" t="s">
        <v>1604</v>
      </c>
      <c r="H403" s="248"/>
      <c r="I403" s="248">
        <v>2</v>
      </c>
      <c r="J403" s="359">
        <v>11.5</v>
      </c>
      <c r="K403" s="248">
        <v>0</v>
      </c>
      <c r="L403" s="212">
        <v>1.5</v>
      </c>
      <c r="M403" s="212">
        <f t="shared" si="56"/>
        <v>15</v>
      </c>
      <c r="N403" s="212">
        <f t="shared" si="57"/>
        <v>16</v>
      </c>
      <c r="O403" s="212">
        <f t="shared" si="58"/>
        <v>46</v>
      </c>
      <c r="P403" s="212">
        <f t="shared" si="59"/>
        <v>0</v>
      </c>
      <c r="Q403" s="212">
        <f t="shared" si="60"/>
        <v>12</v>
      </c>
      <c r="R403" s="212">
        <f t="shared" si="61"/>
        <v>74</v>
      </c>
      <c r="S403" s="286" t="s">
        <v>1888</v>
      </c>
      <c r="T403" s="275" t="s">
        <v>1887</v>
      </c>
      <c r="U403" s="280">
        <v>195</v>
      </c>
      <c r="V403" s="280">
        <f>67+67</f>
        <v>134</v>
      </c>
      <c r="W403" s="280">
        <f>67+67</f>
        <v>134</v>
      </c>
      <c r="X403" s="276">
        <v>44414</v>
      </c>
      <c r="Y403" s="277">
        <v>44506</v>
      </c>
      <c r="Z403" s="276">
        <v>44496</v>
      </c>
      <c r="AA403" s="273">
        <f t="shared" si="62"/>
        <v>2021</v>
      </c>
      <c r="AB403" s="273">
        <f t="shared" si="63"/>
        <v>10</v>
      </c>
      <c r="AC403" s="278" t="s">
        <v>1831</v>
      </c>
      <c r="AD403" s="278" t="s">
        <v>1832</v>
      </c>
      <c r="AE403" s="278" t="s">
        <v>422</v>
      </c>
      <c r="AF403" s="278" t="s">
        <v>422</v>
      </c>
      <c r="AG403" s="278" t="s">
        <v>422</v>
      </c>
      <c r="AH403" s="278" t="s">
        <v>422</v>
      </c>
      <c r="AI403" s="278" t="s">
        <v>423</v>
      </c>
      <c r="AJ403" s="278" t="s">
        <v>422</v>
      </c>
      <c r="AK403" s="278" t="s">
        <v>423</v>
      </c>
      <c r="AL403" s="279" t="s">
        <v>1924</v>
      </c>
      <c r="AM403" s="241"/>
      <c r="AN403" s="243" t="s">
        <v>1831</v>
      </c>
    </row>
    <row r="404" spans="1:40" ht="15" customHeight="1" x14ac:dyDescent="0.3">
      <c r="A404" s="185">
        <v>410</v>
      </c>
      <c r="B404" s="235" t="s">
        <v>1802</v>
      </c>
      <c r="C404" s="281" t="s">
        <v>1618</v>
      </c>
      <c r="D404" s="200" t="s">
        <v>1881</v>
      </c>
      <c r="E404" s="383"/>
      <c r="F404" s="383" t="s">
        <v>1777</v>
      </c>
      <c r="G404" s="370" t="s">
        <v>1604</v>
      </c>
      <c r="H404" s="248" t="s">
        <v>422</v>
      </c>
      <c r="I404" s="248">
        <v>1.5</v>
      </c>
      <c r="J404" s="248">
        <v>7</v>
      </c>
      <c r="K404" s="248">
        <v>0</v>
      </c>
      <c r="L404" s="212">
        <v>1</v>
      </c>
      <c r="M404" s="212">
        <f t="shared" si="56"/>
        <v>9.5</v>
      </c>
      <c r="N404" s="212">
        <f t="shared" si="57"/>
        <v>12</v>
      </c>
      <c r="O404" s="212">
        <f t="shared" si="58"/>
        <v>28</v>
      </c>
      <c r="P404" s="212">
        <f t="shared" si="59"/>
        <v>0</v>
      </c>
      <c r="Q404" s="212">
        <f t="shared" si="60"/>
        <v>8</v>
      </c>
      <c r="R404" s="212">
        <f t="shared" si="61"/>
        <v>48</v>
      </c>
      <c r="S404" s="286" t="s">
        <v>1792</v>
      </c>
      <c r="T404" s="275" t="s">
        <v>1889</v>
      </c>
      <c r="U404" s="280">
        <v>90</v>
      </c>
      <c r="V404" s="280">
        <v>94</v>
      </c>
      <c r="W404" s="280">
        <v>94</v>
      </c>
      <c r="X404" s="276">
        <v>44414</v>
      </c>
      <c r="Y404" s="277">
        <v>44506</v>
      </c>
      <c r="Z404" s="276">
        <v>44496</v>
      </c>
      <c r="AA404" s="273">
        <f t="shared" si="62"/>
        <v>2021</v>
      </c>
      <c r="AB404" s="273">
        <f t="shared" si="63"/>
        <v>10</v>
      </c>
      <c r="AC404" s="278" t="s">
        <v>920</v>
      </c>
      <c r="AD404" s="278" t="s">
        <v>422</v>
      </c>
      <c r="AE404" s="278" t="s">
        <v>423</v>
      </c>
      <c r="AF404" s="278" t="s">
        <v>422</v>
      </c>
      <c r="AG404" s="278" t="s">
        <v>422</v>
      </c>
      <c r="AH404" s="278" t="s">
        <v>423</v>
      </c>
      <c r="AI404" s="278" t="s">
        <v>423</v>
      </c>
      <c r="AJ404" s="278" t="s">
        <v>423</v>
      </c>
      <c r="AK404" s="278" t="s">
        <v>422</v>
      </c>
      <c r="AL404" s="279" t="s">
        <v>1912</v>
      </c>
      <c r="AM404" s="241"/>
      <c r="AN404" s="242" t="s">
        <v>1826</v>
      </c>
    </row>
    <row r="405" spans="1:40" ht="15" customHeight="1" x14ac:dyDescent="0.3">
      <c r="A405" s="185">
        <v>411</v>
      </c>
      <c r="B405" s="235" t="s">
        <v>1803</v>
      </c>
      <c r="C405" s="281" t="s">
        <v>1618</v>
      </c>
      <c r="D405" s="200" t="s">
        <v>1881</v>
      </c>
      <c r="E405" s="383"/>
      <c r="F405" s="383" t="s">
        <v>1777</v>
      </c>
      <c r="G405" s="370" t="s">
        <v>1604</v>
      </c>
      <c r="H405" s="248" t="s">
        <v>422</v>
      </c>
      <c r="I405" s="248">
        <v>1.2</v>
      </c>
      <c r="J405" s="248">
        <v>7</v>
      </c>
      <c r="K405" s="248">
        <v>0</v>
      </c>
      <c r="L405" s="212">
        <v>1</v>
      </c>
      <c r="M405" s="212">
        <f t="shared" si="56"/>
        <v>9.1999999999999993</v>
      </c>
      <c r="N405" s="212">
        <f t="shared" si="57"/>
        <v>9.6</v>
      </c>
      <c r="O405" s="212">
        <f t="shared" si="58"/>
        <v>28</v>
      </c>
      <c r="P405" s="212">
        <f t="shared" si="59"/>
        <v>0</v>
      </c>
      <c r="Q405" s="212">
        <f t="shared" si="60"/>
        <v>8</v>
      </c>
      <c r="R405" s="212">
        <f t="shared" si="61"/>
        <v>45.6</v>
      </c>
      <c r="S405" s="286" t="s">
        <v>1792</v>
      </c>
      <c r="T405" s="275" t="s">
        <v>1890</v>
      </c>
      <c r="U405" s="280">
        <v>120</v>
      </c>
      <c r="V405" s="280">
        <v>124</v>
      </c>
      <c r="W405" s="280">
        <v>124</v>
      </c>
      <c r="X405" s="276">
        <v>44414</v>
      </c>
      <c r="Y405" s="277">
        <v>44506</v>
      </c>
      <c r="Z405" s="276">
        <v>44496</v>
      </c>
      <c r="AA405" s="273">
        <f t="shared" si="62"/>
        <v>2021</v>
      </c>
      <c r="AB405" s="273">
        <f t="shared" si="63"/>
        <v>10</v>
      </c>
      <c r="AC405" s="278" t="s">
        <v>920</v>
      </c>
      <c r="AD405" s="278" t="s">
        <v>422</v>
      </c>
      <c r="AE405" s="278" t="s">
        <v>423</v>
      </c>
      <c r="AF405" s="278" t="s">
        <v>422</v>
      </c>
      <c r="AG405" s="278" t="s">
        <v>422</v>
      </c>
      <c r="AH405" s="278" t="s">
        <v>423</v>
      </c>
      <c r="AI405" s="278" t="s">
        <v>423</v>
      </c>
      <c r="AJ405" s="278" t="s">
        <v>423</v>
      </c>
      <c r="AK405" s="278" t="s">
        <v>422</v>
      </c>
      <c r="AL405" s="279" t="s">
        <v>1911</v>
      </c>
      <c r="AM405" s="241"/>
      <c r="AN405" s="242" t="s">
        <v>1826</v>
      </c>
    </row>
    <row r="406" spans="1:40" ht="15" customHeight="1" x14ac:dyDescent="0.3">
      <c r="A406" s="185">
        <v>412</v>
      </c>
      <c r="B406" s="235" t="s">
        <v>1804</v>
      </c>
      <c r="C406" s="281" t="s">
        <v>1618</v>
      </c>
      <c r="D406" s="200" t="s">
        <v>1881</v>
      </c>
      <c r="E406" s="383"/>
      <c r="F406" s="383"/>
      <c r="G406" s="370" t="s">
        <v>1604</v>
      </c>
      <c r="H406" s="248" t="s">
        <v>422</v>
      </c>
      <c r="I406" s="359">
        <v>2</v>
      </c>
      <c r="J406" s="248">
        <v>13</v>
      </c>
      <c r="K406" s="248">
        <v>0</v>
      </c>
      <c r="L406" s="212">
        <v>1</v>
      </c>
      <c r="M406" s="212">
        <f t="shared" si="56"/>
        <v>16</v>
      </c>
      <c r="N406" s="212">
        <f t="shared" si="57"/>
        <v>16</v>
      </c>
      <c r="O406" s="212">
        <f t="shared" si="58"/>
        <v>52</v>
      </c>
      <c r="P406" s="212">
        <f t="shared" si="59"/>
        <v>0</v>
      </c>
      <c r="Q406" s="212">
        <f t="shared" si="60"/>
        <v>8</v>
      </c>
      <c r="R406" s="212">
        <f t="shared" si="61"/>
        <v>76</v>
      </c>
      <c r="S406" s="286" t="s">
        <v>1791</v>
      </c>
      <c r="T406" s="275" t="s">
        <v>1891</v>
      </c>
      <c r="U406" s="280">
        <v>55</v>
      </c>
      <c r="V406" s="280">
        <v>35</v>
      </c>
      <c r="W406" s="280">
        <v>35</v>
      </c>
      <c r="X406" s="276">
        <v>44414</v>
      </c>
      <c r="Y406" s="277">
        <v>44506</v>
      </c>
      <c r="Z406" s="276">
        <v>44496</v>
      </c>
      <c r="AA406" s="273">
        <f t="shared" si="62"/>
        <v>2021</v>
      </c>
      <c r="AB406" s="273">
        <f t="shared" si="63"/>
        <v>10</v>
      </c>
      <c r="AC406" s="278" t="s">
        <v>920</v>
      </c>
      <c r="AD406" s="278" t="s">
        <v>422</v>
      </c>
      <c r="AE406" s="278" t="s">
        <v>423</v>
      </c>
      <c r="AF406" s="278" t="s">
        <v>422</v>
      </c>
      <c r="AG406" s="278" t="s">
        <v>422</v>
      </c>
      <c r="AH406" s="278" t="s">
        <v>423</v>
      </c>
      <c r="AI406" s="278" t="s">
        <v>423</v>
      </c>
      <c r="AJ406" s="278" t="s">
        <v>423</v>
      </c>
      <c r="AK406" s="278" t="s">
        <v>423</v>
      </c>
      <c r="AL406" s="279" t="s">
        <v>138</v>
      </c>
      <c r="AM406" s="241"/>
      <c r="AN406" s="242"/>
    </row>
    <row r="407" spans="1:40" ht="15" customHeight="1" x14ac:dyDescent="0.3">
      <c r="A407" s="185">
        <v>424</v>
      </c>
      <c r="B407" s="235" t="s">
        <v>1833</v>
      </c>
      <c r="C407" s="281" t="s">
        <v>1618</v>
      </c>
      <c r="D407" s="200" t="s">
        <v>1881</v>
      </c>
      <c r="E407" s="383"/>
      <c r="F407" s="383" t="s">
        <v>1597</v>
      </c>
      <c r="G407" s="370" t="s">
        <v>1604</v>
      </c>
      <c r="H407" s="248" t="s">
        <v>422</v>
      </c>
      <c r="I407" s="359">
        <v>2</v>
      </c>
      <c r="J407" s="248">
        <v>15</v>
      </c>
      <c r="K407" s="248">
        <v>0</v>
      </c>
      <c r="L407" s="212">
        <v>1</v>
      </c>
      <c r="M407" s="212">
        <f t="shared" si="56"/>
        <v>18</v>
      </c>
      <c r="N407" s="212">
        <f t="shared" si="57"/>
        <v>16</v>
      </c>
      <c r="O407" s="212">
        <f t="shared" si="58"/>
        <v>60</v>
      </c>
      <c r="P407" s="212">
        <f t="shared" si="59"/>
        <v>0</v>
      </c>
      <c r="Q407" s="212">
        <f t="shared" si="60"/>
        <v>8</v>
      </c>
      <c r="R407" s="212">
        <f t="shared" si="61"/>
        <v>84</v>
      </c>
      <c r="S407" s="286" t="s">
        <v>1670</v>
      </c>
      <c r="T407" s="373" t="s">
        <v>1668</v>
      </c>
      <c r="U407" s="280">
        <v>6</v>
      </c>
      <c r="V407" s="280">
        <v>6</v>
      </c>
      <c r="W407" s="280">
        <v>6</v>
      </c>
      <c r="X407" s="276">
        <v>44474</v>
      </c>
      <c r="Y407" s="277">
        <v>44499</v>
      </c>
      <c r="Z407" s="276">
        <v>44496</v>
      </c>
      <c r="AA407" s="273">
        <f t="shared" si="62"/>
        <v>2021</v>
      </c>
      <c r="AB407" s="273">
        <f t="shared" si="63"/>
        <v>10</v>
      </c>
      <c r="AC407" s="278" t="s">
        <v>920</v>
      </c>
      <c r="AD407" s="278" t="s">
        <v>422</v>
      </c>
      <c r="AE407" s="278" t="s">
        <v>422</v>
      </c>
      <c r="AF407" s="278" t="s">
        <v>422</v>
      </c>
      <c r="AG407" s="278" t="s">
        <v>422</v>
      </c>
      <c r="AH407" s="278" t="s">
        <v>422</v>
      </c>
      <c r="AI407" s="278" t="s">
        <v>423</v>
      </c>
      <c r="AJ407" s="278" t="s">
        <v>423</v>
      </c>
      <c r="AK407" s="278" t="s">
        <v>423</v>
      </c>
      <c r="AL407" s="279" t="s">
        <v>138</v>
      </c>
      <c r="AM407" s="241"/>
      <c r="AN407" s="242"/>
    </row>
    <row r="408" spans="1:40" ht="15" customHeight="1" x14ac:dyDescent="0.3">
      <c r="A408" s="185">
        <v>425</v>
      </c>
      <c r="B408" s="235" t="s">
        <v>1834</v>
      </c>
      <c r="C408" s="281" t="s">
        <v>1618</v>
      </c>
      <c r="D408" s="200" t="s">
        <v>1881</v>
      </c>
      <c r="E408" s="383"/>
      <c r="F408" s="383" t="s">
        <v>422</v>
      </c>
      <c r="G408" s="370" t="s">
        <v>1604</v>
      </c>
      <c r="H408" s="248" t="s">
        <v>1596</v>
      </c>
      <c r="I408" s="248">
        <v>2</v>
      </c>
      <c r="J408" s="248">
        <v>14</v>
      </c>
      <c r="K408" s="248">
        <v>0</v>
      </c>
      <c r="L408" s="212">
        <v>1</v>
      </c>
      <c r="M408" s="212">
        <f t="shared" si="56"/>
        <v>17</v>
      </c>
      <c r="N408" s="212">
        <f t="shared" si="57"/>
        <v>16</v>
      </c>
      <c r="O408" s="212">
        <f t="shared" si="58"/>
        <v>56</v>
      </c>
      <c r="P408" s="212">
        <f t="shared" si="59"/>
        <v>0</v>
      </c>
      <c r="Q408" s="212">
        <f t="shared" si="60"/>
        <v>8</v>
      </c>
      <c r="R408" s="212">
        <f t="shared" si="61"/>
        <v>80</v>
      </c>
      <c r="S408" s="286" t="s">
        <v>1666</v>
      </c>
      <c r="T408" s="373" t="s">
        <v>1664</v>
      </c>
      <c r="U408" s="280">
        <v>35</v>
      </c>
      <c r="V408" s="280">
        <v>36</v>
      </c>
      <c r="W408" s="280">
        <v>36</v>
      </c>
      <c r="X408" s="276">
        <v>44474</v>
      </c>
      <c r="Y408" s="277">
        <v>44499</v>
      </c>
      <c r="Z408" s="276">
        <v>44496</v>
      </c>
      <c r="AA408" s="273">
        <f t="shared" si="62"/>
        <v>2021</v>
      </c>
      <c r="AB408" s="273">
        <f t="shared" si="63"/>
        <v>10</v>
      </c>
      <c r="AC408" s="278" t="s">
        <v>920</v>
      </c>
      <c r="AD408" s="278" t="s">
        <v>422</v>
      </c>
      <c r="AE408" s="278" t="s">
        <v>422</v>
      </c>
      <c r="AF408" s="278" t="s">
        <v>422</v>
      </c>
      <c r="AG408" s="278" t="s">
        <v>422</v>
      </c>
      <c r="AH408" s="278" t="s">
        <v>422</v>
      </c>
      <c r="AI408" s="278" t="s">
        <v>423</v>
      </c>
      <c r="AJ408" s="278" t="s">
        <v>423</v>
      </c>
      <c r="AK408" s="278" t="s">
        <v>423</v>
      </c>
      <c r="AL408" s="279" t="s">
        <v>140</v>
      </c>
      <c r="AM408" s="241"/>
      <c r="AN408" s="242"/>
    </row>
    <row r="409" spans="1:40" ht="15" customHeight="1" x14ac:dyDescent="0.3">
      <c r="A409" s="185">
        <v>426</v>
      </c>
      <c r="B409" s="235" t="s">
        <v>1844</v>
      </c>
      <c r="C409" s="281" t="s">
        <v>1615</v>
      </c>
      <c r="D409" s="200" t="s">
        <v>1881</v>
      </c>
      <c r="E409" s="383"/>
      <c r="F409" s="383" t="s">
        <v>422</v>
      </c>
      <c r="G409" s="370" t="s">
        <v>1604</v>
      </c>
      <c r="H409" s="248" t="s">
        <v>422</v>
      </c>
      <c r="I409" s="248">
        <v>2</v>
      </c>
      <c r="J409" s="248">
        <v>11</v>
      </c>
      <c r="K409" s="248">
        <v>0</v>
      </c>
      <c r="L409" s="212">
        <v>1</v>
      </c>
      <c r="M409" s="212">
        <f t="shared" si="56"/>
        <v>14</v>
      </c>
      <c r="N409" s="212">
        <f t="shared" si="57"/>
        <v>16</v>
      </c>
      <c r="O409" s="212">
        <f t="shared" si="58"/>
        <v>44</v>
      </c>
      <c r="P409" s="212">
        <f t="shared" si="59"/>
        <v>0</v>
      </c>
      <c r="Q409" s="212">
        <f t="shared" si="60"/>
        <v>8</v>
      </c>
      <c r="R409" s="212">
        <f t="shared" si="61"/>
        <v>68</v>
      </c>
      <c r="S409" s="373" t="s">
        <v>1835</v>
      </c>
      <c r="T409" s="287" t="s">
        <v>940</v>
      </c>
      <c r="U409" s="280">
        <v>115</v>
      </c>
      <c r="V409" s="280">
        <v>117</v>
      </c>
      <c r="W409" s="280">
        <v>117</v>
      </c>
      <c r="X409" s="276">
        <v>44432</v>
      </c>
      <c r="Y409" s="277">
        <v>44489</v>
      </c>
      <c r="Z409" s="276">
        <v>44508</v>
      </c>
      <c r="AA409" s="273">
        <f t="shared" si="62"/>
        <v>2021</v>
      </c>
      <c r="AB409" s="273">
        <f t="shared" si="63"/>
        <v>11</v>
      </c>
      <c r="AC409" s="278" t="s">
        <v>920</v>
      </c>
      <c r="AD409" s="278" t="s">
        <v>422</v>
      </c>
      <c r="AE409" s="278" t="s">
        <v>422</v>
      </c>
      <c r="AF409" s="278" t="s">
        <v>422</v>
      </c>
      <c r="AG409" s="278" t="s">
        <v>422</v>
      </c>
      <c r="AH409" s="278" t="s">
        <v>422</v>
      </c>
      <c r="AI409" s="278" t="s">
        <v>423</v>
      </c>
      <c r="AJ409" s="278" t="s">
        <v>423</v>
      </c>
      <c r="AK409" s="278" t="s">
        <v>423</v>
      </c>
      <c r="AL409" s="279" t="s">
        <v>1911</v>
      </c>
      <c r="AM409" s="241"/>
      <c r="AN409" s="242"/>
    </row>
    <row r="410" spans="1:40" ht="15" customHeight="1" x14ac:dyDescent="0.3">
      <c r="A410" s="185">
        <v>427</v>
      </c>
      <c r="B410" s="235" t="s">
        <v>1843</v>
      </c>
      <c r="C410" s="281" t="s">
        <v>1615</v>
      </c>
      <c r="D410" s="200" t="s">
        <v>1881</v>
      </c>
      <c r="E410" s="383"/>
      <c r="F410" s="383" t="s">
        <v>422</v>
      </c>
      <c r="G410" s="370" t="s">
        <v>1604</v>
      </c>
      <c r="H410" s="248" t="s">
        <v>422</v>
      </c>
      <c r="I410" s="248">
        <v>2</v>
      </c>
      <c r="J410" s="248">
        <v>10.5</v>
      </c>
      <c r="K410" s="248">
        <v>0</v>
      </c>
      <c r="L410" s="212">
        <v>1</v>
      </c>
      <c r="M410" s="212">
        <f t="shared" si="56"/>
        <v>13.5</v>
      </c>
      <c r="N410" s="212">
        <f t="shared" si="57"/>
        <v>16</v>
      </c>
      <c r="O410" s="212">
        <f t="shared" si="58"/>
        <v>42</v>
      </c>
      <c r="P410" s="212">
        <f t="shared" si="59"/>
        <v>0</v>
      </c>
      <c r="Q410" s="212">
        <f t="shared" si="60"/>
        <v>8</v>
      </c>
      <c r="R410" s="212">
        <f t="shared" si="61"/>
        <v>66</v>
      </c>
      <c r="S410" s="373" t="s">
        <v>1836</v>
      </c>
      <c r="T410" s="287" t="s">
        <v>932</v>
      </c>
      <c r="U410" s="280">
        <v>90</v>
      </c>
      <c r="V410" s="280">
        <v>90</v>
      </c>
      <c r="W410" s="280">
        <v>90</v>
      </c>
      <c r="X410" s="276">
        <v>44468</v>
      </c>
      <c r="Y410" s="277">
        <v>44484</v>
      </c>
      <c r="Z410" s="276">
        <v>44508</v>
      </c>
      <c r="AA410" s="273">
        <f t="shared" si="62"/>
        <v>2021</v>
      </c>
      <c r="AB410" s="273">
        <f t="shared" si="63"/>
        <v>11</v>
      </c>
      <c r="AC410" s="278" t="s">
        <v>920</v>
      </c>
      <c r="AD410" s="278" t="s">
        <v>422</v>
      </c>
      <c r="AE410" s="278" t="s">
        <v>422</v>
      </c>
      <c r="AF410" s="278" t="s">
        <v>422</v>
      </c>
      <c r="AG410" s="278" t="s">
        <v>422</v>
      </c>
      <c r="AH410" s="278" t="s">
        <v>422</v>
      </c>
      <c r="AI410" s="278" t="s">
        <v>423</v>
      </c>
      <c r="AJ410" s="278" t="s">
        <v>422</v>
      </c>
      <c r="AK410" s="278" t="s">
        <v>423</v>
      </c>
      <c r="AL410" s="279" t="s">
        <v>140</v>
      </c>
      <c r="AM410" s="241"/>
      <c r="AN410" s="242"/>
    </row>
    <row r="411" spans="1:40" ht="15" customHeight="1" x14ac:dyDescent="0.3">
      <c r="A411" s="185">
        <v>428</v>
      </c>
      <c r="B411" s="235" t="s">
        <v>1842</v>
      </c>
      <c r="C411" s="281" t="s">
        <v>1615</v>
      </c>
      <c r="D411" s="200" t="s">
        <v>1881</v>
      </c>
      <c r="E411" s="383"/>
      <c r="F411" s="383" t="s">
        <v>422</v>
      </c>
      <c r="G411" s="370" t="s">
        <v>1604</v>
      </c>
      <c r="H411" s="248" t="s">
        <v>422</v>
      </c>
      <c r="I411" s="248">
        <v>1.5</v>
      </c>
      <c r="J411" s="248">
        <v>7</v>
      </c>
      <c r="K411" s="248">
        <v>0</v>
      </c>
      <c r="L411" s="212">
        <v>1</v>
      </c>
      <c r="M411" s="212">
        <f t="shared" si="56"/>
        <v>9.5</v>
      </c>
      <c r="N411" s="212">
        <f t="shared" si="57"/>
        <v>12</v>
      </c>
      <c r="O411" s="212">
        <f t="shared" si="58"/>
        <v>28</v>
      </c>
      <c r="P411" s="212">
        <f t="shared" si="59"/>
        <v>0</v>
      </c>
      <c r="Q411" s="212">
        <f t="shared" si="60"/>
        <v>8</v>
      </c>
      <c r="R411" s="212">
        <f t="shared" si="61"/>
        <v>48</v>
      </c>
      <c r="S411" s="373" t="s">
        <v>1837</v>
      </c>
      <c r="T411" s="287" t="s">
        <v>1391</v>
      </c>
      <c r="U411" s="280">
        <v>60</v>
      </c>
      <c r="V411" s="280">
        <v>59</v>
      </c>
      <c r="W411" s="280">
        <v>59</v>
      </c>
      <c r="X411" s="276">
        <v>44393</v>
      </c>
      <c r="Y411" s="277">
        <v>44423</v>
      </c>
      <c r="Z411" s="276">
        <v>44508</v>
      </c>
      <c r="AA411" s="273">
        <f t="shared" si="62"/>
        <v>2021</v>
      </c>
      <c r="AB411" s="273">
        <f t="shared" si="63"/>
        <v>11</v>
      </c>
      <c r="AC411" s="278" t="s">
        <v>920</v>
      </c>
      <c r="AD411" s="278" t="s">
        <v>422</v>
      </c>
      <c r="AE411" s="278" t="s">
        <v>422</v>
      </c>
      <c r="AF411" s="278" t="s">
        <v>422</v>
      </c>
      <c r="AG411" s="278" t="s">
        <v>422</v>
      </c>
      <c r="AH411" s="278" t="s">
        <v>422</v>
      </c>
      <c r="AI411" s="278" t="s">
        <v>423</v>
      </c>
      <c r="AJ411" s="278" t="s">
        <v>422</v>
      </c>
      <c r="AK411" s="278" t="s">
        <v>423</v>
      </c>
      <c r="AL411" s="279" t="s">
        <v>1911</v>
      </c>
      <c r="AM411" s="241"/>
      <c r="AN411" s="242"/>
    </row>
    <row r="412" spans="1:40" ht="15" customHeight="1" x14ac:dyDescent="0.3">
      <c r="A412" s="185">
        <v>429</v>
      </c>
      <c r="B412" s="235" t="s">
        <v>1841</v>
      </c>
      <c r="C412" s="281" t="s">
        <v>1615</v>
      </c>
      <c r="D412" s="200" t="s">
        <v>1881</v>
      </c>
      <c r="E412" s="383"/>
      <c r="F412" s="383" t="s">
        <v>422</v>
      </c>
      <c r="G412" s="370" t="s">
        <v>1604</v>
      </c>
      <c r="H412" s="248" t="s">
        <v>422</v>
      </c>
      <c r="I412" s="248">
        <v>1.5</v>
      </c>
      <c r="J412" s="248">
        <v>6.5</v>
      </c>
      <c r="K412" s="248">
        <v>0</v>
      </c>
      <c r="L412" s="212">
        <v>1</v>
      </c>
      <c r="M412" s="212">
        <f t="shared" si="56"/>
        <v>9</v>
      </c>
      <c r="N412" s="212">
        <f t="shared" si="57"/>
        <v>12</v>
      </c>
      <c r="O412" s="212">
        <f t="shared" si="58"/>
        <v>26</v>
      </c>
      <c r="P412" s="212">
        <f t="shared" si="59"/>
        <v>0</v>
      </c>
      <c r="Q412" s="212">
        <f t="shared" si="60"/>
        <v>8</v>
      </c>
      <c r="R412" s="212">
        <f t="shared" si="61"/>
        <v>46</v>
      </c>
      <c r="S412" s="373" t="s">
        <v>1838</v>
      </c>
      <c r="T412" s="287" t="s">
        <v>1839</v>
      </c>
      <c r="U412" s="280">
        <v>128</v>
      </c>
      <c r="V412" s="280">
        <v>130</v>
      </c>
      <c r="W412" s="280">
        <v>130</v>
      </c>
      <c r="X412" s="276">
        <v>44468</v>
      </c>
      <c r="Y412" s="277">
        <v>44484</v>
      </c>
      <c r="Z412" s="276">
        <v>44508</v>
      </c>
      <c r="AA412" s="273">
        <f t="shared" si="62"/>
        <v>2021</v>
      </c>
      <c r="AB412" s="273">
        <f t="shared" si="63"/>
        <v>11</v>
      </c>
      <c r="AC412" s="278" t="s">
        <v>920</v>
      </c>
      <c r="AD412" s="278" t="s">
        <v>422</v>
      </c>
      <c r="AE412" s="278" t="s">
        <v>422</v>
      </c>
      <c r="AF412" s="278" t="s">
        <v>422</v>
      </c>
      <c r="AG412" s="278" t="s">
        <v>422</v>
      </c>
      <c r="AH412" s="278" t="s">
        <v>422</v>
      </c>
      <c r="AI412" s="278" t="s">
        <v>423</v>
      </c>
      <c r="AJ412" s="278" t="s">
        <v>422</v>
      </c>
      <c r="AK412" s="278" t="s">
        <v>423</v>
      </c>
      <c r="AL412" s="279" t="s">
        <v>1372</v>
      </c>
      <c r="AM412" s="241"/>
      <c r="AN412" s="242"/>
    </row>
    <row r="413" spans="1:40" ht="15" customHeight="1" x14ac:dyDescent="0.3">
      <c r="A413" s="185">
        <v>430</v>
      </c>
      <c r="B413" s="235" t="s">
        <v>1852</v>
      </c>
      <c r="C413" s="281" t="s">
        <v>1830</v>
      </c>
      <c r="D413" s="200" t="s">
        <v>1881</v>
      </c>
      <c r="E413" s="383"/>
      <c r="F413" s="383" t="s">
        <v>422</v>
      </c>
      <c r="G413" s="370" t="s">
        <v>1952</v>
      </c>
      <c r="H413" s="248" t="s">
        <v>1596</v>
      </c>
      <c r="I413" s="248">
        <v>2</v>
      </c>
      <c r="J413" s="248">
        <v>15</v>
      </c>
      <c r="K413" s="248">
        <f>2+15</f>
        <v>17</v>
      </c>
      <c r="L413" s="212">
        <v>1</v>
      </c>
      <c r="M413" s="212">
        <f t="shared" si="56"/>
        <v>35</v>
      </c>
      <c r="N413" s="212">
        <f t="shared" si="57"/>
        <v>16</v>
      </c>
      <c r="O413" s="212">
        <f t="shared" si="58"/>
        <v>60</v>
      </c>
      <c r="P413" s="212">
        <f t="shared" si="59"/>
        <v>113.33333333333334</v>
      </c>
      <c r="Q413" s="212">
        <f t="shared" si="60"/>
        <v>8</v>
      </c>
      <c r="R413" s="212">
        <f t="shared" si="61"/>
        <v>197.33333333333334</v>
      </c>
      <c r="S413" s="373" t="s">
        <v>1863</v>
      </c>
      <c r="T413" s="287" t="s">
        <v>1874</v>
      </c>
      <c r="U413" s="280">
        <v>148</v>
      </c>
      <c r="V413" s="280">
        <v>148</v>
      </c>
      <c r="W413" s="280">
        <v>148</v>
      </c>
      <c r="X413" s="276">
        <v>44477</v>
      </c>
      <c r="Y413" s="277">
        <v>44576</v>
      </c>
      <c r="Z413" s="276">
        <v>44530</v>
      </c>
      <c r="AA413" s="273">
        <f t="shared" si="62"/>
        <v>2021</v>
      </c>
      <c r="AB413" s="273">
        <f t="shared" si="63"/>
        <v>11</v>
      </c>
      <c r="AC413" s="278" t="s">
        <v>310</v>
      </c>
      <c r="AD413" s="278" t="s">
        <v>422</v>
      </c>
      <c r="AE413" s="278" t="s">
        <v>422</v>
      </c>
      <c r="AF413" s="278" t="s">
        <v>422</v>
      </c>
      <c r="AG413" s="278" t="s">
        <v>422</v>
      </c>
      <c r="AH413" s="278" t="s">
        <v>422</v>
      </c>
      <c r="AI413" s="278" t="s">
        <v>422</v>
      </c>
      <c r="AJ413" s="278" t="s">
        <v>449</v>
      </c>
      <c r="AK413" s="278" t="s">
        <v>423</v>
      </c>
      <c r="AL413" s="279" t="s">
        <v>140</v>
      </c>
      <c r="AM413" s="241"/>
      <c r="AN413" s="242"/>
    </row>
    <row r="414" spans="1:40" ht="15" customHeight="1" x14ac:dyDescent="0.3">
      <c r="A414" s="185">
        <v>432</v>
      </c>
      <c r="B414" s="235" t="s">
        <v>1854</v>
      </c>
      <c r="C414" s="281" t="s">
        <v>1830</v>
      </c>
      <c r="D414" s="200" t="s">
        <v>1881</v>
      </c>
      <c r="E414" s="383"/>
      <c r="F414" s="383" t="s">
        <v>422</v>
      </c>
      <c r="G414" s="370" t="s">
        <v>1952</v>
      </c>
      <c r="H414" s="248" t="s">
        <v>422</v>
      </c>
      <c r="I414" s="248">
        <v>2</v>
      </c>
      <c r="J414" s="248">
        <v>14</v>
      </c>
      <c r="K414" s="248">
        <v>15</v>
      </c>
      <c r="L414" s="212">
        <v>1</v>
      </c>
      <c r="M414" s="212">
        <f t="shared" si="56"/>
        <v>32</v>
      </c>
      <c r="N414" s="212">
        <f t="shared" si="57"/>
        <v>16</v>
      </c>
      <c r="O414" s="212">
        <f t="shared" si="58"/>
        <v>56</v>
      </c>
      <c r="P414" s="212">
        <f t="shared" si="59"/>
        <v>100</v>
      </c>
      <c r="Q414" s="212">
        <f t="shared" si="60"/>
        <v>8</v>
      </c>
      <c r="R414" s="212">
        <f t="shared" si="61"/>
        <v>180</v>
      </c>
      <c r="S414" s="373" t="s">
        <v>1865</v>
      </c>
      <c r="T414" s="287" t="s">
        <v>1875</v>
      </c>
      <c r="U414" s="280">
        <v>130</v>
      </c>
      <c r="V414" s="280">
        <v>130</v>
      </c>
      <c r="W414" s="280">
        <v>130</v>
      </c>
      <c r="X414" s="276">
        <v>44477</v>
      </c>
      <c r="Y414" s="277">
        <v>44576</v>
      </c>
      <c r="Z414" s="276">
        <v>44530</v>
      </c>
      <c r="AA414" s="273">
        <f t="shared" si="62"/>
        <v>2021</v>
      </c>
      <c r="AB414" s="273">
        <f t="shared" si="63"/>
        <v>11</v>
      </c>
      <c r="AC414" s="278" t="s">
        <v>310</v>
      </c>
      <c r="AD414" s="278" t="s">
        <v>422</v>
      </c>
      <c r="AE414" s="278" t="s">
        <v>422</v>
      </c>
      <c r="AF414" s="278" t="s">
        <v>422</v>
      </c>
      <c r="AG414" s="278" t="s">
        <v>422</v>
      </c>
      <c r="AH414" s="278" t="s">
        <v>422</v>
      </c>
      <c r="AI414" s="278" t="s">
        <v>422</v>
      </c>
      <c r="AJ414" s="278" t="s">
        <v>449</v>
      </c>
      <c r="AK414" s="278" t="s">
        <v>423</v>
      </c>
      <c r="AL414" s="279" t="s">
        <v>138</v>
      </c>
      <c r="AM414" s="241"/>
      <c r="AN414" s="242"/>
    </row>
    <row r="415" spans="1:40" ht="15" customHeight="1" x14ac:dyDescent="0.3">
      <c r="A415" s="185">
        <v>435</v>
      </c>
      <c r="B415" s="235" t="s">
        <v>1857</v>
      </c>
      <c r="C415" s="281" t="s">
        <v>1830</v>
      </c>
      <c r="D415" s="200" t="s">
        <v>1881</v>
      </c>
      <c r="E415" s="383"/>
      <c r="F415" s="383" t="s">
        <v>422</v>
      </c>
      <c r="G415" s="370" t="s">
        <v>1952</v>
      </c>
      <c r="H415" s="248" t="s">
        <v>422</v>
      </c>
      <c r="I415" s="248">
        <v>2.5</v>
      </c>
      <c r="J415" s="248">
        <v>16</v>
      </c>
      <c r="K415" s="248">
        <v>15</v>
      </c>
      <c r="L415" s="212">
        <v>1.5</v>
      </c>
      <c r="M415" s="212">
        <f t="shared" si="56"/>
        <v>35</v>
      </c>
      <c r="N415" s="212">
        <f t="shared" si="57"/>
        <v>20</v>
      </c>
      <c r="O415" s="212">
        <f t="shared" si="58"/>
        <v>64</v>
      </c>
      <c r="P415" s="212">
        <f t="shared" si="59"/>
        <v>100</v>
      </c>
      <c r="Q415" s="212">
        <f t="shared" si="60"/>
        <v>12</v>
      </c>
      <c r="R415" s="212">
        <f t="shared" si="61"/>
        <v>196</v>
      </c>
      <c r="S415" s="373" t="s">
        <v>1868</v>
      </c>
      <c r="T415" s="287" t="s">
        <v>1877</v>
      </c>
      <c r="U415" s="280">
        <v>138</v>
      </c>
      <c r="V415" s="280">
        <v>138</v>
      </c>
      <c r="W415" s="280">
        <v>138</v>
      </c>
      <c r="X415" s="276">
        <v>44477</v>
      </c>
      <c r="Y415" s="277">
        <v>44576</v>
      </c>
      <c r="Z415" s="276">
        <v>44530</v>
      </c>
      <c r="AA415" s="273">
        <f t="shared" si="62"/>
        <v>2021</v>
      </c>
      <c r="AB415" s="273">
        <f t="shared" si="63"/>
        <v>11</v>
      </c>
      <c r="AC415" s="278" t="s">
        <v>310</v>
      </c>
      <c r="AD415" s="278" t="s">
        <v>422</v>
      </c>
      <c r="AE415" s="278" t="s">
        <v>422</v>
      </c>
      <c r="AF415" s="278" t="s">
        <v>422</v>
      </c>
      <c r="AG415" s="278" t="s">
        <v>422</v>
      </c>
      <c r="AH415" s="278" t="s">
        <v>422</v>
      </c>
      <c r="AI415" s="278" t="s">
        <v>422</v>
      </c>
      <c r="AJ415" s="278" t="s">
        <v>449</v>
      </c>
      <c r="AK415" s="278" t="s">
        <v>423</v>
      </c>
      <c r="AL415" s="279" t="s">
        <v>1921</v>
      </c>
      <c r="AM415" s="241"/>
      <c r="AN415" s="242"/>
    </row>
    <row r="416" spans="1:40" ht="15" customHeight="1" x14ac:dyDescent="0.3">
      <c r="A416" s="185">
        <v>436</v>
      </c>
      <c r="B416" s="235" t="s">
        <v>1858</v>
      </c>
      <c r="C416" s="281" t="s">
        <v>1830</v>
      </c>
      <c r="D416" s="200" t="s">
        <v>1881</v>
      </c>
      <c r="E416" s="383"/>
      <c r="F416" s="383" t="s">
        <v>422</v>
      </c>
      <c r="G416" s="370" t="s">
        <v>1952</v>
      </c>
      <c r="H416" s="248" t="s">
        <v>422</v>
      </c>
      <c r="I416" s="248">
        <v>2</v>
      </c>
      <c r="J416" s="248">
        <v>14</v>
      </c>
      <c r="K416" s="248">
        <v>15</v>
      </c>
      <c r="L416" s="212">
        <v>1</v>
      </c>
      <c r="M416" s="212">
        <f t="shared" si="56"/>
        <v>32</v>
      </c>
      <c r="N416" s="212">
        <f t="shared" si="57"/>
        <v>16</v>
      </c>
      <c r="O416" s="212">
        <f t="shared" si="58"/>
        <v>56</v>
      </c>
      <c r="P416" s="212">
        <f t="shared" si="59"/>
        <v>100</v>
      </c>
      <c r="Q416" s="212">
        <f t="shared" si="60"/>
        <v>8</v>
      </c>
      <c r="R416" s="212">
        <f t="shared" si="61"/>
        <v>180</v>
      </c>
      <c r="S416" s="373" t="s">
        <v>1869</v>
      </c>
      <c r="T416" s="287" t="s">
        <v>1878</v>
      </c>
      <c r="U416" s="280">
        <v>138</v>
      </c>
      <c r="V416" s="280">
        <v>138</v>
      </c>
      <c r="W416" s="280">
        <v>138</v>
      </c>
      <c r="X416" s="276">
        <v>44477</v>
      </c>
      <c r="Y416" s="277">
        <v>44576</v>
      </c>
      <c r="Z416" s="276">
        <v>44530</v>
      </c>
      <c r="AA416" s="273">
        <f t="shared" si="62"/>
        <v>2021</v>
      </c>
      <c r="AB416" s="273">
        <f t="shared" si="63"/>
        <v>11</v>
      </c>
      <c r="AC416" s="278" t="s">
        <v>310</v>
      </c>
      <c r="AD416" s="278" t="s">
        <v>422</v>
      </c>
      <c r="AE416" s="278" t="s">
        <v>422</v>
      </c>
      <c r="AF416" s="278" t="s">
        <v>422</v>
      </c>
      <c r="AG416" s="278" t="s">
        <v>422</v>
      </c>
      <c r="AH416" s="278" t="s">
        <v>422</v>
      </c>
      <c r="AI416" s="278" t="s">
        <v>422</v>
      </c>
      <c r="AJ416" s="278" t="s">
        <v>449</v>
      </c>
      <c r="AK416" s="278" t="s">
        <v>423</v>
      </c>
      <c r="AL416" s="279" t="s">
        <v>140</v>
      </c>
      <c r="AM416" s="241"/>
      <c r="AN416" s="242"/>
    </row>
    <row r="417" spans="1:40" ht="15" customHeight="1" x14ac:dyDescent="0.3">
      <c r="A417" s="185">
        <v>437</v>
      </c>
      <c r="B417" s="235" t="s">
        <v>1859</v>
      </c>
      <c r="C417" s="281" t="s">
        <v>1830</v>
      </c>
      <c r="D417" s="200" t="s">
        <v>1881</v>
      </c>
      <c r="E417" s="383"/>
      <c r="F417" s="383" t="s">
        <v>422</v>
      </c>
      <c r="G417" s="370" t="s">
        <v>1952</v>
      </c>
      <c r="H417" s="248" t="s">
        <v>1596</v>
      </c>
      <c r="I417" s="248">
        <v>2</v>
      </c>
      <c r="J417" s="248">
        <v>14</v>
      </c>
      <c r="K417" s="248">
        <v>15</v>
      </c>
      <c r="L417" s="212">
        <v>1</v>
      </c>
      <c r="M417" s="212">
        <f t="shared" si="56"/>
        <v>32</v>
      </c>
      <c r="N417" s="212">
        <f t="shared" si="57"/>
        <v>16</v>
      </c>
      <c r="O417" s="212">
        <f t="shared" si="58"/>
        <v>56</v>
      </c>
      <c r="P417" s="212">
        <f t="shared" si="59"/>
        <v>100</v>
      </c>
      <c r="Q417" s="212">
        <f t="shared" si="60"/>
        <v>8</v>
      </c>
      <c r="R417" s="212">
        <f t="shared" si="61"/>
        <v>180</v>
      </c>
      <c r="S417" s="373" t="s">
        <v>1870</v>
      </c>
      <c r="T417" s="287" t="s">
        <v>1878</v>
      </c>
      <c r="U417" s="280">
        <v>108</v>
      </c>
      <c r="V417" s="280">
        <v>108</v>
      </c>
      <c r="W417" s="280">
        <v>108</v>
      </c>
      <c r="X417" s="276">
        <v>44477</v>
      </c>
      <c r="Y417" s="277">
        <v>44576</v>
      </c>
      <c r="Z417" s="276">
        <v>44530</v>
      </c>
      <c r="AA417" s="273">
        <f t="shared" si="62"/>
        <v>2021</v>
      </c>
      <c r="AB417" s="273">
        <f t="shared" si="63"/>
        <v>11</v>
      </c>
      <c r="AC417" s="278" t="s">
        <v>310</v>
      </c>
      <c r="AD417" s="278" t="s">
        <v>422</v>
      </c>
      <c r="AE417" s="278" t="s">
        <v>422</v>
      </c>
      <c r="AF417" s="278" t="s">
        <v>422</v>
      </c>
      <c r="AG417" s="278" t="s">
        <v>422</v>
      </c>
      <c r="AH417" s="278" t="s">
        <v>422</v>
      </c>
      <c r="AI417" s="278" t="s">
        <v>422</v>
      </c>
      <c r="AJ417" s="278" t="s">
        <v>449</v>
      </c>
      <c r="AK417" s="278" t="s">
        <v>423</v>
      </c>
      <c r="AL417" s="279" t="s">
        <v>140</v>
      </c>
      <c r="AM417" s="241"/>
      <c r="AN417" s="242"/>
    </row>
    <row r="418" spans="1:40" ht="15" customHeight="1" x14ac:dyDescent="0.3">
      <c r="A418" s="185">
        <v>441</v>
      </c>
      <c r="B418" s="235" t="s">
        <v>1900</v>
      </c>
      <c r="C418" s="281" t="s">
        <v>1617</v>
      </c>
      <c r="D418" s="281" t="s">
        <v>1848</v>
      </c>
      <c r="E418" s="383"/>
      <c r="F418" s="383" t="s">
        <v>1892</v>
      </c>
      <c r="G418" s="370" t="s">
        <v>1596</v>
      </c>
      <c r="H418" s="248" t="s">
        <v>422</v>
      </c>
      <c r="I418" s="248">
        <v>1</v>
      </c>
      <c r="J418" s="248">
        <v>4</v>
      </c>
      <c r="K418" s="248">
        <f>7+4</f>
        <v>11</v>
      </c>
      <c r="L418" s="212">
        <v>1</v>
      </c>
      <c r="M418" s="212">
        <f t="shared" si="56"/>
        <v>17</v>
      </c>
      <c r="N418" s="212">
        <f t="shared" si="57"/>
        <v>8</v>
      </c>
      <c r="O418" s="212">
        <f t="shared" si="58"/>
        <v>16</v>
      </c>
      <c r="P418" s="212">
        <f t="shared" si="59"/>
        <v>73.333333333333343</v>
      </c>
      <c r="Q418" s="212">
        <f t="shared" si="60"/>
        <v>8</v>
      </c>
      <c r="R418" s="212">
        <f t="shared" si="61"/>
        <v>105.33333333333334</v>
      </c>
      <c r="S418" s="275" t="s">
        <v>1899</v>
      </c>
      <c r="T418" s="275" t="s">
        <v>1899</v>
      </c>
      <c r="U418" s="280">
        <v>100</v>
      </c>
      <c r="V418" s="280">
        <v>120</v>
      </c>
      <c r="W418" s="280">
        <v>120</v>
      </c>
      <c r="X418" s="276">
        <v>44510</v>
      </c>
      <c r="Y418" s="277">
        <v>44510</v>
      </c>
      <c r="Z418" s="276">
        <v>44510</v>
      </c>
      <c r="AA418" s="273">
        <f t="shared" si="62"/>
        <v>2021</v>
      </c>
      <c r="AB418" s="273">
        <f t="shared" si="63"/>
        <v>11</v>
      </c>
      <c r="AC418" s="278" t="s">
        <v>310</v>
      </c>
      <c r="AD418" s="278" t="s">
        <v>422</v>
      </c>
      <c r="AE418" s="278" t="s">
        <v>422</v>
      </c>
      <c r="AF418" s="278" t="s">
        <v>422</v>
      </c>
      <c r="AG418" s="278" t="s">
        <v>422</v>
      </c>
      <c r="AH418" s="278" t="s">
        <v>422</v>
      </c>
      <c r="AI418" s="278" t="s">
        <v>422</v>
      </c>
      <c r="AJ418" s="278" t="s">
        <v>423</v>
      </c>
      <c r="AK418" s="278" t="s">
        <v>423</v>
      </c>
      <c r="AL418" s="279" t="s">
        <v>1372</v>
      </c>
      <c r="AM418" s="33"/>
      <c r="AN418" s="33"/>
    </row>
    <row r="419" spans="1:40" ht="15" customHeight="1" x14ac:dyDescent="0.3">
      <c r="A419" s="185">
        <v>308</v>
      </c>
      <c r="B419" s="392" t="s">
        <v>1536</v>
      </c>
      <c r="C419" s="281" t="s">
        <v>1615</v>
      </c>
      <c r="D419" s="200" t="s">
        <v>1881</v>
      </c>
      <c r="E419" s="383"/>
      <c r="F419" s="383" t="s">
        <v>1601</v>
      </c>
      <c r="G419" s="370" t="s">
        <v>1604</v>
      </c>
      <c r="H419" s="248"/>
      <c r="I419" s="248">
        <v>2</v>
      </c>
      <c r="J419" s="248">
        <v>15</v>
      </c>
      <c r="K419" s="248">
        <v>0</v>
      </c>
      <c r="L419" s="212">
        <v>1.5</v>
      </c>
      <c r="M419" s="212">
        <f t="shared" si="56"/>
        <v>18.5</v>
      </c>
      <c r="N419" s="212">
        <f t="shared" si="57"/>
        <v>16</v>
      </c>
      <c r="O419" s="212">
        <f t="shared" si="58"/>
        <v>60</v>
      </c>
      <c r="P419" s="212">
        <f t="shared" si="59"/>
        <v>0</v>
      </c>
      <c r="Q419" s="212">
        <f t="shared" si="60"/>
        <v>12</v>
      </c>
      <c r="R419" s="212">
        <f t="shared" si="61"/>
        <v>88</v>
      </c>
      <c r="S419" s="373" t="s">
        <v>1535</v>
      </c>
      <c r="T419" s="373" t="s">
        <v>1495</v>
      </c>
      <c r="U419" s="280">
        <v>240</v>
      </c>
      <c r="V419" s="280">
        <v>170</v>
      </c>
      <c r="W419" s="280">
        <v>0</v>
      </c>
      <c r="X419" s="374">
        <v>44286</v>
      </c>
      <c r="Y419" s="374">
        <v>44348</v>
      </c>
      <c r="Z419" s="276">
        <v>44545</v>
      </c>
      <c r="AA419" s="273">
        <f t="shared" si="62"/>
        <v>2021</v>
      </c>
      <c r="AB419" s="273">
        <f t="shared" si="63"/>
        <v>12</v>
      </c>
      <c r="AC419" s="278" t="s">
        <v>1042</v>
      </c>
      <c r="AD419" s="278" t="s">
        <v>1595</v>
      </c>
      <c r="AE419" s="278" t="s">
        <v>422</v>
      </c>
      <c r="AF419" s="278" t="s">
        <v>422</v>
      </c>
      <c r="AG419" s="278" t="s">
        <v>422</v>
      </c>
      <c r="AH419" s="278" t="s">
        <v>422</v>
      </c>
      <c r="AI419" s="278" t="s">
        <v>423</v>
      </c>
      <c r="AJ419" s="278" t="s">
        <v>422</v>
      </c>
      <c r="AK419" s="278" t="s">
        <v>423</v>
      </c>
      <c r="AL419" s="279" t="s">
        <v>1929</v>
      </c>
      <c r="AM419" s="241"/>
      <c r="AN419" s="241"/>
    </row>
    <row r="420" spans="1:40" ht="15" customHeight="1" x14ac:dyDescent="0.3">
      <c r="A420" s="185">
        <v>319</v>
      </c>
      <c r="B420" s="393" t="s">
        <v>1500</v>
      </c>
      <c r="C420" s="247" t="s">
        <v>1615</v>
      </c>
      <c r="D420" s="281" t="s">
        <v>1881</v>
      </c>
      <c r="E420" s="312"/>
      <c r="F420" s="312"/>
      <c r="G420" s="273" t="s">
        <v>1604</v>
      </c>
      <c r="H420" s="248"/>
      <c r="I420" s="317">
        <v>2</v>
      </c>
      <c r="J420" s="361">
        <v>11</v>
      </c>
      <c r="K420" s="317">
        <v>0</v>
      </c>
      <c r="L420" s="212">
        <v>1</v>
      </c>
      <c r="M420" s="212">
        <f t="shared" si="56"/>
        <v>14</v>
      </c>
      <c r="N420" s="212">
        <f t="shared" si="57"/>
        <v>16</v>
      </c>
      <c r="O420" s="212">
        <f t="shared" si="58"/>
        <v>44</v>
      </c>
      <c r="P420" s="212">
        <f t="shared" si="59"/>
        <v>0</v>
      </c>
      <c r="Q420" s="212">
        <f t="shared" si="60"/>
        <v>8</v>
      </c>
      <c r="R420" s="212">
        <f t="shared" si="61"/>
        <v>68</v>
      </c>
      <c r="S420" s="394" t="s">
        <v>1507</v>
      </c>
      <c r="T420" s="394" t="s">
        <v>1506</v>
      </c>
      <c r="U420" s="280">
        <v>88</v>
      </c>
      <c r="V420" s="280">
        <v>0</v>
      </c>
      <c r="W420" s="280">
        <v>0</v>
      </c>
      <c r="X420" s="374">
        <v>44244</v>
      </c>
      <c r="Y420" s="374">
        <v>44317</v>
      </c>
      <c r="Z420" s="276">
        <v>44560</v>
      </c>
      <c r="AA420" s="273">
        <f t="shared" si="62"/>
        <v>2021</v>
      </c>
      <c r="AB420" s="273">
        <f t="shared" si="63"/>
        <v>12</v>
      </c>
      <c r="AC420" s="278" t="s">
        <v>1928</v>
      </c>
      <c r="AD420" s="278" t="s">
        <v>449</v>
      </c>
      <c r="AE420" s="278" t="s">
        <v>422</v>
      </c>
      <c r="AF420" s="278" t="s">
        <v>449</v>
      </c>
      <c r="AG420" s="278" t="s">
        <v>449</v>
      </c>
      <c r="AH420" s="278" t="s">
        <v>449</v>
      </c>
      <c r="AI420" s="278" t="s">
        <v>423</v>
      </c>
      <c r="AJ420" s="278" t="s">
        <v>423</v>
      </c>
      <c r="AK420" s="278" t="s">
        <v>423</v>
      </c>
      <c r="AL420" s="29"/>
      <c r="AM420" s="310"/>
      <c r="AN420" s="310"/>
    </row>
    <row r="421" spans="1:40" ht="15" customHeight="1" x14ac:dyDescent="0.3">
      <c r="A421" s="185">
        <v>342</v>
      </c>
      <c r="B421" s="329" t="s">
        <v>1750</v>
      </c>
      <c r="C421" s="247" t="s">
        <v>1615</v>
      </c>
      <c r="D421" s="200" t="s">
        <v>1881</v>
      </c>
      <c r="E421" s="308"/>
      <c r="F421" s="282" t="s">
        <v>1601</v>
      </c>
      <c r="G421" s="273" t="s">
        <v>1604</v>
      </c>
      <c r="H421" s="248"/>
      <c r="I421" s="317">
        <v>2</v>
      </c>
      <c r="J421" s="361">
        <v>7</v>
      </c>
      <c r="K421" s="317">
        <v>0</v>
      </c>
      <c r="L421" s="212">
        <v>1</v>
      </c>
      <c r="M421" s="212">
        <f t="shared" si="56"/>
        <v>10</v>
      </c>
      <c r="N421" s="212">
        <f t="shared" si="57"/>
        <v>16</v>
      </c>
      <c r="O421" s="212">
        <f t="shared" si="58"/>
        <v>28</v>
      </c>
      <c r="P421" s="212">
        <f t="shared" si="59"/>
        <v>0</v>
      </c>
      <c r="Q421" s="212">
        <f t="shared" si="60"/>
        <v>8</v>
      </c>
      <c r="R421" s="212">
        <f t="shared" si="61"/>
        <v>52</v>
      </c>
      <c r="S421" s="312" t="s">
        <v>1624</v>
      </c>
      <c r="T421" s="313" t="s">
        <v>1822</v>
      </c>
      <c r="U421" s="280">
        <v>100</v>
      </c>
      <c r="V421" s="273">
        <v>0</v>
      </c>
      <c r="W421" s="273">
        <v>0</v>
      </c>
      <c r="X421" s="276">
        <v>44307</v>
      </c>
      <c r="Y421" s="277">
        <v>44392</v>
      </c>
      <c r="Z421" s="277">
        <v>44545</v>
      </c>
      <c r="AA421" s="273">
        <f t="shared" si="62"/>
        <v>2021</v>
      </c>
      <c r="AB421" s="273">
        <f t="shared" si="63"/>
        <v>12</v>
      </c>
      <c r="AC421" s="322" t="s">
        <v>1817</v>
      </c>
      <c r="AD421" s="278" t="s">
        <v>449</v>
      </c>
      <c r="AE421" s="278" t="s">
        <v>422</v>
      </c>
      <c r="AF421" s="278" t="s">
        <v>449</v>
      </c>
      <c r="AG421" s="278" t="s">
        <v>449</v>
      </c>
      <c r="AH421" s="278" t="s">
        <v>449</v>
      </c>
      <c r="AI421" s="278" t="s">
        <v>423</v>
      </c>
      <c r="AJ421" s="278" t="s">
        <v>422</v>
      </c>
      <c r="AK421" s="278" t="s">
        <v>423</v>
      </c>
      <c r="AL421" s="279" t="s">
        <v>1240</v>
      </c>
      <c r="AM421" s="29"/>
      <c r="AN421" s="29" t="s">
        <v>1756</v>
      </c>
    </row>
    <row r="422" spans="1:40" ht="15" customHeight="1" x14ac:dyDescent="0.3">
      <c r="A422" s="185">
        <v>343</v>
      </c>
      <c r="B422" s="329" t="s">
        <v>1893</v>
      </c>
      <c r="C422" s="247" t="s">
        <v>1615</v>
      </c>
      <c r="D422" s="200" t="s">
        <v>1881</v>
      </c>
      <c r="E422" s="308"/>
      <c r="F422" s="282"/>
      <c r="G422" s="273" t="s">
        <v>1604</v>
      </c>
      <c r="H422" s="248"/>
      <c r="I422" s="317">
        <v>2</v>
      </c>
      <c r="J422" s="361">
        <v>7</v>
      </c>
      <c r="K422" s="317">
        <v>0</v>
      </c>
      <c r="L422" s="212">
        <v>1</v>
      </c>
      <c r="M422" s="212">
        <f t="shared" si="56"/>
        <v>10</v>
      </c>
      <c r="N422" s="212">
        <f t="shared" si="57"/>
        <v>16</v>
      </c>
      <c r="O422" s="212">
        <f t="shared" si="58"/>
        <v>28</v>
      </c>
      <c r="P422" s="212">
        <f t="shared" si="59"/>
        <v>0</v>
      </c>
      <c r="Q422" s="212">
        <f t="shared" si="60"/>
        <v>8</v>
      </c>
      <c r="R422" s="212">
        <f t="shared" si="61"/>
        <v>52</v>
      </c>
      <c r="S422" s="312" t="s">
        <v>1625</v>
      </c>
      <c r="T422" s="313" t="s">
        <v>1930</v>
      </c>
      <c r="U422" s="280">
        <v>131</v>
      </c>
      <c r="V422" s="273">
        <v>0</v>
      </c>
      <c r="W422" s="273">
        <v>0</v>
      </c>
      <c r="X422" s="276">
        <v>44307</v>
      </c>
      <c r="Y422" s="277">
        <v>44392</v>
      </c>
      <c r="Z422" s="277">
        <v>44545</v>
      </c>
      <c r="AA422" s="273">
        <f t="shared" si="62"/>
        <v>2021</v>
      </c>
      <c r="AB422" s="273">
        <f t="shared" si="63"/>
        <v>12</v>
      </c>
      <c r="AC422" s="322" t="s">
        <v>1818</v>
      </c>
      <c r="AD422" s="278" t="s">
        <v>449</v>
      </c>
      <c r="AE422" s="278" t="s">
        <v>422</v>
      </c>
      <c r="AF422" s="278" t="s">
        <v>449</v>
      </c>
      <c r="AG422" s="278" t="s">
        <v>449</v>
      </c>
      <c r="AH422" s="278" t="s">
        <v>449</v>
      </c>
      <c r="AI422" s="278" t="s">
        <v>423</v>
      </c>
      <c r="AJ422" s="278" t="s">
        <v>422</v>
      </c>
      <c r="AK422" s="278" t="s">
        <v>423</v>
      </c>
      <c r="AL422" s="279" t="s">
        <v>1820</v>
      </c>
      <c r="AM422" s="29"/>
      <c r="AN422" s="29"/>
    </row>
    <row r="423" spans="1:40" ht="15" customHeight="1" x14ac:dyDescent="0.3">
      <c r="A423" s="185">
        <v>347</v>
      </c>
      <c r="B423" s="235" t="s">
        <v>1894</v>
      </c>
      <c r="C423" s="247" t="s">
        <v>1615</v>
      </c>
      <c r="D423" s="200" t="s">
        <v>1881</v>
      </c>
      <c r="E423" s="308"/>
      <c r="F423" s="282" t="s">
        <v>1597</v>
      </c>
      <c r="G423" s="273" t="s">
        <v>1604</v>
      </c>
      <c r="H423" s="248"/>
      <c r="I423" s="317">
        <v>2</v>
      </c>
      <c r="J423" s="361">
        <v>10</v>
      </c>
      <c r="K423" s="317">
        <v>0</v>
      </c>
      <c r="L423" s="212">
        <v>15</v>
      </c>
      <c r="M423" s="212">
        <f t="shared" si="56"/>
        <v>27</v>
      </c>
      <c r="N423" s="212">
        <f t="shared" si="57"/>
        <v>16</v>
      </c>
      <c r="O423" s="212">
        <f t="shared" si="58"/>
        <v>40</v>
      </c>
      <c r="P423" s="212">
        <f t="shared" si="59"/>
        <v>0</v>
      </c>
      <c r="Q423" s="212">
        <f t="shared" si="60"/>
        <v>120</v>
      </c>
      <c r="R423" s="212">
        <f t="shared" si="61"/>
        <v>176</v>
      </c>
      <c r="S423" s="283" t="s">
        <v>1627</v>
      </c>
      <c r="T423" s="284" t="s">
        <v>1824</v>
      </c>
      <c r="U423" s="280">
        <v>100</v>
      </c>
      <c r="V423" s="273">
        <v>0</v>
      </c>
      <c r="W423" s="273">
        <v>0</v>
      </c>
      <c r="X423" s="276">
        <v>44307</v>
      </c>
      <c r="Y423" s="277">
        <v>44392</v>
      </c>
      <c r="Z423" s="277">
        <v>44545</v>
      </c>
      <c r="AA423" s="273">
        <f t="shared" si="62"/>
        <v>2021</v>
      </c>
      <c r="AB423" s="273">
        <f t="shared" si="63"/>
        <v>12</v>
      </c>
      <c r="AC423" s="322" t="s">
        <v>1819</v>
      </c>
      <c r="AD423" s="278" t="s">
        <v>449</v>
      </c>
      <c r="AE423" s="278" t="s">
        <v>422</v>
      </c>
      <c r="AF423" s="278" t="s">
        <v>449</v>
      </c>
      <c r="AG423" s="278" t="s">
        <v>449</v>
      </c>
      <c r="AH423" s="278" t="s">
        <v>449</v>
      </c>
      <c r="AI423" s="278" t="s">
        <v>423</v>
      </c>
      <c r="AJ423" s="278" t="s">
        <v>422</v>
      </c>
      <c r="AK423" s="278" t="s">
        <v>423</v>
      </c>
      <c r="AL423" s="279" t="s">
        <v>1821</v>
      </c>
      <c r="AM423" s="29"/>
      <c r="AN423" s="29" t="s">
        <v>1821</v>
      </c>
    </row>
    <row r="424" spans="1:40" ht="15" customHeight="1" x14ac:dyDescent="0.3">
      <c r="A424" s="185">
        <v>358</v>
      </c>
      <c r="B424" s="235" t="s">
        <v>1656</v>
      </c>
      <c r="C424" s="247" t="s">
        <v>1618</v>
      </c>
      <c r="D424" s="200" t="s">
        <v>1881</v>
      </c>
      <c r="E424" s="383"/>
      <c r="F424" s="282" t="s">
        <v>1597</v>
      </c>
      <c r="G424" s="273" t="s">
        <v>1604</v>
      </c>
      <c r="H424" s="317" t="s">
        <v>138</v>
      </c>
      <c r="I424" s="317">
        <v>1.5</v>
      </c>
      <c r="J424" s="317">
        <v>14</v>
      </c>
      <c r="K424" s="317">
        <v>0</v>
      </c>
      <c r="L424" s="212">
        <v>1</v>
      </c>
      <c r="M424" s="212">
        <f t="shared" si="56"/>
        <v>16.5</v>
      </c>
      <c r="N424" s="212">
        <f t="shared" si="57"/>
        <v>12</v>
      </c>
      <c r="O424" s="212">
        <f t="shared" si="58"/>
        <v>56</v>
      </c>
      <c r="P424" s="212">
        <f t="shared" si="59"/>
        <v>0</v>
      </c>
      <c r="Q424" s="212">
        <f t="shared" si="60"/>
        <v>8</v>
      </c>
      <c r="R424" s="212">
        <f t="shared" si="61"/>
        <v>76</v>
      </c>
      <c r="S424" s="283" t="s">
        <v>1666</v>
      </c>
      <c r="T424" s="284" t="s">
        <v>1664</v>
      </c>
      <c r="U424" s="280">
        <v>60</v>
      </c>
      <c r="V424" s="280">
        <v>62</v>
      </c>
      <c r="W424" s="280">
        <v>0</v>
      </c>
      <c r="X424" s="276">
        <v>44327</v>
      </c>
      <c r="Y424" s="277">
        <v>44388</v>
      </c>
      <c r="Z424" s="26">
        <v>44545</v>
      </c>
      <c r="AA424" s="273">
        <f t="shared" si="62"/>
        <v>2021</v>
      </c>
      <c r="AB424" s="273">
        <f t="shared" si="63"/>
        <v>12</v>
      </c>
      <c r="AC424" s="278" t="s">
        <v>310</v>
      </c>
      <c r="AD424" s="387" t="s">
        <v>422</v>
      </c>
      <c r="AE424" s="278" t="s">
        <v>422</v>
      </c>
      <c r="AF424" s="278" t="s">
        <v>422</v>
      </c>
      <c r="AG424" s="278" t="s">
        <v>422</v>
      </c>
      <c r="AH424" s="278" t="s">
        <v>422</v>
      </c>
      <c r="AI424" s="278" t="s">
        <v>423</v>
      </c>
      <c r="AJ424" s="278" t="s">
        <v>423</v>
      </c>
      <c r="AK424" s="278" t="s">
        <v>423</v>
      </c>
      <c r="AL424" s="279" t="s">
        <v>1938</v>
      </c>
      <c r="AM424" s="241"/>
      <c r="AN424" s="242" t="s">
        <v>1749</v>
      </c>
    </row>
    <row r="425" spans="1:40" ht="15" customHeight="1" x14ac:dyDescent="0.3">
      <c r="A425" s="185">
        <v>359</v>
      </c>
      <c r="B425" s="235" t="s">
        <v>1655</v>
      </c>
      <c r="C425" s="247" t="s">
        <v>1618</v>
      </c>
      <c r="D425" s="200" t="s">
        <v>1881</v>
      </c>
      <c r="E425" s="383"/>
      <c r="F425" s="282" t="s">
        <v>1597</v>
      </c>
      <c r="G425" s="273" t="s">
        <v>1604</v>
      </c>
      <c r="H425" s="248" t="s">
        <v>138</v>
      </c>
      <c r="I425" s="317">
        <v>1.5</v>
      </c>
      <c r="J425" s="317">
        <v>14</v>
      </c>
      <c r="K425" s="317">
        <v>0</v>
      </c>
      <c r="L425" s="212">
        <v>1</v>
      </c>
      <c r="M425" s="212">
        <f t="shared" si="56"/>
        <v>16.5</v>
      </c>
      <c r="N425" s="212">
        <f t="shared" si="57"/>
        <v>12</v>
      </c>
      <c r="O425" s="212">
        <f t="shared" si="58"/>
        <v>56</v>
      </c>
      <c r="P425" s="212">
        <f t="shared" si="59"/>
        <v>0</v>
      </c>
      <c r="Q425" s="212">
        <f t="shared" si="60"/>
        <v>8</v>
      </c>
      <c r="R425" s="212">
        <f t="shared" si="61"/>
        <v>76</v>
      </c>
      <c r="S425" s="283" t="s">
        <v>1667</v>
      </c>
      <c r="T425" s="284" t="s">
        <v>1665</v>
      </c>
      <c r="U425" s="280">
        <v>10</v>
      </c>
      <c r="V425" s="280">
        <v>10</v>
      </c>
      <c r="W425" s="280">
        <v>0</v>
      </c>
      <c r="X425" s="276">
        <v>44327</v>
      </c>
      <c r="Y425" s="277">
        <v>44388</v>
      </c>
      <c r="Z425" s="26">
        <v>44545</v>
      </c>
      <c r="AA425" s="273">
        <f t="shared" si="62"/>
        <v>2021</v>
      </c>
      <c r="AB425" s="273">
        <f t="shared" si="63"/>
        <v>12</v>
      </c>
      <c r="AC425" s="278" t="s">
        <v>310</v>
      </c>
      <c r="AD425" s="278" t="s">
        <v>422</v>
      </c>
      <c r="AE425" s="278" t="s">
        <v>422</v>
      </c>
      <c r="AF425" s="278" t="s">
        <v>422</v>
      </c>
      <c r="AG425" s="278" t="s">
        <v>422</v>
      </c>
      <c r="AH425" s="278" t="s">
        <v>422</v>
      </c>
      <c r="AI425" s="278" t="s">
        <v>423</v>
      </c>
      <c r="AJ425" s="278" t="s">
        <v>423</v>
      </c>
      <c r="AK425" s="278" t="s">
        <v>423</v>
      </c>
      <c r="AL425" s="279" t="s">
        <v>1938</v>
      </c>
      <c r="AM425" s="241"/>
      <c r="AN425" s="242" t="s">
        <v>1749</v>
      </c>
    </row>
    <row r="426" spans="1:40" ht="15" customHeight="1" x14ac:dyDescent="0.3">
      <c r="A426" s="185">
        <v>386</v>
      </c>
      <c r="B426" s="235" t="s">
        <v>1730</v>
      </c>
      <c r="C426" s="247" t="s">
        <v>1618</v>
      </c>
      <c r="D426" s="200" t="s">
        <v>1881</v>
      </c>
      <c r="E426" s="383"/>
      <c r="F426" s="383" t="s">
        <v>1597</v>
      </c>
      <c r="G426" s="370" t="s">
        <v>1596</v>
      </c>
      <c r="H426" s="248" t="s">
        <v>1424</v>
      </c>
      <c r="I426" s="317">
        <v>2</v>
      </c>
      <c r="J426" s="361">
        <v>10</v>
      </c>
      <c r="K426" s="317">
        <v>29</v>
      </c>
      <c r="L426" s="212">
        <v>1</v>
      </c>
      <c r="M426" s="212">
        <f t="shared" si="56"/>
        <v>42</v>
      </c>
      <c r="N426" s="212">
        <f t="shared" si="57"/>
        <v>16</v>
      </c>
      <c r="O426" s="212">
        <f t="shared" si="58"/>
        <v>40</v>
      </c>
      <c r="P426" s="212">
        <f t="shared" si="59"/>
        <v>193.33333333333334</v>
      </c>
      <c r="Q426" s="212">
        <f t="shared" si="60"/>
        <v>8</v>
      </c>
      <c r="R426" s="212">
        <f t="shared" si="61"/>
        <v>257.33333333333337</v>
      </c>
      <c r="S426" s="283" t="s">
        <v>1742</v>
      </c>
      <c r="T426" s="313" t="s">
        <v>1736</v>
      </c>
      <c r="U426" s="280">
        <v>80</v>
      </c>
      <c r="V426" s="280">
        <v>84</v>
      </c>
      <c r="W426" s="280">
        <v>0</v>
      </c>
      <c r="X426" s="276">
        <v>44397</v>
      </c>
      <c r="Y426" s="277">
        <v>44469</v>
      </c>
      <c r="Z426" s="276">
        <v>44545</v>
      </c>
      <c r="AA426" s="273">
        <f t="shared" si="62"/>
        <v>2021</v>
      </c>
      <c r="AB426" s="273">
        <f t="shared" si="63"/>
        <v>12</v>
      </c>
      <c r="AC426" s="278" t="s">
        <v>310</v>
      </c>
      <c r="AD426" s="278" t="s">
        <v>422</v>
      </c>
      <c r="AE426" s="278" t="s">
        <v>422</v>
      </c>
      <c r="AF426" s="278" t="s">
        <v>422</v>
      </c>
      <c r="AG426" s="278" t="s">
        <v>422</v>
      </c>
      <c r="AH426" s="278" t="s">
        <v>422</v>
      </c>
      <c r="AI426" s="278" t="s">
        <v>422</v>
      </c>
      <c r="AJ426" s="278" t="s">
        <v>422</v>
      </c>
      <c r="AK426" s="278" t="s">
        <v>422</v>
      </c>
      <c r="AL426" s="279" t="s">
        <v>1424</v>
      </c>
      <c r="AM426" s="241"/>
      <c r="AN426" s="314" t="s">
        <v>1433</v>
      </c>
    </row>
    <row r="427" spans="1:40" ht="15" customHeight="1" x14ac:dyDescent="0.3">
      <c r="A427" s="185">
        <v>392</v>
      </c>
      <c r="B427" s="235" t="s">
        <v>1757</v>
      </c>
      <c r="C427" s="247" t="s">
        <v>1615</v>
      </c>
      <c r="D427" s="200" t="s">
        <v>1881</v>
      </c>
      <c r="E427" s="383"/>
      <c r="F427" s="383"/>
      <c r="G427" s="370" t="s">
        <v>1596</v>
      </c>
      <c r="H427" s="248"/>
      <c r="I427" s="317"/>
      <c r="J427" s="361">
        <v>10</v>
      </c>
      <c r="K427" s="317">
        <v>25</v>
      </c>
      <c r="L427" s="212">
        <v>1</v>
      </c>
      <c r="M427" s="212">
        <f t="shared" si="56"/>
        <v>36</v>
      </c>
      <c r="N427" s="212">
        <f t="shared" si="57"/>
        <v>0</v>
      </c>
      <c r="O427" s="212">
        <f t="shared" si="58"/>
        <v>40</v>
      </c>
      <c r="P427" s="212">
        <f t="shared" si="59"/>
        <v>166.66666666666669</v>
      </c>
      <c r="Q427" s="212">
        <f t="shared" si="60"/>
        <v>8</v>
      </c>
      <c r="R427" s="212">
        <f t="shared" si="61"/>
        <v>214.66666666666669</v>
      </c>
      <c r="S427" s="283" t="s">
        <v>1765</v>
      </c>
      <c r="T427" s="313" t="s">
        <v>1758</v>
      </c>
      <c r="U427" s="280">
        <v>72</v>
      </c>
      <c r="V427" s="280">
        <v>74</v>
      </c>
      <c r="W427" s="280">
        <v>0</v>
      </c>
      <c r="X427" s="276">
        <v>44418</v>
      </c>
      <c r="Y427" s="277">
        <v>44501</v>
      </c>
      <c r="Z427" s="276">
        <v>44560</v>
      </c>
      <c r="AA427" s="273">
        <f t="shared" si="62"/>
        <v>2021</v>
      </c>
      <c r="AB427" s="273">
        <f t="shared" si="63"/>
        <v>12</v>
      </c>
      <c r="AC427" s="278" t="s">
        <v>85</v>
      </c>
      <c r="AD427" s="278" t="s">
        <v>422</v>
      </c>
      <c r="AE427" s="278" t="s">
        <v>422</v>
      </c>
      <c r="AF427" s="278" t="s">
        <v>422</v>
      </c>
      <c r="AG427" s="278" t="s">
        <v>422</v>
      </c>
      <c r="AH427" s="278" t="s">
        <v>422</v>
      </c>
      <c r="AI427" s="278" t="s">
        <v>449</v>
      </c>
      <c r="AJ427" s="278" t="s">
        <v>422</v>
      </c>
      <c r="AK427" s="278" t="s">
        <v>422</v>
      </c>
      <c r="AL427" s="279" t="s">
        <v>355</v>
      </c>
      <c r="AM427" s="241"/>
      <c r="AN427" s="242"/>
    </row>
    <row r="428" spans="1:40" ht="15" customHeight="1" x14ac:dyDescent="0.3">
      <c r="A428" s="185">
        <v>399</v>
      </c>
      <c r="B428" s="235" t="s">
        <v>1787</v>
      </c>
      <c r="C428" s="247" t="s">
        <v>1615</v>
      </c>
      <c r="D428" s="200" t="s">
        <v>1881</v>
      </c>
      <c r="E428" s="383"/>
      <c r="F428" s="383"/>
      <c r="G428" s="273" t="s">
        <v>1604</v>
      </c>
      <c r="H428" s="248"/>
      <c r="I428" s="317"/>
      <c r="J428" s="356">
        <v>10.5</v>
      </c>
      <c r="K428" s="317">
        <v>0</v>
      </c>
      <c r="L428" s="212">
        <v>1</v>
      </c>
      <c r="M428" s="212">
        <f t="shared" si="56"/>
        <v>11.5</v>
      </c>
      <c r="N428" s="212">
        <f t="shared" si="57"/>
        <v>0</v>
      </c>
      <c r="O428" s="212">
        <f t="shared" si="58"/>
        <v>42</v>
      </c>
      <c r="P428" s="212">
        <f t="shared" si="59"/>
        <v>0</v>
      </c>
      <c r="Q428" s="212">
        <f t="shared" si="60"/>
        <v>8</v>
      </c>
      <c r="R428" s="212">
        <f t="shared" si="61"/>
        <v>50</v>
      </c>
      <c r="S428" s="283" t="s">
        <v>1788</v>
      </c>
      <c r="T428" s="313" t="s">
        <v>939</v>
      </c>
      <c r="U428" s="280">
        <v>117</v>
      </c>
      <c r="V428" s="280">
        <v>0</v>
      </c>
      <c r="W428" s="280">
        <v>0</v>
      </c>
      <c r="X428" s="276">
        <v>44418</v>
      </c>
      <c r="Y428" s="277">
        <v>44423</v>
      </c>
      <c r="Z428" s="276">
        <v>44560</v>
      </c>
      <c r="AA428" s="273">
        <f t="shared" si="62"/>
        <v>2021</v>
      </c>
      <c r="AB428" s="273">
        <f t="shared" si="63"/>
        <v>12</v>
      </c>
      <c r="AC428" s="278" t="s">
        <v>1927</v>
      </c>
      <c r="AD428" s="278" t="s">
        <v>422</v>
      </c>
      <c r="AE428" s="278" t="s">
        <v>422</v>
      </c>
      <c r="AF428" s="278" t="s">
        <v>449</v>
      </c>
      <c r="AG428" s="278" t="s">
        <v>449</v>
      </c>
      <c r="AH428" s="278" t="s">
        <v>449</v>
      </c>
      <c r="AI428" s="278" t="s">
        <v>423</v>
      </c>
      <c r="AJ428" s="278" t="s">
        <v>422</v>
      </c>
      <c r="AK428" s="278" t="s">
        <v>423</v>
      </c>
      <c r="AL428" s="279"/>
      <c r="AM428" s="241"/>
      <c r="AN428" s="242"/>
    </row>
    <row r="429" spans="1:40" ht="15" customHeight="1" x14ac:dyDescent="0.3">
      <c r="A429" s="185">
        <v>404</v>
      </c>
      <c r="B429" s="235" t="s">
        <v>1796</v>
      </c>
      <c r="C429" s="281" t="s">
        <v>1618</v>
      </c>
      <c r="D429" s="200" t="s">
        <v>1881</v>
      </c>
      <c r="E429" s="383"/>
      <c r="F429" s="383"/>
      <c r="G429" s="273" t="s">
        <v>1604</v>
      </c>
      <c r="H429" s="248"/>
      <c r="I429" s="248"/>
      <c r="J429" s="359">
        <v>6.5</v>
      </c>
      <c r="K429" s="248">
        <v>0</v>
      </c>
      <c r="L429" s="212">
        <v>1</v>
      </c>
      <c r="M429" s="212">
        <f t="shared" si="56"/>
        <v>7.5</v>
      </c>
      <c r="N429" s="212">
        <f t="shared" si="57"/>
        <v>0</v>
      </c>
      <c r="O429" s="212">
        <f t="shared" si="58"/>
        <v>26</v>
      </c>
      <c r="P429" s="212">
        <f t="shared" si="59"/>
        <v>0</v>
      </c>
      <c r="Q429" s="212">
        <f t="shared" si="60"/>
        <v>8</v>
      </c>
      <c r="R429" s="212">
        <f t="shared" si="61"/>
        <v>34</v>
      </c>
      <c r="S429" s="286" t="s">
        <v>1712</v>
      </c>
      <c r="T429" s="313" t="s">
        <v>1713</v>
      </c>
      <c r="U429" s="280">
        <v>85</v>
      </c>
      <c r="V429" s="280">
        <v>0</v>
      </c>
      <c r="W429" s="280">
        <v>0</v>
      </c>
      <c r="X429" s="276">
        <v>44414</v>
      </c>
      <c r="Y429" s="277">
        <v>44506</v>
      </c>
      <c r="Z429" s="276">
        <v>44560</v>
      </c>
      <c r="AA429" s="273">
        <f t="shared" si="62"/>
        <v>2021</v>
      </c>
      <c r="AB429" s="273">
        <f t="shared" si="63"/>
        <v>12</v>
      </c>
      <c r="AC429" s="278" t="s">
        <v>1927</v>
      </c>
      <c r="AD429" s="278" t="s">
        <v>1832</v>
      </c>
      <c r="AE429" s="278"/>
      <c r="AF429" s="278"/>
      <c r="AG429" s="278"/>
      <c r="AH429" s="278"/>
      <c r="AI429" s="278"/>
      <c r="AJ429" s="278"/>
      <c r="AK429" s="278"/>
      <c r="AL429" s="279"/>
      <c r="AM429" s="241"/>
      <c r="AN429" s="242"/>
    </row>
    <row r="430" spans="1:40" ht="15" customHeight="1" x14ac:dyDescent="0.3">
      <c r="A430" s="185">
        <v>405</v>
      </c>
      <c r="B430" s="235" t="s">
        <v>1797</v>
      </c>
      <c r="C430" s="281" t="s">
        <v>1618</v>
      </c>
      <c r="D430" s="200" t="s">
        <v>1881</v>
      </c>
      <c r="E430" s="383"/>
      <c r="F430" s="383"/>
      <c r="G430" s="273" t="s">
        <v>1604</v>
      </c>
      <c r="H430" s="248"/>
      <c r="I430" s="248"/>
      <c r="J430" s="359">
        <v>6.5</v>
      </c>
      <c r="K430" s="248">
        <v>0</v>
      </c>
      <c r="L430" s="212">
        <v>1</v>
      </c>
      <c r="M430" s="212">
        <f t="shared" si="56"/>
        <v>7.5</v>
      </c>
      <c r="N430" s="212">
        <f t="shared" si="57"/>
        <v>0</v>
      </c>
      <c r="O430" s="212">
        <f t="shared" si="58"/>
        <v>26</v>
      </c>
      <c r="P430" s="212">
        <f t="shared" si="59"/>
        <v>0</v>
      </c>
      <c r="Q430" s="212">
        <f t="shared" si="60"/>
        <v>8</v>
      </c>
      <c r="R430" s="212">
        <f t="shared" si="61"/>
        <v>34</v>
      </c>
      <c r="S430" s="286" t="s">
        <v>1883</v>
      </c>
      <c r="T430" s="313" t="s">
        <v>1882</v>
      </c>
      <c r="U430" s="280">
        <v>70</v>
      </c>
      <c r="V430" s="280">
        <v>0</v>
      </c>
      <c r="W430" s="280">
        <v>0</v>
      </c>
      <c r="X430" s="276">
        <v>44414</v>
      </c>
      <c r="Y430" s="277">
        <v>44506</v>
      </c>
      <c r="Z430" s="276">
        <v>44560</v>
      </c>
      <c r="AA430" s="273">
        <f t="shared" si="62"/>
        <v>2021</v>
      </c>
      <c r="AB430" s="273">
        <f t="shared" si="63"/>
        <v>12</v>
      </c>
      <c r="AC430" s="278" t="s">
        <v>1927</v>
      </c>
      <c r="AD430" s="278" t="s">
        <v>1832</v>
      </c>
      <c r="AE430" s="278"/>
      <c r="AF430" s="278"/>
      <c r="AG430" s="278"/>
      <c r="AH430" s="278"/>
      <c r="AI430" s="278"/>
      <c r="AJ430" s="278"/>
      <c r="AK430" s="278"/>
      <c r="AL430" s="279"/>
      <c r="AM430" s="241"/>
      <c r="AN430" s="242"/>
    </row>
    <row r="431" spans="1:40" ht="15" customHeight="1" x14ac:dyDescent="0.3">
      <c r="A431" s="185">
        <v>406</v>
      </c>
      <c r="B431" s="235" t="s">
        <v>1798</v>
      </c>
      <c r="C431" s="281" t="s">
        <v>1618</v>
      </c>
      <c r="D431" s="200" t="s">
        <v>1881</v>
      </c>
      <c r="E431" s="383"/>
      <c r="F431" s="383"/>
      <c r="G431" s="273" t="s">
        <v>1604</v>
      </c>
      <c r="H431" s="248"/>
      <c r="I431" s="317"/>
      <c r="J431" s="356">
        <v>6.5</v>
      </c>
      <c r="K431" s="317">
        <v>0</v>
      </c>
      <c r="L431" s="212">
        <v>1</v>
      </c>
      <c r="M431" s="212">
        <f t="shared" si="56"/>
        <v>7.5</v>
      </c>
      <c r="N431" s="212">
        <f t="shared" si="57"/>
        <v>0</v>
      </c>
      <c r="O431" s="212">
        <f t="shared" si="58"/>
        <v>26</v>
      </c>
      <c r="P431" s="212">
        <f t="shared" si="59"/>
        <v>0</v>
      </c>
      <c r="Q431" s="212">
        <f t="shared" si="60"/>
        <v>8</v>
      </c>
      <c r="R431" s="212">
        <f t="shared" si="61"/>
        <v>34</v>
      </c>
      <c r="S431" s="283" t="s">
        <v>1886</v>
      </c>
      <c r="T431" s="313" t="s">
        <v>1884</v>
      </c>
      <c r="U431" s="280">
        <v>85</v>
      </c>
      <c r="V431" s="280">
        <v>0</v>
      </c>
      <c r="W431" s="280">
        <v>0</v>
      </c>
      <c r="X431" s="276">
        <v>44414</v>
      </c>
      <c r="Y431" s="277">
        <v>44506</v>
      </c>
      <c r="Z431" s="276">
        <v>44560</v>
      </c>
      <c r="AA431" s="273">
        <f t="shared" si="62"/>
        <v>2021</v>
      </c>
      <c r="AB431" s="273">
        <f t="shared" si="63"/>
        <v>12</v>
      </c>
      <c r="AC431" s="278" t="s">
        <v>1927</v>
      </c>
      <c r="AD431" s="278" t="s">
        <v>1832</v>
      </c>
      <c r="AE431" s="278"/>
      <c r="AF431" s="278"/>
      <c r="AG431" s="278"/>
      <c r="AH431" s="278"/>
      <c r="AI431" s="278"/>
      <c r="AJ431" s="278"/>
      <c r="AK431" s="278"/>
      <c r="AL431" s="279"/>
      <c r="AM431" s="241"/>
      <c r="AN431" s="242"/>
    </row>
    <row r="432" spans="1:40" ht="15" customHeight="1" x14ac:dyDescent="0.3">
      <c r="A432" s="185">
        <v>407</v>
      </c>
      <c r="B432" s="235" t="s">
        <v>1799</v>
      </c>
      <c r="C432" s="281" t="s">
        <v>1618</v>
      </c>
      <c r="D432" s="200" t="s">
        <v>1881</v>
      </c>
      <c r="E432" s="383"/>
      <c r="F432" s="383"/>
      <c r="G432" s="273" t="s">
        <v>1604</v>
      </c>
      <c r="H432" s="248"/>
      <c r="I432" s="317"/>
      <c r="J432" s="356">
        <v>10</v>
      </c>
      <c r="K432" s="317">
        <v>0</v>
      </c>
      <c r="L432" s="212">
        <v>1</v>
      </c>
      <c r="M432" s="212">
        <f t="shared" si="56"/>
        <v>11</v>
      </c>
      <c r="N432" s="212">
        <f t="shared" si="57"/>
        <v>0</v>
      </c>
      <c r="O432" s="212">
        <f t="shared" si="58"/>
        <v>40</v>
      </c>
      <c r="P432" s="212">
        <f t="shared" si="59"/>
        <v>0</v>
      </c>
      <c r="Q432" s="212">
        <f t="shared" si="60"/>
        <v>8</v>
      </c>
      <c r="R432" s="212">
        <f t="shared" si="61"/>
        <v>48</v>
      </c>
      <c r="S432" s="283" t="s">
        <v>1440</v>
      </c>
      <c r="T432" s="313" t="s">
        <v>1885</v>
      </c>
      <c r="U432" s="280">
        <v>70</v>
      </c>
      <c r="V432" s="280">
        <v>0</v>
      </c>
      <c r="W432" s="280">
        <v>0</v>
      </c>
      <c r="X432" s="276">
        <v>44414</v>
      </c>
      <c r="Y432" s="277">
        <v>44506</v>
      </c>
      <c r="Z432" s="276">
        <v>44560</v>
      </c>
      <c r="AA432" s="273">
        <f t="shared" si="62"/>
        <v>2021</v>
      </c>
      <c r="AB432" s="273">
        <f t="shared" si="63"/>
        <v>12</v>
      </c>
      <c r="AC432" s="278" t="s">
        <v>1927</v>
      </c>
      <c r="AD432" s="278" t="s">
        <v>1832</v>
      </c>
      <c r="AE432" s="278"/>
      <c r="AF432" s="278"/>
      <c r="AG432" s="278"/>
      <c r="AH432" s="278"/>
      <c r="AI432" s="278"/>
      <c r="AJ432" s="278"/>
      <c r="AK432" s="278"/>
      <c r="AL432" s="279"/>
      <c r="AM432" s="241"/>
      <c r="AN432" s="242"/>
    </row>
    <row r="433" spans="1:40" ht="15" customHeight="1" x14ac:dyDescent="0.3">
      <c r="A433" s="185">
        <v>409</v>
      </c>
      <c r="B433" s="235" t="s">
        <v>1801</v>
      </c>
      <c r="C433" s="281" t="s">
        <v>1618</v>
      </c>
      <c r="D433" s="200" t="s">
        <v>1881</v>
      </c>
      <c r="E433" s="383"/>
      <c r="F433" s="383"/>
      <c r="G433" s="273" t="s">
        <v>1604</v>
      </c>
      <c r="H433" s="248" t="s">
        <v>138</v>
      </c>
      <c r="I433" s="319"/>
      <c r="J433" s="317">
        <v>14</v>
      </c>
      <c r="K433" s="317">
        <v>0</v>
      </c>
      <c r="L433" s="212">
        <v>1</v>
      </c>
      <c r="M433" s="212">
        <f t="shared" si="56"/>
        <v>15</v>
      </c>
      <c r="N433" s="212">
        <f t="shared" si="57"/>
        <v>0</v>
      </c>
      <c r="O433" s="212">
        <f t="shared" si="58"/>
        <v>56</v>
      </c>
      <c r="P433" s="212">
        <f t="shared" si="59"/>
        <v>0</v>
      </c>
      <c r="Q433" s="212">
        <f t="shared" si="60"/>
        <v>8</v>
      </c>
      <c r="R433" s="212">
        <f t="shared" si="61"/>
        <v>64</v>
      </c>
      <c r="S433" s="283" t="s">
        <v>1670</v>
      </c>
      <c r="T433" s="313" t="s">
        <v>1668</v>
      </c>
      <c r="U433" s="280">
        <v>110</v>
      </c>
      <c r="V433" s="280">
        <v>42</v>
      </c>
      <c r="W433" s="280">
        <v>0</v>
      </c>
      <c r="X433" s="276">
        <v>44414</v>
      </c>
      <c r="Y433" s="277">
        <v>44506</v>
      </c>
      <c r="Z433" s="276">
        <v>44560</v>
      </c>
      <c r="AA433" s="273">
        <f t="shared" si="62"/>
        <v>2021</v>
      </c>
      <c r="AB433" s="273">
        <f t="shared" si="63"/>
        <v>12</v>
      </c>
      <c r="AC433" s="278" t="s">
        <v>1927</v>
      </c>
      <c r="AD433" s="278" t="s">
        <v>1832</v>
      </c>
      <c r="AE433" s="278" t="s">
        <v>449</v>
      </c>
      <c r="AF433" s="278" t="s">
        <v>422</v>
      </c>
      <c r="AG433" s="278" t="s">
        <v>422</v>
      </c>
      <c r="AH433" s="278" t="s">
        <v>423</v>
      </c>
      <c r="AI433" s="278" t="s">
        <v>423</v>
      </c>
      <c r="AJ433" s="278" t="s">
        <v>423</v>
      </c>
      <c r="AK433" s="278" t="s">
        <v>423</v>
      </c>
      <c r="AL433" s="279" t="s">
        <v>138</v>
      </c>
      <c r="AM433" s="241"/>
      <c r="AN433" s="242"/>
    </row>
    <row r="434" spans="1:40" ht="15" customHeight="1" x14ac:dyDescent="0.3">
      <c r="A434" s="185">
        <v>442</v>
      </c>
      <c r="B434" s="235" t="s">
        <v>1901</v>
      </c>
      <c r="C434" s="281" t="s">
        <v>1615</v>
      </c>
      <c r="D434" s="200" t="s">
        <v>1881</v>
      </c>
      <c r="E434" s="383"/>
      <c r="F434" s="383"/>
      <c r="G434" s="273" t="s">
        <v>1604</v>
      </c>
      <c r="H434" s="248"/>
      <c r="I434" s="319"/>
      <c r="J434" s="361">
        <v>13</v>
      </c>
      <c r="K434" s="317">
        <v>0</v>
      </c>
      <c r="L434" s="212">
        <v>1</v>
      </c>
      <c r="M434" s="212">
        <f t="shared" si="56"/>
        <v>14</v>
      </c>
      <c r="N434" s="212">
        <f t="shared" si="57"/>
        <v>0</v>
      </c>
      <c r="O434" s="212">
        <f t="shared" si="58"/>
        <v>52</v>
      </c>
      <c r="P434" s="212">
        <f t="shared" si="59"/>
        <v>0</v>
      </c>
      <c r="Q434" s="212">
        <f t="shared" si="60"/>
        <v>8</v>
      </c>
      <c r="R434" s="212">
        <f t="shared" si="61"/>
        <v>60</v>
      </c>
      <c r="S434" s="384" t="s">
        <v>1904</v>
      </c>
      <c r="T434" s="284" t="s">
        <v>1081</v>
      </c>
      <c r="U434" s="280">
        <v>160</v>
      </c>
      <c r="V434" s="280">
        <v>0</v>
      </c>
      <c r="W434" s="280">
        <v>0</v>
      </c>
      <c r="X434" s="276">
        <v>44488</v>
      </c>
      <c r="Y434" s="277">
        <v>44531</v>
      </c>
      <c r="Z434" s="276">
        <v>44560</v>
      </c>
      <c r="AA434" s="273">
        <f t="shared" si="62"/>
        <v>2021</v>
      </c>
      <c r="AB434" s="273">
        <f t="shared" si="63"/>
        <v>12</v>
      </c>
      <c r="AC434" s="278" t="s">
        <v>1950</v>
      </c>
      <c r="AD434" s="278" t="s">
        <v>422</v>
      </c>
      <c r="AE434" s="278" t="s">
        <v>422</v>
      </c>
      <c r="AF434" s="278" t="s">
        <v>449</v>
      </c>
      <c r="AG434" s="278" t="s">
        <v>449</v>
      </c>
      <c r="AH434" s="278" t="s">
        <v>449</v>
      </c>
      <c r="AI434" s="278" t="s">
        <v>423</v>
      </c>
      <c r="AJ434" s="278" t="s">
        <v>423</v>
      </c>
      <c r="AK434" s="278" t="s">
        <v>423</v>
      </c>
      <c r="AL434" s="279"/>
      <c r="AM434" s="33"/>
      <c r="AN434" s="33"/>
    </row>
    <row r="435" spans="1:40" ht="15" customHeight="1" x14ac:dyDescent="0.3">
      <c r="A435" s="185">
        <v>443</v>
      </c>
      <c r="B435" s="235" t="s">
        <v>1903</v>
      </c>
      <c r="C435" s="281" t="s">
        <v>1615</v>
      </c>
      <c r="D435" s="200" t="s">
        <v>1881</v>
      </c>
      <c r="E435" s="383"/>
      <c r="F435" s="383"/>
      <c r="G435" s="273" t="s">
        <v>1604</v>
      </c>
      <c r="H435" s="248"/>
      <c r="I435" s="317"/>
      <c r="J435" s="361">
        <v>14</v>
      </c>
      <c r="K435" s="317">
        <v>0</v>
      </c>
      <c r="L435" s="212">
        <v>1</v>
      </c>
      <c r="M435" s="212">
        <f t="shared" si="56"/>
        <v>15</v>
      </c>
      <c r="N435" s="212">
        <f t="shared" si="57"/>
        <v>0</v>
      </c>
      <c r="O435" s="212">
        <f t="shared" si="58"/>
        <v>56</v>
      </c>
      <c r="P435" s="212">
        <f t="shared" si="59"/>
        <v>0</v>
      </c>
      <c r="Q435" s="212">
        <f t="shared" si="60"/>
        <v>8</v>
      </c>
      <c r="R435" s="212">
        <f t="shared" si="61"/>
        <v>64</v>
      </c>
      <c r="S435" s="384" t="s">
        <v>1905</v>
      </c>
      <c r="T435" s="284" t="s">
        <v>1082</v>
      </c>
      <c r="U435" s="280">
        <v>79</v>
      </c>
      <c r="V435" s="280">
        <v>0</v>
      </c>
      <c r="W435" s="280">
        <v>0</v>
      </c>
      <c r="X435" s="276">
        <v>44488</v>
      </c>
      <c r="Y435" s="277">
        <v>44531</v>
      </c>
      <c r="Z435" s="276">
        <v>44560</v>
      </c>
      <c r="AA435" s="273">
        <f t="shared" si="62"/>
        <v>2021</v>
      </c>
      <c r="AB435" s="273">
        <f t="shared" si="63"/>
        <v>12</v>
      </c>
      <c r="AC435" s="278" t="s">
        <v>1950</v>
      </c>
      <c r="AD435" s="278" t="s">
        <v>422</v>
      </c>
      <c r="AE435" s="278" t="s">
        <v>422</v>
      </c>
      <c r="AF435" s="278" t="s">
        <v>449</v>
      </c>
      <c r="AG435" s="278" t="s">
        <v>449</v>
      </c>
      <c r="AH435" s="278" t="s">
        <v>449</v>
      </c>
      <c r="AI435" s="278" t="s">
        <v>423</v>
      </c>
      <c r="AJ435" s="278" t="s">
        <v>423</v>
      </c>
      <c r="AK435" s="278" t="s">
        <v>423</v>
      </c>
      <c r="AL435" s="279"/>
      <c r="AM435" s="241"/>
      <c r="AN435" s="242"/>
    </row>
    <row r="436" spans="1:40" ht="15" customHeight="1" x14ac:dyDescent="0.3">
      <c r="A436" s="185">
        <v>444</v>
      </c>
      <c r="B436" s="235" t="s">
        <v>1902</v>
      </c>
      <c r="C436" s="281" t="s">
        <v>1615</v>
      </c>
      <c r="D436" s="200" t="s">
        <v>1881</v>
      </c>
      <c r="E436" s="383"/>
      <c r="F436" s="383" t="s">
        <v>422</v>
      </c>
      <c r="G436" s="273" t="s">
        <v>1604</v>
      </c>
      <c r="H436" s="248"/>
      <c r="I436" s="317">
        <v>2</v>
      </c>
      <c r="J436" s="361">
        <v>15</v>
      </c>
      <c r="K436" s="317">
        <v>0</v>
      </c>
      <c r="L436" s="212">
        <v>1</v>
      </c>
      <c r="M436" s="212">
        <f t="shared" si="56"/>
        <v>18</v>
      </c>
      <c r="N436" s="212">
        <f t="shared" si="57"/>
        <v>16</v>
      </c>
      <c r="O436" s="212">
        <f t="shared" si="58"/>
        <v>60</v>
      </c>
      <c r="P436" s="212">
        <f t="shared" si="59"/>
        <v>0</v>
      </c>
      <c r="Q436" s="212">
        <f t="shared" si="60"/>
        <v>8</v>
      </c>
      <c r="R436" s="212">
        <f t="shared" si="61"/>
        <v>84</v>
      </c>
      <c r="S436" s="384" t="s">
        <v>1907</v>
      </c>
      <c r="T436" s="284" t="s">
        <v>1299</v>
      </c>
      <c r="U436" s="280">
        <v>162</v>
      </c>
      <c r="V436" s="280">
        <v>0</v>
      </c>
      <c r="W436" s="280">
        <v>0</v>
      </c>
      <c r="X436" s="276">
        <v>44488</v>
      </c>
      <c r="Y436" s="277">
        <v>44531</v>
      </c>
      <c r="Z436" s="276">
        <v>44560</v>
      </c>
      <c r="AA436" s="273">
        <f t="shared" si="62"/>
        <v>2021</v>
      </c>
      <c r="AB436" s="273">
        <f t="shared" si="63"/>
        <v>12</v>
      </c>
      <c r="AC436" s="278" t="s">
        <v>1951</v>
      </c>
      <c r="AD436" s="278" t="s">
        <v>422</v>
      </c>
      <c r="AE436" s="278" t="s">
        <v>422</v>
      </c>
      <c r="AF436" s="278" t="s">
        <v>422</v>
      </c>
      <c r="AG436" s="278" t="s">
        <v>449</v>
      </c>
      <c r="AH436" s="278" t="s">
        <v>449</v>
      </c>
      <c r="AI436" s="278" t="s">
        <v>423</v>
      </c>
      <c r="AJ436" s="278" t="s">
        <v>423</v>
      </c>
      <c r="AK436" s="278" t="s">
        <v>423</v>
      </c>
      <c r="AL436" s="279" t="s">
        <v>140</v>
      </c>
      <c r="AM436" s="241"/>
      <c r="AN436" s="242"/>
    </row>
    <row r="437" spans="1:40" ht="15" customHeight="1" x14ac:dyDescent="0.3">
      <c r="A437" s="185">
        <v>445</v>
      </c>
      <c r="B437" s="235" t="s">
        <v>1906</v>
      </c>
      <c r="C437" s="281" t="s">
        <v>1615</v>
      </c>
      <c r="D437" s="200" t="s">
        <v>1881</v>
      </c>
      <c r="E437" s="383"/>
      <c r="F437" s="383"/>
      <c r="G437" s="273" t="s">
        <v>1604</v>
      </c>
      <c r="H437" s="248"/>
      <c r="I437" s="317"/>
      <c r="J437" s="361">
        <v>7</v>
      </c>
      <c r="K437" s="317">
        <v>0</v>
      </c>
      <c r="L437" s="212">
        <v>1</v>
      </c>
      <c r="M437" s="212">
        <f t="shared" si="56"/>
        <v>8</v>
      </c>
      <c r="N437" s="212">
        <f t="shared" si="57"/>
        <v>0</v>
      </c>
      <c r="O437" s="212">
        <f t="shared" si="58"/>
        <v>28</v>
      </c>
      <c r="P437" s="212">
        <f t="shared" si="59"/>
        <v>0</v>
      </c>
      <c r="Q437" s="212">
        <f t="shared" si="60"/>
        <v>8</v>
      </c>
      <c r="R437" s="212">
        <f t="shared" si="61"/>
        <v>36</v>
      </c>
      <c r="S437" s="384" t="s">
        <v>1908</v>
      </c>
      <c r="T437" s="284" t="s">
        <v>1909</v>
      </c>
      <c r="U437" s="280">
        <v>60</v>
      </c>
      <c r="V437" s="280">
        <v>0</v>
      </c>
      <c r="W437" s="280">
        <v>0</v>
      </c>
      <c r="X437" s="276">
        <v>44488</v>
      </c>
      <c r="Y437" s="277">
        <v>44531</v>
      </c>
      <c r="Z437" s="276">
        <v>44560</v>
      </c>
      <c r="AA437" s="273">
        <f t="shared" si="62"/>
        <v>2021</v>
      </c>
      <c r="AB437" s="273">
        <f t="shared" si="63"/>
        <v>12</v>
      </c>
      <c r="AC437" s="278" t="s">
        <v>1927</v>
      </c>
      <c r="AD437" s="278" t="s">
        <v>449</v>
      </c>
      <c r="AE437" s="278" t="s">
        <v>422</v>
      </c>
      <c r="AF437" s="278" t="s">
        <v>422</v>
      </c>
      <c r="AG437" s="278" t="s">
        <v>449</v>
      </c>
      <c r="AH437" s="278" t="s">
        <v>449</v>
      </c>
      <c r="AI437" s="278" t="s">
        <v>423</v>
      </c>
      <c r="AJ437" s="278" t="s">
        <v>423</v>
      </c>
      <c r="AK437" s="278" t="s">
        <v>423</v>
      </c>
      <c r="AL437" s="279"/>
      <c r="AM437" s="241"/>
      <c r="AN437" s="242"/>
    </row>
    <row r="438" spans="1:40" ht="15" customHeight="1" x14ac:dyDescent="0.3">
      <c r="A438" s="185">
        <v>446</v>
      </c>
      <c r="B438" s="235" t="s">
        <v>1913</v>
      </c>
      <c r="C438" s="281" t="s">
        <v>1615</v>
      </c>
      <c r="D438" s="200" t="s">
        <v>1881</v>
      </c>
      <c r="E438" s="383"/>
      <c r="F438" s="383" t="s">
        <v>422</v>
      </c>
      <c r="G438" s="273" t="s">
        <v>1604</v>
      </c>
      <c r="H438" s="248" t="s">
        <v>1596</v>
      </c>
      <c r="I438" s="317">
        <v>2.5</v>
      </c>
      <c r="J438" s="317">
        <v>14</v>
      </c>
      <c r="K438" s="317">
        <v>0</v>
      </c>
      <c r="L438" s="212">
        <v>1</v>
      </c>
      <c r="M438" s="212">
        <f t="shared" si="56"/>
        <v>17.5</v>
      </c>
      <c r="N438" s="212">
        <f t="shared" si="57"/>
        <v>20</v>
      </c>
      <c r="O438" s="212">
        <f t="shared" si="58"/>
        <v>56</v>
      </c>
      <c r="P438" s="212">
        <f t="shared" si="59"/>
        <v>0</v>
      </c>
      <c r="Q438" s="212">
        <f t="shared" si="60"/>
        <v>8</v>
      </c>
      <c r="R438" s="212">
        <f t="shared" si="61"/>
        <v>84</v>
      </c>
      <c r="S438" s="384" t="s">
        <v>1914</v>
      </c>
      <c r="T438" s="284" t="s">
        <v>1637</v>
      </c>
      <c r="U438" s="280">
        <v>92</v>
      </c>
      <c r="V438" s="280">
        <v>0</v>
      </c>
      <c r="W438" s="280">
        <v>0</v>
      </c>
      <c r="X438" s="276">
        <v>44488</v>
      </c>
      <c r="Y438" s="277">
        <v>44531</v>
      </c>
      <c r="Z438" s="276">
        <v>44560</v>
      </c>
      <c r="AA438" s="273">
        <f t="shared" si="62"/>
        <v>2021</v>
      </c>
      <c r="AB438" s="273">
        <f t="shared" si="63"/>
        <v>12</v>
      </c>
      <c r="AC438" s="278" t="s">
        <v>310</v>
      </c>
      <c r="AD438" s="278" t="s">
        <v>422</v>
      </c>
      <c r="AE438" s="278" t="s">
        <v>422</v>
      </c>
      <c r="AF438" s="278" t="s">
        <v>422</v>
      </c>
      <c r="AG438" s="278" t="s">
        <v>449</v>
      </c>
      <c r="AH438" s="278" t="s">
        <v>449</v>
      </c>
      <c r="AI438" s="278" t="s">
        <v>423</v>
      </c>
      <c r="AJ438" s="278" t="s">
        <v>449</v>
      </c>
      <c r="AK438" s="278" t="s">
        <v>423</v>
      </c>
      <c r="AL438" s="279" t="s">
        <v>1911</v>
      </c>
      <c r="AM438" s="33"/>
      <c r="AN438" s="33"/>
    </row>
    <row r="439" spans="1:40" ht="15" customHeight="1" x14ac:dyDescent="0.3">
      <c r="B439" s="235"/>
      <c r="C439" s="281"/>
      <c r="D439" s="200"/>
      <c r="E439" s="383"/>
      <c r="F439" s="383"/>
      <c r="G439" s="273"/>
      <c r="H439" s="248"/>
      <c r="I439" s="317"/>
      <c r="J439" s="317"/>
      <c r="K439" s="317"/>
      <c r="L439" s="212"/>
      <c r="M439" s="212">
        <f t="shared" si="56"/>
        <v>0</v>
      </c>
      <c r="N439" s="212"/>
      <c r="O439" s="212"/>
      <c r="P439" s="212"/>
      <c r="Q439" s="212"/>
      <c r="R439" s="212"/>
      <c r="S439" s="384"/>
      <c r="T439" s="284"/>
      <c r="U439" s="280"/>
      <c r="V439" s="280"/>
      <c r="W439" s="280"/>
      <c r="X439" s="276"/>
      <c r="Y439" s="277"/>
      <c r="Z439" s="276"/>
      <c r="AA439" s="273"/>
      <c r="AB439" s="273"/>
      <c r="AC439" s="278"/>
      <c r="AD439" s="278"/>
      <c r="AE439" s="278"/>
      <c r="AF439" s="278"/>
      <c r="AG439" s="278"/>
      <c r="AH439" s="278"/>
      <c r="AI439" s="278"/>
      <c r="AJ439" s="278"/>
      <c r="AK439" s="278"/>
      <c r="AL439" s="279"/>
      <c r="AM439" s="33"/>
      <c r="AN439" s="33"/>
    </row>
    <row r="440" spans="1:40" ht="15" customHeight="1" x14ac:dyDescent="0.3">
      <c r="B440" s="235"/>
      <c r="C440" s="281"/>
      <c r="D440" s="200"/>
      <c r="E440" s="383"/>
      <c r="F440" s="383"/>
      <c r="G440" s="273"/>
      <c r="H440" s="248"/>
      <c r="I440" s="317"/>
      <c r="J440" s="317"/>
      <c r="K440" s="317"/>
      <c r="L440" s="212"/>
      <c r="M440" s="212">
        <f t="shared" si="56"/>
        <v>0</v>
      </c>
      <c r="N440" s="212"/>
      <c r="O440" s="212"/>
      <c r="P440" s="212"/>
      <c r="Q440" s="212"/>
      <c r="R440" s="212"/>
      <c r="S440" s="384"/>
      <c r="T440" s="284"/>
      <c r="U440" s="280"/>
      <c r="V440" s="280"/>
      <c r="W440" s="280"/>
      <c r="X440" s="276"/>
      <c r="Y440" s="277"/>
      <c r="Z440" s="276"/>
      <c r="AA440" s="273"/>
      <c r="AB440" s="273"/>
      <c r="AC440" s="278"/>
      <c r="AD440" s="278"/>
      <c r="AE440" s="278"/>
      <c r="AF440" s="278"/>
      <c r="AG440" s="278"/>
      <c r="AH440" s="278"/>
      <c r="AI440" s="278"/>
      <c r="AJ440" s="278"/>
      <c r="AK440" s="278"/>
      <c r="AL440" s="279"/>
      <c r="AM440" s="33"/>
      <c r="AN440" s="33"/>
    </row>
    <row r="441" spans="1:40" ht="15" customHeight="1" x14ac:dyDescent="0.3">
      <c r="B441" s="235"/>
      <c r="C441" s="281"/>
      <c r="D441" s="200"/>
      <c r="E441" s="383"/>
      <c r="F441" s="383"/>
      <c r="G441" s="273"/>
      <c r="H441" s="248"/>
      <c r="I441" s="317"/>
      <c r="J441" s="317"/>
      <c r="K441" s="317"/>
      <c r="L441" s="212"/>
      <c r="M441" s="212">
        <f t="shared" si="56"/>
        <v>0</v>
      </c>
      <c r="N441" s="212"/>
      <c r="O441" s="212"/>
      <c r="P441" s="212"/>
      <c r="Q441" s="212"/>
      <c r="R441" s="212"/>
      <c r="S441" s="384"/>
      <c r="T441" s="284"/>
      <c r="U441" s="280"/>
      <c r="V441" s="280"/>
      <c r="W441" s="280"/>
      <c r="X441" s="276"/>
      <c r="Y441" s="277"/>
      <c r="Z441" s="276"/>
      <c r="AA441" s="273"/>
      <c r="AB441" s="273"/>
      <c r="AC441" s="278"/>
      <c r="AD441" s="278"/>
      <c r="AE441" s="278"/>
      <c r="AF441" s="278"/>
      <c r="AG441" s="278"/>
      <c r="AH441" s="278"/>
      <c r="AI441" s="278"/>
      <c r="AJ441" s="278"/>
      <c r="AK441" s="278"/>
      <c r="AL441" s="279"/>
      <c r="AM441" s="33"/>
      <c r="AN441" s="33"/>
    </row>
    <row r="442" spans="1:40" ht="15" customHeight="1" x14ac:dyDescent="0.3">
      <c r="B442" s="235"/>
      <c r="C442" s="281"/>
      <c r="D442" s="200"/>
      <c r="E442" s="383"/>
      <c r="F442" s="383"/>
      <c r="G442" s="273"/>
      <c r="H442" s="248"/>
      <c r="I442" s="317"/>
      <c r="J442" s="317"/>
      <c r="K442" s="317"/>
      <c r="L442" s="212"/>
      <c r="M442" s="212">
        <f t="shared" si="56"/>
        <v>0</v>
      </c>
      <c r="N442" s="212"/>
      <c r="O442" s="212"/>
      <c r="P442" s="212"/>
      <c r="Q442" s="212"/>
      <c r="R442" s="212"/>
      <c r="S442" s="384"/>
      <c r="T442" s="284"/>
      <c r="U442" s="280"/>
      <c r="V442" s="280"/>
      <c r="W442" s="280"/>
      <c r="X442" s="276"/>
      <c r="Y442" s="277"/>
      <c r="Z442" s="276"/>
      <c r="AA442" s="273"/>
      <c r="AB442" s="273"/>
      <c r="AC442" s="278"/>
      <c r="AD442" s="278"/>
      <c r="AE442" s="278"/>
      <c r="AF442" s="278"/>
      <c r="AG442" s="278"/>
      <c r="AH442" s="278"/>
      <c r="AI442" s="278"/>
      <c r="AJ442" s="278"/>
      <c r="AK442" s="278"/>
      <c r="AL442" s="279"/>
      <c r="AM442" s="33"/>
      <c r="AN442" s="33"/>
    </row>
    <row r="443" spans="1:40" ht="15" customHeight="1" x14ac:dyDescent="0.3">
      <c r="B443" s="235"/>
      <c r="C443" s="281"/>
      <c r="D443" s="200"/>
      <c r="E443" s="383"/>
      <c r="F443" s="383"/>
      <c r="G443" s="273"/>
      <c r="H443" s="248"/>
      <c r="I443" s="317"/>
      <c r="J443" s="317"/>
      <c r="K443" s="317"/>
      <c r="L443" s="212"/>
      <c r="M443" s="212">
        <f t="shared" si="56"/>
        <v>0</v>
      </c>
      <c r="N443" s="212"/>
      <c r="O443" s="212"/>
      <c r="P443" s="212"/>
      <c r="Q443" s="212"/>
      <c r="R443" s="212"/>
      <c r="S443" s="384"/>
      <c r="T443" s="284"/>
      <c r="U443" s="280"/>
      <c r="V443" s="280"/>
      <c r="W443" s="280"/>
      <c r="X443" s="276"/>
      <c r="Y443" s="277"/>
      <c r="Z443" s="276"/>
      <c r="AA443" s="273"/>
      <c r="AB443" s="273"/>
      <c r="AC443" s="278"/>
      <c r="AD443" s="278"/>
      <c r="AE443" s="278"/>
      <c r="AF443" s="278"/>
      <c r="AG443" s="278"/>
      <c r="AH443" s="278"/>
      <c r="AI443" s="278"/>
      <c r="AJ443" s="278"/>
      <c r="AK443" s="278"/>
      <c r="AL443" s="279"/>
      <c r="AM443" s="33"/>
      <c r="AN443" s="33"/>
    </row>
    <row r="444" spans="1:40" ht="15" customHeight="1" x14ac:dyDescent="0.3">
      <c r="B444" s="235"/>
      <c r="C444" s="281"/>
      <c r="D444" s="200"/>
      <c r="E444" s="383"/>
      <c r="F444" s="383"/>
      <c r="G444" s="273"/>
      <c r="H444" s="248"/>
      <c r="I444" s="317"/>
      <c r="J444" s="317"/>
      <c r="K444" s="317"/>
      <c r="L444" s="212"/>
      <c r="M444" s="212">
        <f t="shared" si="56"/>
        <v>0</v>
      </c>
      <c r="N444" s="212"/>
      <c r="O444" s="212"/>
      <c r="P444" s="212"/>
      <c r="Q444" s="212"/>
      <c r="R444" s="212"/>
      <c r="S444" s="384"/>
      <c r="T444" s="284"/>
      <c r="U444" s="280"/>
      <c r="V444" s="280"/>
      <c r="W444" s="280"/>
      <c r="X444" s="276"/>
      <c r="Y444" s="277"/>
      <c r="Z444" s="276"/>
      <c r="AA444" s="273"/>
      <c r="AB444" s="273"/>
      <c r="AC444" s="278"/>
      <c r="AD444" s="278"/>
      <c r="AE444" s="278"/>
      <c r="AF444" s="278"/>
      <c r="AG444" s="278"/>
      <c r="AH444" s="278"/>
      <c r="AI444" s="278"/>
      <c r="AJ444" s="278"/>
      <c r="AK444" s="278"/>
      <c r="AL444" s="279"/>
      <c r="AM444" s="33"/>
      <c r="AN444" s="33"/>
    </row>
    <row r="445" spans="1:40" ht="15" customHeight="1" x14ac:dyDescent="0.3">
      <c r="B445" s="235"/>
      <c r="C445" s="281"/>
      <c r="D445" s="200"/>
      <c r="E445" s="383"/>
      <c r="F445" s="383"/>
      <c r="G445" s="273"/>
      <c r="H445" s="248"/>
      <c r="I445" s="317"/>
      <c r="J445" s="317"/>
      <c r="K445" s="317"/>
      <c r="L445" s="212"/>
      <c r="M445" s="212">
        <f t="shared" si="56"/>
        <v>0</v>
      </c>
      <c r="N445" s="212"/>
      <c r="O445" s="212"/>
      <c r="P445" s="212"/>
      <c r="Q445" s="212"/>
      <c r="R445" s="212"/>
      <c r="S445" s="384"/>
      <c r="T445" s="284"/>
      <c r="U445" s="280"/>
      <c r="V445" s="280"/>
      <c r="W445" s="280"/>
      <c r="X445" s="276"/>
      <c r="Y445" s="277"/>
      <c r="Z445" s="276"/>
      <c r="AA445" s="273"/>
      <c r="AB445" s="273"/>
      <c r="AC445" s="278"/>
      <c r="AD445" s="278"/>
      <c r="AE445" s="278"/>
      <c r="AF445" s="278"/>
      <c r="AG445" s="278"/>
      <c r="AH445" s="278"/>
      <c r="AI445" s="278"/>
      <c r="AJ445" s="278"/>
      <c r="AK445" s="278"/>
      <c r="AL445" s="279"/>
      <c r="AM445" s="33"/>
      <c r="AN445" s="33"/>
    </row>
    <row r="446" spans="1:40" ht="15" customHeight="1" x14ac:dyDescent="0.3">
      <c r="B446" s="235"/>
      <c r="C446" s="281"/>
      <c r="D446" s="200"/>
      <c r="E446" s="383"/>
      <c r="F446" s="383"/>
      <c r="G446" s="273"/>
      <c r="H446" s="248"/>
      <c r="I446" s="317"/>
      <c r="J446" s="317"/>
      <c r="K446" s="317"/>
      <c r="L446" s="212"/>
      <c r="M446" s="212">
        <f t="shared" si="56"/>
        <v>0</v>
      </c>
      <c r="N446" s="212"/>
      <c r="O446" s="212"/>
      <c r="P446" s="212"/>
      <c r="Q446" s="212"/>
      <c r="R446" s="212"/>
      <c r="S446" s="384"/>
      <c r="T446" s="284"/>
      <c r="U446" s="280"/>
      <c r="V446" s="280"/>
      <c r="W446" s="280"/>
      <c r="X446" s="276"/>
      <c r="Y446" s="277"/>
      <c r="Z446" s="276"/>
      <c r="AA446" s="273"/>
      <c r="AB446" s="273"/>
      <c r="AC446" s="278"/>
      <c r="AD446" s="278"/>
      <c r="AE446" s="278"/>
      <c r="AF446" s="278"/>
      <c r="AG446" s="278"/>
      <c r="AH446" s="278"/>
      <c r="AI446" s="278"/>
      <c r="AJ446" s="278"/>
      <c r="AK446" s="278"/>
      <c r="AL446" s="279"/>
      <c r="AM446" s="33"/>
      <c r="AN446" s="33"/>
    </row>
    <row r="447" spans="1:40" ht="15" customHeight="1" x14ac:dyDescent="0.3">
      <c r="B447" s="235"/>
      <c r="C447" s="281"/>
      <c r="D447" s="200"/>
      <c r="E447" s="383"/>
      <c r="F447" s="383"/>
      <c r="G447" s="273"/>
      <c r="H447" s="248"/>
      <c r="I447" s="317"/>
      <c r="J447" s="317"/>
      <c r="K447" s="317"/>
      <c r="L447" s="212"/>
      <c r="M447" s="212">
        <f t="shared" si="56"/>
        <v>0</v>
      </c>
      <c r="N447" s="212"/>
      <c r="O447" s="212"/>
      <c r="P447" s="212"/>
      <c r="Q447" s="212"/>
      <c r="R447" s="212"/>
      <c r="S447" s="384"/>
      <c r="T447" s="284"/>
      <c r="U447" s="280"/>
      <c r="V447" s="280"/>
      <c r="W447" s="280"/>
      <c r="X447" s="276"/>
      <c r="Y447" s="277"/>
      <c r="Z447" s="276"/>
      <c r="AA447" s="273"/>
      <c r="AB447" s="273"/>
      <c r="AC447" s="278"/>
      <c r="AD447" s="278"/>
      <c r="AE447" s="278"/>
      <c r="AF447" s="278"/>
      <c r="AG447" s="278"/>
      <c r="AH447" s="278"/>
      <c r="AI447" s="278"/>
      <c r="AJ447" s="278"/>
      <c r="AK447" s="278"/>
      <c r="AL447" s="279"/>
      <c r="AM447" s="33"/>
      <c r="AN447" s="33"/>
    </row>
    <row r="448" spans="1:40" ht="15" customHeight="1" x14ac:dyDescent="0.3">
      <c r="B448" s="235"/>
      <c r="C448" s="281"/>
      <c r="D448" s="200"/>
      <c r="E448" s="383"/>
      <c r="F448" s="383"/>
      <c r="G448" s="273"/>
      <c r="H448" s="248"/>
      <c r="I448" s="317"/>
      <c r="J448" s="317"/>
      <c r="K448" s="317"/>
      <c r="L448" s="212"/>
      <c r="M448" s="212">
        <f t="shared" si="56"/>
        <v>0</v>
      </c>
      <c r="N448" s="212"/>
      <c r="O448" s="212"/>
      <c r="P448" s="212"/>
      <c r="Q448" s="212"/>
      <c r="R448" s="212"/>
      <c r="S448" s="384"/>
      <c r="T448" s="284"/>
      <c r="U448" s="280"/>
      <c r="V448" s="280"/>
      <c r="W448" s="280"/>
      <c r="X448" s="276"/>
      <c r="Y448" s="277"/>
      <c r="Z448" s="276"/>
      <c r="AA448" s="273"/>
      <c r="AB448" s="273"/>
      <c r="AC448" s="278"/>
      <c r="AD448" s="278"/>
      <c r="AE448" s="278"/>
      <c r="AF448" s="278"/>
      <c r="AG448" s="278"/>
      <c r="AH448" s="278"/>
      <c r="AI448" s="278"/>
      <c r="AJ448" s="278"/>
      <c r="AK448" s="278"/>
      <c r="AL448" s="279"/>
      <c r="AM448" s="33"/>
      <c r="AN448" s="33"/>
    </row>
    <row r="449" spans="1:40" ht="15" customHeight="1" x14ac:dyDescent="0.3">
      <c r="A449" s="185">
        <v>415</v>
      </c>
      <c r="B449" s="235" t="s">
        <v>1807</v>
      </c>
      <c r="C449" s="281" t="s">
        <v>1616</v>
      </c>
      <c r="D449" s="281" t="s">
        <v>1848</v>
      </c>
      <c r="E449" s="383"/>
      <c r="F449" s="383" t="s">
        <v>1601</v>
      </c>
      <c r="G449" s="370" t="s">
        <v>1596</v>
      </c>
      <c r="H449" s="248" t="s">
        <v>1533</v>
      </c>
      <c r="I449" s="317">
        <v>2</v>
      </c>
      <c r="J449" s="317">
        <v>9.5</v>
      </c>
      <c r="K449" s="317">
        <v>12</v>
      </c>
      <c r="L449" s="212">
        <v>1</v>
      </c>
      <c r="M449" s="212">
        <f t="shared" si="56"/>
        <v>24.5</v>
      </c>
      <c r="N449" s="212">
        <f t="shared" si="57"/>
        <v>16</v>
      </c>
      <c r="O449" s="212">
        <f t="shared" si="58"/>
        <v>38</v>
      </c>
      <c r="P449" s="212">
        <f t="shared" si="59"/>
        <v>80</v>
      </c>
      <c r="Q449" s="212">
        <f t="shared" si="60"/>
        <v>8</v>
      </c>
      <c r="R449" s="212">
        <f t="shared" si="61"/>
        <v>142</v>
      </c>
      <c r="S449" s="384" t="s">
        <v>1560</v>
      </c>
      <c r="T449" s="384" t="s">
        <v>1559</v>
      </c>
      <c r="U449" s="280">
        <v>240</v>
      </c>
      <c r="V449" s="280">
        <v>244</v>
      </c>
      <c r="W449" s="280">
        <v>244</v>
      </c>
      <c r="X449" s="276">
        <v>44434</v>
      </c>
      <c r="Y449" s="277">
        <v>44568</v>
      </c>
      <c r="Z449" s="276">
        <v>44568</v>
      </c>
      <c r="AA449" s="273">
        <f t="shared" si="62"/>
        <v>2022</v>
      </c>
      <c r="AB449" s="273">
        <f t="shared" si="63"/>
        <v>1</v>
      </c>
      <c r="AC449" s="278" t="s">
        <v>310</v>
      </c>
      <c r="AD449" s="278" t="s">
        <v>422</v>
      </c>
      <c r="AE449" s="278" t="s">
        <v>422</v>
      </c>
      <c r="AF449" s="278" t="s">
        <v>422</v>
      </c>
      <c r="AG449" s="278" t="s">
        <v>422</v>
      </c>
      <c r="AH449" s="278" t="s">
        <v>422</v>
      </c>
      <c r="AI449" s="278" t="s">
        <v>449</v>
      </c>
      <c r="AJ449" s="278" t="s">
        <v>449</v>
      </c>
      <c r="AK449" s="278" t="s">
        <v>449</v>
      </c>
      <c r="AL449" s="279" t="s">
        <v>1424</v>
      </c>
      <c r="AM449" s="241"/>
      <c r="AN449" s="242"/>
    </row>
    <row r="450" spans="1:40" ht="15" customHeight="1" x14ac:dyDescent="0.3">
      <c r="A450" s="185">
        <v>416</v>
      </c>
      <c r="B450" s="235" t="s">
        <v>1808</v>
      </c>
      <c r="C450" s="281" t="s">
        <v>1616</v>
      </c>
      <c r="D450" s="281" t="s">
        <v>1848</v>
      </c>
      <c r="E450" s="383"/>
      <c r="F450" s="383" t="s">
        <v>1597</v>
      </c>
      <c r="G450" s="370" t="s">
        <v>1596</v>
      </c>
      <c r="H450" s="248" t="s">
        <v>1533</v>
      </c>
      <c r="I450" s="317"/>
      <c r="J450" s="317">
        <v>9.5</v>
      </c>
      <c r="K450" s="317">
        <v>10</v>
      </c>
      <c r="L450" s="212">
        <v>1</v>
      </c>
      <c r="M450" s="212">
        <f t="shared" si="56"/>
        <v>20.5</v>
      </c>
      <c r="N450" s="212">
        <f t="shared" si="57"/>
        <v>0</v>
      </c>
      <c r="O450" s="212">
        <f t="shared" si="58"/>
        <v>38</v>
      </c>
      <c r="P450" s="212">
        <f t="shared" si="59"/>
        <v>66.666666666666671</v>
      </c>
      <c r="Q450" s="212">
        <f t="shared" si="60"/>
        <v>8</v>
      </c>
      <c r="R450" s="212">
        <f t="shared" si="61"/>
        <v>112.66666666666667</v>
      </c>
      <c r="S450" s="384" t="s">
        <v>1567</v>
      </c>
      <c r="T450" s="384" t="s">
        <v>1571</v>
      </c>
      <c r="U450" s="280">
        <v>226</v>
      </c>
      <c r="V450" s="280">
        <v>230</v>
      </c>
      <c r="W450" s="280">
        <v>230</v>
      </c>
      <c r="X450" s="276">
        <v>44434</v>
      </c>
      <c r="Y450" s="277">
        <v>44568</v>
      </c>
      <c r="Z450" s="276">
        <v>44568</v>
      </c>
      <c r="AA450" s="273">
        <f t="shared" si="62"/>
        <v>2022</v>
      </c>
      <c r="AB450" s="273">
        <f t="shared" si="63"/>
        <v>1</v>
      </c>
      <c r="AC450" s="278" t="s">
        <v>310</v>
      </c>
      <c r="AD450" s="278" t="s">
        <v>422</v>
      </c>
      <c r="AE450" s="278" t="s">
        <v>422</v>
      </c>
      <c r="AF450" s="278" t="s">
        <v>422</v>
      </c>
      <c r="AG450" s="278" t="s">
        <v>422</v>
      </c>
      <c r="AH450" s="278" t="s">
        <v>422</v>
      </c>
      <c r="AI450" s="278" t="s">
        <v>449</v>
      </c>
      <c r="AJ450" s="278" t="s">
        <v>449</v>
      </c>
      <c r="AK450" s="278" t="s">
        <v>449</v>
      </c>
      <c r="AL450" s="279" t="s">
        <v>1424</v>
      </c>
      <c r="AM450" s="241"/>
      <c r="AN450" s="242"/>
    </row>
    <row r="451" spans="1:40" ht="15" customHeight="1" x14ac:dyDescent="0.3">
      <c r="A451" s="185">
        <v>417</v>
      </c>
      <c r="B451" s="235" t="s">
        <v>1809</v>
      </c>
      <c r="C451" s="281" t="s">
        <v>1616</v>
      </c>
      <c r="D451" s="281" t="s">
        <v>1848</v>
      </c>
      <c r="E451" s="383"/>
      <c r="F451" s="383" t="s">
        <v>1601</v>
      </c>
      <c r="G451" s="370" t="s">
        <v>1596</v>
      </c>
      <c r="H451" s="248" t="s">
        <v>1948</v>
      </c>
      <c r="I451" s="317">
        <v>1.5</v>
      </c>
      <c r="J451" s="317">
        <v>9</v>
      </c>
      <c r="K451" s="317">
        <v>12</v>
      </c>
      <c r="L451" s="212">
        <v>1</v>
      </c>
      <c r="M451" s="212">
        <f t="shared" si="56"/>
        <v>23.5</v>
      </c>
      <c r="N451" s="212">
        <f t="shared" si="57"/>
        <v>12</v>
      </c>
      <c r="O451" s="212">
        <f t="shared" si="58"/>
        <v>36</v>
      </c>
      <c r="P451" s="212">
        <f t="shared" si="59"/>
        <v>80</v>
      </c>
      <c r="Q451" s="212">
        <f t="shared" si="60"/>
        <v>8</v>
      </c>
      <c r="R451" s="212">
        <f t="shared" si="61"/>
        <v>136</v>
      </c>
      <c r="S451" s="384" t="s">
        <v>1562</v>
      </c>
      <c r="T451" s="384" t="s">
        <v>1572</v>
      </c>
      <c r="U451" s="280">
        <v>114</v>
      </c>
      <c r="V451" s="280">
        <v>116</v>
      </c>
      <c r="W451" s="280">
        <v>116</v>
      </c>
      <c r="X451" s="276">
        <v>44434</v>
      </c>
      <c r="Y451" s="277">
        <v>44568</v>
      </c>
      <c r="Z451" s="276">
        <v>44568</v>
      </c>
      <c r="AA451" s="273">
        <f t="shared" si="62"/>
        <v>2022</v>
      </c>
      <c r="AB451" s="273">
        <f t="shared" si="63"/>
        <v>1</v>
      </c>
      <c r="AC451" s="278" t="s">
        <v>310</v>
      </c>
      <c r="AD451" s="278" t="s">
        <v>422</v>
      </c>
      <c r="AE451" s="278" t="s">
        <v>422</v>
      </c>
      <c r="AF451" s="278" t="s">
        <v>422</v>
      </c>
      <c r="AG451" s="278" t="s">
        <v>422</v>
      </c>
      <c r="AH451" s="278" t="s">
        <v>422</v>
      </c>
      <c r="AI451" s="278" t="s">
        <v>449</v>
      </c>
      <c r="AJ451" s="278" t="s">
        <v>449</v>
      </c>
      <c r="AK451" s="278" t="s">
        <v>449</v>
      </c>
      <c r="AL451" s="279" t="s">
        <v>772</v>
      </c>
      <c r="AM451" s="241"/>
      <c r="AN451" s="242"/>
    </row>
    <row r="452" spans="1:40" ht="15" customHeight="1" x14ac:dyDescent="0.3">
      <c r="A452" s="185">
        <v>418</v>
      </c>
      <c r="B452" s="235" t="s">
        <v>1810</v>
      </c>
      <c r="C452" s="281" t="s">
        <v>1616</v>
      </c>
      <c r="D452" s="281" t="s">
        <v>1848</v>
      </c>
      <c r="E452" s="383"/>
      <c r="F452" s="383" t="s">
        <v>1601</v>
      </c>
      <c r="G452" s="370" t="s">
        <v>1596</v>
      </c>
      <c r="H452" s="248" t="s">
        <v>1533</v>
      </c>
      <c r="I452" s="317">
        <v>2</v>
      </c>
      <c r="J452" s="317"/>
      <c r="K452" s="317">
        <v>12</v>
      </c>
      <c r="L452" s="212">
        <v>1</v>
      </c>
      <c r="M452" s="212">
        <f t="shared" si="56"/>
        <v>15</v>
      </c>
      <c r="N452" s="212">
        <f t="shared" si="57"/>
        <v>16</v>
      </c>
      <c r="O452" s="212">
        <f t="shared" si="58"/>
        <v>0</v>
      </c>
      <c r="P452" s="212">
        <f t="shared" si="59"/>
        <v>80</v>
      </c>
      <c r="Q452" s="212">
        <f t="shared" si="60"/>
        <v>8</v>
      </c>
      <c r="R452" s="212">
        <f t="shared" si="61"/>
        <v>104</v>
      </c>
      <c r="S452" s="384" t="s">
        <v>1569</v>
      </c>
      <c r="T452" s="384" t="s">
        <v>1575</v>
      </c>
      <c r="U452" s="280">
        <v>244</v>
      </c>
      <c r="V452" s="280">
        <v>248</v>
      </c>
      <c r="W452" s="280">
        <v>248</v>
      </c>
      <c r="X452" s="276">
        <v>44434</v>
      </c>
      <c r="Y452" s="277">
        <v>44568</v>
      </c>
      <c r="Z452" s="276">
        <v>44568</v>
      </c>
      <c r="AA452" s="273">
        <f t="shared" si="62"/>
        <v>2022</v>
      </c>
      <c r="AB452" s="273">
        <f t="shared" si="63"/>
        <v>1</v>
      </c>
      <c r="AC452" s="278" t="s">
        <v>310</v>
      </c>
      <c r="AD452" s="278" t="s">
        <v>422</v>
      </c>
      <c r="AE452" s="278" t="s">
        <v>422</v>
      </c>
      <c r="AF452" s="278" t="s">
        <v>422</v>
      </c>
      <c r="AG452" s="278" t="s">
        <v>422</v>
      </c>
      <c r="AH452" s="278" t="s">
        <v>422</v>
      </c>
      <c r="AI452" s="278" t="s">
        <v>449</v>
      </c>
      <c r="AJ452" s="278" t="s">
        <v>449</v>
      </c>
      <c r="AK452" s="278" t="s">
        <v>449</v>
      </c>
      <c r="AL452" s="279" t="s">
        <v>1424</v>
      </c>
      <c r="AM452" s="241"/>
      <c r="AN452" s="242"/>
    </row>
    <row r="453" spans="1:40" ht="15" customHeight="1" x14ac:dyDescent="0.3">
      <c r="A453" s="185">
        <v>419</v>
      </c>
      <c r="B453" s="235" t="s">
        <v>1811</v>
      </c>
      <c r="C453" s="281" t="s">
        <v>1616</v>
      </c>
      <c r="D453" s="281" t="s">
        <v>1848</v>
      </c>
      <c r="E453" s="383"/>
      <c r="F453" s="383" t="s">
        <v>1597</v>
      </c>
      <c r="G453" s="370" t="s">
        <v>1953</v>
      </c>
      <c r="H453" s="248" t="s">
        <v>1533</v>
      </c>
      <c r="I453" s="383"/>
      <c r="J453" s="383">
        <v>8.8000000000000007</v>
      </c>
      <c r="K453" s="383"/>
      <c r="L453" s="212">
        <v>1</v>
      </c>
      <c r="M453" s="212">
        <f t="shared" si="56"/>
        <v>9.8000000000000007</v>
      </c>
      <c r="N453" s="212">
        <f t="shared" si="57"/>
        <v>0</v>
      </c>
      <c r="O453" s="212">
        <f t="shared" si="58"/>
        <v>35.200000000000003</v>
      </c>
      <c r="P453" s="212">
        <f t="shared" si="59"/>
        <v>0</v>
      </c>
      <c r="Q453" s="212">
        <f t="shared" si="60"/>
        <v>8</v>
      </c>
      <c r="R453" s="212">
        <f t="shared" si="61"/>
        <v>43.2</v>
      </c>
      <c r="S453" s="384" t="s">
        <v>1568</v>
      </c>
      <c r="T453" s="384" t="s">
        <v>1574</v>
      </c>
      <c r="U453" s="280">
        <v>94</v>
      </c>
      <c r="V453" s="280">
        <v>96</v>
      </c>
      <c r="W453" s="280">
        <v>96</v>
      </c>
      <c r="X453" s="276">
        <v>44434</v>
      </c>
      <c r="Y453" s="277">
        <v>44568</v>
      </c>
      <c r="Z453" s="276">
        <v>44568</v>
      </c>
      <c r="AA453" s="273">
        <f t="shared" si="62"/>
        <v>2022</v>
      </c>
      <c r="AB453" s="273">
        <f t="shared" si="63"/>
        <v>1</v>
      </c>
      <c r="AC453" s="278" t="s">
        <v>310</v>
      </c>
      <c r="AD453" s="278" t="s">
        <v>422</v>
      </c>
      <c r="AE453" s="278" t="s">
        <v>422</v>
      </c>
      <c r="AF453" s="278" t="s">
        <v>422</v>
      </c>
      <c r="AG453" s="278" t="s">
        <v>422</v>
      </c>
      <c r="AH453" s="278" t="s">
        <v>422</v>
      </c>
      <c r="AI453" s="278" t="s">
        <v>422</v>
      </c>
      <c r="AJ453" s="278" t="s">
        <v>422</v>
      </c>
      <c r="AK453" s="278" t="s">
        <v>423</v>
      </c>
      <c r="AL453" s="279" t="s">
        <v>1424</v>
      </c>
      <c r="AM453" s="241"/>
      <c r="AN453" s="242"/>
    </row>
    <row r="454" spans="1:40" ht="15" customHeight="1" x14ac:dyDescent="0.3">
      <c r="A454" s="185">
        <v>420</v>
      </c>
      <c r="B454" s="235" t="s">
        <v>1812</v>
      </c>
      <c r="C454" s="281" t="s">
        <v>1616</v>
      </c>
      <c r="D454" s="281" t="s">
        <v>1848</v>
      </c>
      <c r="E454" s="383"/>
      <c r="F454" s="383" t="s">
        <v>1601</v>
      </c>
      <c r="G454" s="370" t="s">
        <v>1596</v>
      </c>
      <c r="H454" s="248" t="s">
        <v>1948</v>
      </c>
      <c r="I454" s="317">
        <v>1</v>
      </c>
      <c r="J454" s="317">
        <v>6</v>
      </c>
      <c r="K454" s="317">
        <v>13</v>
      </c>
      <c r="L454" s="212">
        <v>1</v>
      </c>
      <c r="M454" s="212">
        <f t="shared" si="56"/>
        <v>21</v>
      </c>
      <c r="N454" s="212">
        <f t="shared" si="57"/>
        <v>8</v>
      </c>
      <c r="O454" s="212">
        <f t="shared" si="58"/>
        <v>24</v>
      </c>
      <c r="P454" s="212">
        <f t="shared" si="59"/>
        <v>86.666666666666671</v>
      </c>
      <c r="Q454" s="212">
        <f t="shared" si="60"/>
        <v>8</v>
      </c>
      <c r="R454" s="212">
        <f t="shared" si="61"/>
        <v>126.66666666666667</v>
      </c>
      <c r="S454" s="384" t="s">
        <v>1563</v>
      </c>
      <c r="T454" s="384" t="s">
        <v>1573</v>
      </c>
      <c r="U454" s="280">
        <v>62</v>
      </c>
      <c r="V454" s="280">
        <v>63</v>
      </c>
      <c r="W454" s="280">
        <v>63</v>
      </c>
      <c r="X454" s="276">
        <v>44434</v>
      </c>
      <c r="Y454" s="277">
        <v>44568</v>
      </c>
      <c r="Z454" s="276">
        <v>44568</v>
      </c>
      <c r="AA454" s="273">
        <f t="shared" si="62"/>
        <v>2022</v>
      </c>
      <c r="AB454" s="273">
        <f t="shared" si="63"/>
        <v>1</v>
      </c>
      <c r="AC454" s="278" t="s">
        <v>310</v>
      </c>
      <c r="AD454" s="278" t="s">
        <v>422</v>
      </c>
      <c r="AE454" s="278" t="s">
        <v>423</v>
      </c>
      <c r="AF454" s="278" t="s">
        <v>422</v>
      </c>
      <c r="AG454" s="278" t="s">
        <v>422</v>
      </c>
      <c r="AH454" s="278" t="s">
        <v>423</v>
      </c>
      <c r="AI454" s="278" t="s">
        <v>422</v>
      </c>
      <c r="AJ454" s="278" t="s">
        <v>449</v>
      </c>
      <c r="AK454" s="278" t="s">
        <v>449</v>
      </c>
      <c r="AL454" s="279" t="s">
        <v>772</v>
      </c>
      <c r="AM454" s="241"/>
      <c r="AN454" s="242"/>
    </row>
    <row r="455" spans="1:40" ht="15" customHeight="1" x14ac:dyDescent="0.3">
      <c r="A455" s="185">
        <v>421</v>
      </c>
      <c r="B455" s="235" t="s">
        <v>1813</v>
      </c>
      <c r="C455" s="281" t="s">
        <v>1616</v>
      </c>
      <c r="D455" s="281" t="s">
        <v>1848</v>
      </c>
      <c r="E455" s="383"/>
      <c r="F455" s="383" t="s">
        <v>1601</v>
      </c>
      <c r="G455" s="370" t="s">
        <v>1596</v>
      </c>
      <c r="H455" s="248" t="s">
        <v>1949</v>
      </c>
      <c r="I455" s="317">
        <v>1</v>
      </c>
      <c r="J455" s="317"/>
      <c r="K455" s="317">
        <v>7</v>
      </c>
      <c r="L455" s="212">
        <v>1</v>
      </c>
      <c r="M455" s="212">
        <f t="shared" ref="M455:M464" si="64">SUM((I455:L455))</f>
        <v>9</v>
      </c>
      <c r="N455" s="212">
        <f t="shared" si="57"/>
        <v>8</v>
      </c>
      <c r="O455" s="212">
        <f t="shared" si="58"/>
        <v>0</v>
      </c>
      <c r="P455" s="212">
        <f t="shared" si="59"/>
        <v>46.666666666666671</v>
      </c>
      <c r="Q455" s="212">
        <f t="shared" si="60"/>
        <v>8</v>
      </c>
      <c r="R455" s="212">
        <f t="shared" ref="R455:R464" si="65">SUM(N455:Q455)</f>
        <v>62.666666666666671</v>
      </c>
      <c r="S455" s="384" t="s">
        <v>1564</v>
      </c>
      <c r="T455" s="384" t="s">
        <v>1576</v>
      </c>
      <c r="U455" s="280">
        <v>58</v>
      </c>
      <c r="V455" s="280">
        <v>59</v>
      </c>
      <c r="W455" s="280">
        <v>59</v>
      </c>
      <c r="X455" s="276">
        <v>44434</v>
      </c>
      <c r="Y455" s="277">
        <v>44568</v>
      </c>
      <c r="Z455" s="276">
        <v>44568</v>
      </c>
      <c r="AA455" s="273">
        <f t="shared" ref="AA455:AA465" si="66">IF(YEAR(Z455)&gt;2000,YEAR(Z455),YEAR(Y455))</f>
        <v>2022</v>
      </c>
      <c r="AB455" s="273">
        <f t="shared" si="63"/>
        <v>1</v>
      </c>
      <c r="AC455" s="278" t="s">
        <v>310</v>
      </c>
      <c r="AD455" s="278" t="s">
        <v>422</v>
      </c>
      <c r="AE455" s="278" t="s">
        <v>423</v>
      </c>
      <c r="AF455" s="278" t="s">
        <v>422</v>
      </c>
      <c r="AG455" s="278" t="s">
        <v>422</v>
      </c>
      <c r="AH455" s="278" t="s">
        <v>423</v>
      </c>
      <c r="AI455" s="278" t="s">
        <v>422</v>
      </c>
      <c r="AJ455" s="278" t="s">
        <v>449</v>
      </c>
      <c r="AK455" s="278" t="s">
        <v>449</v>
      </c>
      <c r="AL455" s="279" t="s">
        <v>1921</v>
      </c>
      <c r="AM455" s="188"/>
      <c r="AN455" s="348"/>
    </row>
    <row r="456" spans="1:40" ht="15" customHeight="1" x14ac:dyDescent="0.3">
      <c r="A456" s="185">
        <v>422</v>
      </c>
      <c r="B456" s="235" t="s">
        <v>1814</v>
      </c>
      <c r="C456" s="281" t="s">
        <v>1616</v>
      </c>
      <c r="D456" s="281" t="s">
        <v>1848</v>
      </c>
      <c r="E456" s="383"/>
      <c r="F456" s="383" t="s">
        <v>1601</v>
      </c>
      <c r="G456" s="370" t="s">
        <v>1596</v>
      </c>
      <c r="H456" s="248" t="s">
        <v>1949</v>
      </c>
      <c r="I456" s="248">
        <v>1</v>
      </c>
      <c r="J456" s="248"/>
      <c r="K456" s="248">
        <v>6</v>
      </c>
      <c r="L456" s="212">
        <v>1</v>
      </c>
      <c r="M456" s="212">
        <f t="shared" si="64"/>
        <v>8</v>
      </c>
      <c r="N456" s="212">
        <f t="shared" si="57"/>
        <v>8</v>
      </c>
      <c r="O456" s="212">
        <f t="shared" si="58"/>
        <v>0</v>
      </c>
      <c r="P456" s="212">
        <f t="shared" si="59"/>
        <v>40</v>
      </c>
      <c r="Q456" s="212">
        <f t="shared" si="60"/>
        <v>8</v>
      </c>
      <c r="R456" s="212">
        <f t="shared" si="65"/>
        <v>56</v>
      </c>
      <c r="S456" s="373" t="s">
        <v>1565</v>
      </c>
      <c r="T456" s="373" t="s">
        <v>1816</v>
      </c>
      <c r="U456" s="280">
        <v>74</v>
      </c>
      <c r="V456" s="280">
        <v>76</v>
      </c>
      <c r="W456" s="280">
        <v>76</v>
      </c>
      <c r="X456" s="276">
        <v>44434</v>
      </c>
      <c r="Y456" s="277">
        <v>44568</v>
      </c>
      <c r="Z456" s="276">
        <v>44568</v>
      </c>
      <c r="AA456" s="273">
        <f t="shared" si="66"/>
        <v>2022</v>
      </c>
      <c r="AB456" s="273">
        <f t="shared" si="63"/>
        <v>1</v>
      </c>
      <c r="AC456" s="278" t="s">
        <v>310</v>
      </c>
      <c r="AD456" s="278" t="s">
        <v>422</v>
      </c>
      <c r="AE456" s="278" t="s">
        <v>423</v>
      </c>
      <c r="AF456" s="278" t="s">
        <v>422</v>
      </c>
      <c r="AG456" s="278" t="s">
        <v>422</v>
      </c>
      <c r="AH456" s="278" t="s">
        <v>423</v>
      </c>
      <c r="AI456" s="278" t="s">
        <v>422</v>
      </c>
      <c r="AJ456" s="278" t="s">
        <v>449</v>
      </c>
      <c r="AK456" s="278" t="s">
        <v>449</v>
      </c>
      <c r="AL456" s="279" t="s">
        <v>1921</v>
      </c>
      <c r="AM456" s="188"/>
      <c r="AN456" s="348"/>
    </row>
    <row r="457" spans="1:40" ht="15" customHeight="1" x14ac:dyDescent="0.3">
      <c r="A457" s="185">
        <v>423</v>
      </c>
      <c r="B457" s="235" t="s">
        <v>1815</v>
      </c>
      <c r="C457" s="281" t="s">
        <v>1616</v>
      </c>
      <c r="D457" s="281" t="s">
        <v>1848</v>
      </c>
      <c r="E457" s="383"/>
      <c r="F457" s="383" t="s">
        <v>1892</v>
      </c>
      <c r="G457" s="370" t="s">
        <v>1596</v>
      </c>
      <c r="H457" s="248" t="s">
        <v>1533</v>
      </c>
      <c r="I457" s="317"/>
      <c r="J457" s="317">
        <v>2.5</v>
      </c>
      <c r="K457" s="317">
        <v>3</v>
      </c>
      <c r="L457" s="212">
        <v>1</v>
      </c>
      <c r="M457" s="212">
        <f t="shared" si="64"/>
        <v>6.5</v>
      </c>
      <c r="N457" s="212">
        <f t="shared" si="57"/>
        <v>0</v>
      </c>
      <c r="O457" s="212">
        <f t="shared" si="58"/>
        <v>10</v>
      </c>
      <c r="P457" s="212">
        <f t="shared" si="59"/>
        <v>20</v>
      </c>
      <c r="Q457" s="212">
        <f t="shared" si="60"/>
        <v>8</v>
      </c>
      <c r="R457" s="212">
        <f t="shared" si="65"/>
        <v>38</v>
      </c>
      <c r="S457" s="384" t="s">
        <v>1566</v>
      </c>
      <c r="T457" s="384" t="s">
        <v>1577</v>
      </c>
      <c r="U457" s="280">
        <v>38</v>
      </c>
      <c r="V457" s="280">
        <v>39</v>
      </c>
      <c r="W457" s="280">
        <v>39</v>
      </c>
      <c r="X457" s="276">
        <v>44434</v>
      </c>
      <c r="Y457" s="277">
        <v>44568</v>
      </c>
      <c r="Z457" s="276">
        <v>44568</v>
      </c>
      <c r="AA457" s="273">
        <f t="shared" si="66"/>
        <v>2022</v>
      </c>
      <c r="AB457" s="273">
        <f t="shared" si="63"/>
        <v>1</v>
      </c>
      <c r="AC457" s="278" t="s">
        <v>310</v>
      </c>
      <c r="AD457" s="278" t="s">
        <v>422</v>
      </c>
      <c r="AE457" s="278" t="s">
        <v>423</v>
      </c>
      <c r="AF457" s="278" t="s">
        <v>422</v>
      </c>
      <c r="AG457" s="278" t="s">
        <v>422</v>
      </c>
      <c r="AH457" s="278" t="s">
        <v>423</v>
      </c>
      <c r="AI457" s="278" t="s">
        <v>422</v>
      </c>
      <c r="AJ457" s="278" t="s">
        <v>423</v>
      </c>
      <c r="AK457" s="278" t="s">
        <v>423</v>
      </c>
      <c r="AL457" s="279" t="s">
        <v>1912</v>
      </c>
      <c r="AM457" s="188"/>
      <c r="AN457" s="348"/>
    </row>
    <row r="458" spans="1:40" ht="15" customHeight="1" x14ac:dyDescent="0.3">
      <c r="A458" s="185">
        <v>431</v>
      </c>
      <c r="B458" s="235" t="s">
        <v>1853</v>
      </c>
      <c r="C458" s="281" t="s">
        <v>1830</v>
      </c>
      <c r="D458" s="200" t="s">
        <v>1881</v>
      </c>
      <c r="E458" s="383"/>
      <c r="F458" s="383"/>
      <c r="G458" s="370" t="s">
        <v>1953</v>
      </c>
      <c r="H458" s="248"/>
      <c r="I458" s="317"/>
      <c r="J458" s="317"/>
      <c r="K458" s="317">
        <v>1.5</v>
      </c>
      <c r="L458" s="212">
        <v>1</v>
      </c>
      <c r="M458" s="212">
        <f t="shared" si="64"/>
        <v>2.5</v>
      </c>
      <c r="N458" s="212">
        <f t="shared" si="57"/>
        <v>0</v>
      </c>
      <c r="O458" s="212">
        <f t="shared" si="58"/>
        <v>0</v>
      </c>
      <c r="P458" s="212">
        <f t="shared" si="59"/>
        <v>10</v>
      </c>
      <c r="Q458" s="212">
        <f t="shared" si="60"/>
        <v>8</v>
      </c>
      <c r="R458" s="212">
        <f t="shared" si="65"/>
        <v>18</v>
      </c>
      <c r="S458" s="384" t="s">
        <v>1864</v>
      </c>
      <c r="T458" s="284" t="s">
        <v>1874</v>
      </c>
      <c r="U458" s="280">
        <v>88</v>
      </c>
      <c r="V458" s="280">
        <v>0</v>
      </c>
      <c r="W458" s="280">
        <v>0</v>
      </c>
      <c r="X458" s="276">
        <v>44477</v>
      </c>
      <c r="Y458" s="277">
        <v>44576</v>
      </c>
      <c r="Z458" s="277">
        <v>44576</v>
      </c>
      <c r="AA458" s="273">
        <f t="shared" si="66"/>
        <v>2022</v>
      </c>
      <c r="AB458" s="273">
        <f t="shared" si="63"/>
        <v>1</v>
      </c>
      <c r="AC458" s="278" t="s">
        <v>1927</v>
      </c>
      <c r="AD458" s="278" t="s">
        <v>449</v>
      </c>
      <c r="AE458" s="278" t="s">
        <v>422</v>
      </c>
      <c r="AF458" s="278" t="s">
        <v>449</v>
      </c>
      <c r="AG458" s="278" t="s">
        <v>449</v>
      </c>
      <c r="AH458" s="278" t="s">
        <v>449</v>
      </c>
      <c r="AI458" s="278" t="s">
        <v>449</v>
      </c>
      <c r="AJ458" s="278" t="s">
        <v>449</v>
      </c>
      <c r="AK458" s="278" t="s">
        <v>423</v>
      </c>
      <c r="AL458" s="279"/>
      <c r="AM458" s="241"/>
      <c r="AN458" s="242"/>
    </row>
    <row r="459" spans="1:40" ht="15" customHeight="1" x14ac:dyDescent="0.3">
      <c r="A459" s="185">
        <v>433</v>
      </c>
      <c r="B459" s="235" t="s">
        <v>1855</v>
      </c>
      <c r="C459" s="281" t="s">
        <v>1830</v>
      </c>
      <c r="D459" s="200" t="s">
        <v>1881</v>
      </c>
      <c r="E459" s="383"/>
      <c r="F459" s="383"/>
      <c r="G459" s="370" t="s">
        <v>1953</v>
      </c>
      <c r="H459" s="248"/>
      <c r="I459" s="317"/>
      <c r="J459" s="317"/>
      <c r="K459" s="317">
        <v>1.5</v>
      </c>
      <c r="L459" s="212">
        <v>1</v>
      </c>
      <c r="M459" s="212">
        <f t="shared" si="64"/>
        <v>2.5</v>
      </c>
      <c r="N459" s="212">
        <f t="shared" si="57"/>
        <v>0</v>
      </c>
      <c r="O459" s="212">
        <f t="shared" si="58"/>
        <v>0</v>
      </c>
      <c r="P459" s="212">
        <f t="shared" si="59"/>
        <v>10</v>
      </c>
      <c r="Q459" s="212">
        <f t="shared" si="60"/>
        <v>8</v>
      </c>
      <c r="R459" s="212">
        <f t="shared" si="65"/>
        <v>18</v>
      </c>
      <c r="S459" s="384" t="s">
        <v>1866</v>
      </c>
      <c r="T459" s="284" t="s">
        <v>1875</v>
      </c>
      <c r="U459" s="280">
        <v>84</v>
      </c>
      <c r="V459" s="280">
        <v>0</v>
      </c>
      <c r="W459" s="280">
        <v>0</v>
      </c>
      <c r="X459" s="276">
        <v>44477</v>
      </c>
      <c r="Y459" s="277">
        <v>44576</v>
      </c>
      <c r="Z459" s="277">
        <v>44576</v>
      </c>
      <c r="AA459" s="273">
        <f t="shared" si="66"/>
        <v>2022</v>
      </c>
      <c r="AB459" s="273">
        <f t="shared" si="63"/>
        <v>1</v>
      </c>
      <c r="AC459" s="278" t="s">
        <v>1927</v>
      </c>
      <c r="AD459" s="278" t="s">
        <v>449</v>
      </c>
      <c r="AE459" s="278" t="s">
        <v>422</v>
      </c>
      <c r="AF459" s="278" t="s">
        <v>449</v>
      </c>
      <c r="AG459" s="278" t="s">
        <v>449</v>
      </c>
      <c r="AH459" s="278" t="s">
        <v>449</v>
      </c>
      <c r="AI459" s="278" t="s">
        <v>449</v>
      </c>
      <c r="AJ459" s="278" t="s">
        <v>449</v>
      </c>
      <c r="AK459" s="278" t="s">
        <v>423</v>
      </c>
      <c r="AL459" s="279"/>
      <c r="AM459" s="241"/>
      <c r="AN459" s="242"/>
    </row>
    <row r="460" spans="1:40" ht="15" customHeight="1" x14ac:dyDescent="0.3">
      <c r="A460" s="185">
        <v>434</v>
      </c>
      <c r="B460" s="235" t="s">
        <v>1856</v>
      </c>
      <c r="C460" s="281" t="s">
        <v>1830</v>
      </c>
      <c r="D460" s="200" t="s">
        <v>1881</v>
      </c>
      <c r="E460" s="383"/>
      <c r="F460" s="383"/>
      <c r="G460" s="370" t="s">
        <v>1953</v>
      </c>
      <c r="H460" s="248"/>
      <c r="I460" s="317"/>
      <c r="J460" s="317"/>
      <c r="K460" s="317">
        <v>1.5</v>
      </c>
      <c r="L460" s="212">
        <v>1</v>
      </c>
      <c r="M460" s="212">
        <f t="shared" si="64"/>
        <v>2.5</v>
      </c>
      <c r="N460" s="212">
        <f t="shared" si="57"/>
        <v>0</v>
      </c>
      <c r="O460" s="212">
        <f t="shared" si="58"/>
        <v>0</v>
      </c>
      <c r="P460" s="212">
        <f t="shared" si="59"/>
        <v>10</v>
      </c>
      <c r="Q460" s="212">
        <f t="shared" si="60"/>
        <v>8</v>
      </c>
      <c r="R460" s="212">
        <f t="shared" si="65"/>
        <v>18</v>
      </c>
      <c r="S460" s="384" t="s">
        <v>1867</v>
      </c>
      <c r="T460" s="284" t="s">
        <v>1876</v>
      </c>
      <c r="U460" s="280">
        <v>374</v>
      </c>
      <c r="V460" s="280">
        <v>0</v>
      </c>
      <c r="W460" s="280">
        <v>0</v>
      </c>
      <c r="X460" s="276">
        <v>44477</v>
      </c>
      <c r="Y460" s="277">
        <v>44576</v>
      </c>
      <c r="Z460" s="277">
        <v>44576</v>
      </c>
      <c r="AA460" s="273">
        <f t="shared" si="66"/>
        <v>2022</v>
      </c>
      <c r="AB460" s="273">
        <f t="shared" si="63"/>
        <v>1</v>
      </c>
      <c r="AC460" s="278" t="s">
        <v>1927</v>
      </c>
      <c r="AD460" s="278" t="s">
        <v>449</v>
      </c>
      <c r="AE460" s="278" t="s">
        <v>422</v>
      </c>
      <c r="AF460" s="278" t="s">
        <v>449</v>
      </c>
      <c r="AG460" s="278" t="s">
        <v>449</v>
      </c>
      <c r="AH460" s="278" t="s">
        <v>449</v>
      </c>
      <c r="AI460" s="278" t="s">
        <v>449</v>
      </c>
      <c r="AJ460" s="278" t="s">
        <v>449</v>
      </c>
      <c r="AK460" s="278" t="s">
        <v>423</v>
      </c>
      <c r="AL460" s="279"/>
      <c r="AM460" s="241"/>
      <c r="AN460" s="242"/>
    </row>
    <row r="461" spans="1:40" ht="15" customHeight="1" x14ac:dyDescent="0.3">
      <c r="A461" s="185">
        <v>438</v>
      </c>
      <c r="B461" s="235" t="s">
        <v>1860</v>
      </c>
      <c r="C461" s="281" t="s">
        <v>1830</v>
      </c>
      <c r="D461" s="200" t="s">
        <v>1881</v>
      </c>
      <c r="E461" s="383"/>
      <c r="F461" s="383"/>
      <c r="G461" s="370" t="s">
        <v>1953</v>
      </c>
      <c r="H461" s="248"/>
      <c r="I461" s="317"/>
      <c r="J461" s="317"/>
      <c r="K461" s="317">
        <v>1.5</v>
      </c>
      <c r="L461" s="212">
        <v>1</v>
      </c>
      <c r="M461" s="212">
        <f t="shared" si="64"/>
        <v>2.5</v>
      </c>
      <c r="N461" s="212">
        <f t="shared" si="57"/>
        <v>0</v>
      </c>
      <c r="O461" s="212">
        <f t="shared" ref="O461:O465" si="67">+J461/0.25</f>
        <v>0</v>
      </c>
      <c r="P461" s="212">
        <f t="shared" ref="P461:P465" si="68">+K461/0.15</f>
        <v>10</v>
      </c>
      <c r="Q461" s="212">
        <f t="shared" ref="Q461:Q465" si="69">+L461/0.125</f>
        <v>8</v>
      </c>
      <c r="R461" s="212">
        <f t="shared" si="65"/>
        <v>18</v>
      </c>
      <c r="S461" s="384" t="s">
        <v>1871</v>
      </c>
      <c r="T461" s="284" t="s">
        <v>1879</v>
      </c>
      <c r="U461" s="280">
        <v>174</v>
      </c>
      <c r="V461" s="280">
        <v>0</v>
      </c>
      <c r="W461" s="280">
        <v>0</v>
      </c>
      <c r="X461" s="276">
        <v>44477</v>
      </c>
      <c r="Y461" s="277">
        <v>44576</v>
      </c>
      <c r="Z461" s="277">
        <v>44576</v>
      </c>
      <c r="AA461" s="273">
        <f t="shared" si="66"/>
        <v>2022</v>
      </c>
      <c r="AB461" s="273">
        <f t="shared" si="63"/>
        <v>1</v>
      </c>
      <c r="AC461" s="278" t="s">
        <v>1927</v>
      </c>
      <c r="AD461" s="278" t="s">
        <v>449</v>
      </c>
      <c r="AE461" s="278" t="s">
        <v>422</v>
      </c>
      <c r="AF461" s="278" t="s">
        <v>449</v>
      </c>
      <c r="AG461" s="278" t="s">
        <v>449</v>
      </c>
      <c r="AH461" s="278" t="s">
        <v>449</v>
      </c>
      <c r="AI461" s="278" t="s">
        <v>449</v>
      </c>
      <c r="AJ461" s="278" t="s">
        <v>449</v>
      </c>
      <c r="AK461" s="278" t="s">
        <v>423</v>
      </c>
      <c r="AL461" s="279"/>
      <c r="AM461" s="188"/>
      <c r="AN461" s="348"/>
    </row>
    <row r="462" spans="1:40" ht="15" customHeight="1" x14ac:dyDescent="0.3">
      <c r="A462" s="185">
        <v>439</v>
      </c>
      <c r="B462" s="235" t="s">
        <v>1861</v>
      </c>
      <c r="C462" s="281" t="s">
        <v>1830</v>
      </c>
      <c r="D462" s="200" t="s">
        <v>1881</v>
      </c>
      <c r="E462" s="383"/>
      <c r="F462" s="383"/>
      <c r="G462" s="370" t="s">
        <v>1953</v>
      </c>
      <c r="H462" s="248"/>
      <c r="I462" s="317"/>
      <c r="J462" s="317"/>
      <c r="K462" s="317">
        <v>1.5</v>
      </c>
      <c r="L462" s="212">
        <v>1</v>
      </c>
      <c r="M462" s="212">
        <f t="shared" si="64"/>
        <v>2.5</v>
      </c>
      <c r="N462" s="212">
        <f t="shared" si="57"/>
        <v>0</v>
      </c>
      <c r="O462" s="212">
        <f t="shared" si="67"/>
        <v>0</v>
      </c>
      <c r="P462" s="212">
        <f t="shared" si="68"/>
        <v>10</v>
      </c>
      <c r="Q462" s="212">
        <f t="shared" si="69"/>
        <v>8</v>
      </c>
      <c r="R462" s="212">
        <f t="shared" si="65"/>
        <v>18</v>
      </c>
      <c r="S462" s="384" t="s">
        <v>1872</v>
      </c>
      <c r="T462" s="284" t="s">
        <v>1879</v>
      </c>
      <c r="U462" s="280">
        <v>174</v>
      </c>
      <c r="V462" s="280">
        <v>0</v>
      </c>
      <c r="W462" s="280">
        <v>0</v>
      </c>
      <c r="X462" s="276">
        <v>44477</v>
      </c>
      <c r="Y462" s="277">
        <v>44576</v>
      </c>
      <c r="Z462" s="277">
        <v>44576</v>
      </c>
      <c r="AA462" s="273">
        <f t="shared" si="66"/>
        <v>2022</v>
      </c>
      <c r="AB462" s="273">
        <f t="shared" si="63"/>
        <v>1</v>
      </c>
      <c r="AC462" s="278" t="s">
        <v>1927</v>
      </c>
      <c r="AD462" s="278" t="s">
        <v>449</v>
      </c>
      <c r="AE462" s="278" t="s">
        <v>422</v>
      </c>
      <c r="AF462" s="278" t="s">
        <v>449</v>
      </c>
      <c r="AG462" s="278" t="s">
        <v>449</v>
      </c>
      <c r="AH462" s="278" t="s">
        <v>449</v>
      </c>
      <c r="AI462" s="278" t="s">
        <v>449</v>
      </c>
      <c r="AJ462" s="278" t="s">
        <v>449</v>
      </c>
      <c r="AK462" s="278" t="s">
        <v>423</v>
      </c>
      <c r="AL462" s="395"/>
      <c r="AM462" s="188"/>
      <c r="AN462" s="348"/>
    </row>
    <row r="463" spans="1:40" ht="15" customHeight="1" x14ac:dyDescent="0.3">
      <c r="A463" s="185">
        <v>440</v>
      </c>
      <c r="B463" s="235" t="s">
        <v>1862</v>
      </c>
      <c r="C463" s="281" t="s">
        <v>1830</v>
      </c>
      <c r="D463" s="200" t="s">
        <v>1881</v>
      </c>
      <c r="E463" s="383"/>
      <c r="F463" s="383"/>
      <c r="G463" s="370" t="s">
        <v>1953</v>
      </c>
      <c r="H463" s="248"/>
      <c r="I463" s="317"/>
      <c r="J463" s="317"/>
      <c r="K463" s="317">
        <v>1.5</v>
      </c>
      <c r="L463" s="212">
        <v>1</v>
      </c>
      <c r="M463" s="212">
        <f t="shared" si="64"/>
        <v>2.5</v>
      </c>
      <c r="N463" s="212">
        <f t="shared" si="57"/>
        <v>0</v>
      </c>
      <c r="O463" s="212">
        <f t="shared" si="67"/>
        <v>0</v>
      </c>
      <c r="P463" s="212">
        <f t="shared" si="68"/>
        <v>10</v>
      </c>
      <c r="Q463" s="212">
        <f t="shared" si="69"/>
        <v>8</v>
      </c>
      <c r="R463" s="212">
        <f t="shared" si="65"/>
        <v>18</v>
      </c>
      <c r="S463" s="384" t="s">
        <v>1873</v>
      </c>
      <c r="T463" s="284" t="s">
        <v>1880</v>
      </c>
      <c r="U463" s="280">
        <v>119.99999999999997</v>
      </c>
      <c r="V463" s="280">
        <v>0</v>
      </c>
      <c r="W463" s="280">
        <v>0</v>
      </c>
      <c r="X463" s="276">
        <v>44477</v>
      </c>
      <c r="Y463" s="277">
        <v>44576</v>
      </c>
      <c r="Z463" s="277">
        <v>44576</v>
      </c>
      <c r="AA463" s="273">
        <f t="shared" si="66"/>
        <v>2022</v>
      </c>
      <c r="AB463" s="273">
        <f t="shared" si="63"/>
        <v>1</v>
      </c>
      <c r="AC463" s="278" t="s">
        <v>1927</v>
      </c>
      <c r="AD463" s="278" t="s">
        <v>449</v>
      </c>
      <c r="AE463" s="278" t="s">
        <v>422</v>
      </c>
      <c r="AF463" s="278" t="s">
        <v>449</v>
      </c>
      <c r="AG463" s="278" t="s">
        <v>449</v>
      </c>
      <c r="AH463" s="278" t="s">
        <v>449</v>
      </c>
      <c r="AI463" s="278" t="s">
        <v>449</v>
      </c>
      <c r="AJ463" s="278" t="s">
        <v>449</v>
      </c>
      <c r="AK463" s="278" t="s">
        <v>423</v>
      </c>
      <c r="AL463" s="279"/>
      <c r="AM463" s="33"/>
      <c r="AN463" s="33"/>
    </row>
    <row r="464" spans="1:40" ht="15" customHeight="1" x14ac:dyDescent="0.3">
      <c r="A464" s="185">
        <v>447</v>
      </c>
      <c r="B464" s="235" t="s">
        <v>1916</v>
      </c>
      <c r="C464" s="281" t="s">
        <v>1917</v>
      </c>
      <c r="D464" s="200" t="s">
        <v>1918</v>
      </c>
      <c r="E464" s="383"/>
      <c r="F464" s="383"/>
      <c r="G464" s="273" t="s">
        <v>1604</v>
      </c>
      <c r="H464" s="248"/>
      <c r="I464" s="317"/>
      <c r="J464" s="317"/>
      <c r="K464" s="317">
        <v>0</v>
      </c>
      <c r="L464" s="212">
        <v>1</v>
      </c>
      <c r="M464" s="212">
        <f t="shared" si="64"/>
        <v>1</v>
      </c>
      <c r="N464" s="212">
        <f t="shared" si="57"/>
        <v>0</v>
      </c>
      <c r="O464" s="212">
        <f t="shared" si="67"/>
        <v>0</v>
      </c>
      <c r="P464" s="212">
        <f t="shared" si="68"/>
        <v>0</v>
      </c>
      <c r="Q464" s="212">
        <f t="shared" si="69"/>
        <v>8</v>
      </c>
      <c r="R464" s="212">
        <f t="shared" si="65"/>
        <v>8</v>
      </c>
      <c r="S464" s="384" t="s">
        <v>1925</v>
      </c>
      <c r="T464" s="284" t="s">
        <v>1919</v>
      </c>
      <c r="U464" s="280">
        <v>900</v>
      </c>
      <c r="V464" s="280"/>
      <c r="W464" s="280"/>
      <c r="X464" s="276">
        <v>44502</v>
      </c>
      <c r="Y464" s="277">
        <v>44594</v>
      </c>
      <c r="Z464" s="277">
        <v>44594</v>
      </c>
      <c r="AA464" s="273">
        <f t="shared" si="66"/>
        <v>2022</v>
      </c>
      <c r="AB464" s="273">
        <f t="shared" si="63"/>
        <v>2</v>
      </c>
      <c r="AC464" s="278" t="s">
        <v>1927</v>
      </c>
      <c r="AD464" s="278" t="s">
        <v>449</v>
      </c>
      <c r="AE464" s="278" t="s">
        <v>423</v>
      </c>
      <c r="AF464" s="278" t="s">
        <v>449</v>
      </c>
      <c r="AG464" s="278" t="s">
        <v>449</v>
      </c>
      <c r="AH464" s="278" t="s">
        <v>423</v>
      </c>
      <c r="AI464" s="278" t="s">
        <v>423</v>
      </c>
      <c r="AJ464" s="278" t="s">
        <v>423</v>
      </c>
      <c r="AK464" s="278" t="s">
        <v>423</v>
      </c>
      <c r="AL464" s="33"/>
      <c r="AM464" s="33"/>
      <c r="AN464" s="33"/>
    </row>
    <row r="465" spans="1:40" ht="15" customHeight="1" x14ac:dyDescent="0.3">
      <c r="A465" s="185">
        <v>448</v>
      </c>
      <c r="B465" s="235" t="s">
        <v>1915</v>
      </c>
      <c r="C465" s="281" t="s">
        <v>1917</v>
      </c>
      <c r="D465" s="200" t="s">
        <v>1918</v>
      </c>
      <c r="E465" s="269"/>
      <c r="F465" s="269"/>
      <c r="G465" s="196" t="s">
        <v>1953</v>
      </c>
      <c r="H465" s="248"/>
      <c r="I465" s="317"/>
      <c r="J465" s="317"/>
      <c r="K465" s="317">
        <v>10</v>
      </c>
      <c r="L465" s="212">
        <v>1</v>
      </c>
      <c r="M465" s="212">
        <f t="shared" ref="M465" si="70">SUM((I465:L465))</f>
        <v>11</v>
      </c>
      <c r="N465" s="212">
        <f t="shared" ref="N465" si="71">+I465/0.125</f>
        <v>0</v>
      </c>
      <c r="O465" s="212">
        <f t="shared" si="67"/>
        <v>0</v>
      </c>
      <c r="P465" s="212">
        <f t="shared" si="68"/>
        <v>66.666666666666671</v>
      </c>
      <c r="Q465" s="212">
        <f t="shared" si="69"/>
        <v>8</v>
      </c>
      <c r="R465" s="212">
        <f t="shared" ref="R465" si="72">SUM(N465:Q465)</f>
        <v>74.666666666666671</v>
      </c>
      <c r="S465" s="270" t="s">
        <v>1926</v>
      </c>
      <c r="T465" s="284" t="s">
        <v>1920</v>
      </c>
      <c r="U465" s="272">
        <v>600</v>
      </c>
      <c r="V465" s="272"/>
      <c r="W465" s="272"/>
      <c r="X465" s="276">
        <v>44502</v>
      </c>
      <c r="Y465" s="277">
        <v>44594</v>
      </c>
      <c r="Z465" s="277">
        <v>44594</v>
      </c>
      <c r="AA465" s="311">
        <f t="shared" si="66"/>
        <v>2022</v>
      </c>
      <c r="AB465" s="311">
        <f t="shared" ref="AB465" si="73">MONTH(Z465)</f>
        <v>2</v>
      </c>
      <c r="AC465" s="243" t="s">
        <v>1927</v>
      </c>
      <c r="AD465" s="243" t="s">
        <v>449</v>
      </c>
      <c r="AE465" s="243" t="s">
        <v>423</v>
      </c>
      <c r="AF465" s="243" t="s">
        <v>449</v>
      </c>
      <c r="AG465" s="243" t="s">
        <v>449</v>
      </c>
      <c r="AH465" s="243" t="s">
        <v>423</v>
      </c>
      <c r="AI465" s="243" t="s">
        <v>449</v>
      </c>
      <c r="AJ465" s="243" t="s">
        <v>423</v>
      </c>
      <c r="AK465" s="243" t="s">
        <v>423</v>
      </c>
      <c r="AL465" s="244"/>
      <c r="AM465" s="241"/>
      <c r="AN465" s="242"/>
    </row>
    <row r="466" spans="1:40" ht="15" customHeight="1" x14ac:dyDescent="0.3">
      <c r="B466" s="235"/>
      <c r="C466" s="281"/>
      <c r="D466" s="281"/>
      <c r="E466" s="269"/>
      <c r="F466" s="269"/>
      <c r="G466" s="196"/>
      <c r="H466" s="248"/>
      <c r="I466" s="248"/>
      <c r="J466" s="248"/>
      <c r="K466" s="248"/>
      <c r="L466" s="248"/>
      <c r="M466" s="248"/>
      <c r="N466" s="248"/>
      <c r="O466" s="248"/>
      <c r="P466" s="248"/>
      <c r="Q466" s="248"/>
      <c r="R466" s="248"/>
      <c r="S466" s="286"/>
      <c r="T466" s="275"/>
      <c r="U466" s="272"/>
      <c r="V466" s="272"/>
      <c r="W466" s="272"/>
      <c r="X466" s="276"/>
      <c r="Y466" s="277"/>
      <c r="Z466" s="245"/>
      <c r="AA466" s="271"/>
      <c r="AB466" s="271"/>
      <c r="AC466" s="243"/>
      <c r="AD466" s="243"/>
      <c r="AE466" s="243"/>
      <c r="AF466" s="243"/>
      <c r="AG466" s="243"/>
      <c r="AH466" s="243"/>
      <c r="AI466" s="243"/>
      <c r="AJ466" s="243"/>
      <c r="AK466" s="243"/>
      <c r="AL466" s="244"/>
      <c r="AM466" s="241"/>
      <c r="AN466" s="242"/>
    </row>
    <row r="467" spans="1:40" ht="15" customHeight="1" x14ac:dyDescent="0.3">
      <c r="B467" s="235"/>
      <c r="C467" s="281"/>
      <c r="D467" s="281"/>
      <c r="E467" s="269"/>
      <c r="F467" s="269"/>
      <c r="G467" s="196"/>
      <c r="H467" s="248"/>
      <c r="I467" s="248"/>
      <c r="J467" s="248"/>
      <c r="K467" s="248"/>
      <c r="L467" s="248"/>
      <c r="M467" s="248"/>
      <c r="N467" s="248"/>
      <c r="O467" s="248"/>
      <c r="P467" s="248"/>
      <c r="Q467" s="248"/>
      <c r="R467" s="248"/>
      <c r="S467" s="286"/>
      <c r="T467" s="275"/>
      <c r="U467" s="272"/>
      <c r="V467" s="272"/>
      <c r="W467" s="272"/>
      <c r="X467" s="276"/>
      <c r="Y467" s="277"/>
      <c r="Z467" s="245"/>
      <c r="AA467" s="271"/>
      <c r="AB467" s="271"/>
      <c r="AC467" s="243"/>
      <c r="AD467" s="243"/>
      <c r="AE467" s="243"/>
      <c r="AF467" s="243"/>
      <c r="AG467" s="243"/>
      <c r="AH467" s="243"/>
      <c r="AI467" s="243"/>
      <c r="AJ467" s="243"/>
      <c r="AK467" s="243"/>
      <c r="AL467" s="244"/>
      <c r="AM467" s="241"/>
      <c r="AN467" s="242"/>
    </row>
    <row r="468" spans="1:40" ht="15" customHeight="1" x14ac:dyDescent="0.3">
      <c r="B468" s="235"/>
      <c r="C468" s="281"/>
      <c r="D468" s="281"/>
      <c r="E468" s="269"/>
      <c r="F468" s="269"/>
      <c r="G468" s="196"/>
      <c r="H468" s="248"/>
      <c r="I468" s="248"/>
      <c r="J468" s="248"/>
      <c r="K468" s="248"/>
      <c r="L468" s="248"/>
      <c r="M468" s="248"/>
      <c r="N468" s="248"/>
      <c r="O468" s="248"/>
      <c r="P468" s="248"/>
      <c r="Q468" s="248"/>
      <c r="R468" s="248"/>
      <c r="S468" s="286"/>
      <c r="T468" s="275"/>
      <c r="U468" s="272"/>
      <c r="V468" s="272"/>
      <c r="W468" s="272"/>
      <c r="X468" s="276"/>
      <c r="Y468" s="277"/>
      <c r="Z468" s="245"/>
      <c r="AA468" s="271"/>
      <c r="AB468" s="271"/>
      <c r="AC468" s="243"/>
      <c r="AD468" s="243"/>
      <c r="AE468" s="243"/>
      <c r="AF468" s="243"/>
      <c r="AG468" s="243"/>
      <c r="AH468" s="243"/>
      <c r="AI468" s="243"/>
      <c r="AJ468" s="243"/>
      <c r="AK468" s="243"/>
      <c r="AL468" s="244"/>
      <c r="AM468" s="241"/>
      <c r="AN468" s="242"/>
    </row>
    <row r="469" spans="1:40" ht="15" customHeight="1" x14ac:dyDescent="0.3">
      <c r="B469" s="235"/>
      <c r="C469" s="281"/>
      <c r="D469" s="281"/>
      <c r="E469" s="269"/>
      <c r="F469" s="269"/>
      <c r="G469" s="196"/>
      <c r="H469" s="248"/>
      <c r="I469" s="248"/>
      <c r="J469" s="248"/>
      <c r="K469" s="248"/>
      <c r="L469" s="248"/>
      <c r="M469" s="248"/>
      <c r="N469" s="248"/>
      <c r="O469" s="248"/>
      <c r="P469" s="248"/>
      <c r="Q469" s="248"/>
      <c r="R469" s="248"/>
      <c r="S469" s="286"/>
      <c r="T469" s="275"/>
      <c r="U469" s="272"/>
      <c r="V469" s="272"/>
      <c r="W469" s="272"/>
      <c r="X469" s="276"/>
      <c r="Y469" s="277"/>
      <c r="Z469" s="245"/>
      <c r="AA469" s="271"/>
      <c r="AB469" s="271"/>
      <c r="AC469" s="243"/>
      <c r="AD469" s="243"/>
      <c r="AE469" s="243"/>
      <c r="AF469" s="243"/>
      <c r="AG469" s="243"/>
      <c r="AH469" s="243"/>
      <c r="AI469" s="243"/>
      <c r="AJ469" s="243"/>
      <c r="AK469" s="243"/>
      <c r="AL469" s="244"/>
      <c r="AM469" s="241"/>
      <c r="AN469" s="242"/>
    </row>
    <row r="470" spans="1:40" ht="15" customHeight="1" x14ac:dyDescent="0.3">
      <c r="B470" s="235"/>
      <c r="C470" s="281"/>
      <c r="D470" s="281"/>
      <c r="E470" s="269"/>
      <c r="F470" s="269"/>
      <c r="G470" s="269"/>
      <c r="H470" s="269"/>
      <c r="I470" s="269"/>
      <c r="J470" s="269"/>
      <c r="K470" s="269"/>
      <c r="L470" s="269"/>
      <c r="M470" s="269"/>
      <c r="N470" s="269"/>
      <c r="O470" s="269"/>
      <c r="P470" s="269"/>
      <c r="Q470" s="269"/>
      <c r="R470" s="269"/>
      <c r="S470" s="286"/>
      <c r="T470" s="275"/>
      <c r="U470" s="272"/>
      <c r="V470" s="272"/>
      <c r="W470" s="272"/>
      <c r="X470" s="276"/>
      <c r="Y470" s="277"/>
      <c r="Z470" s="245"/>
      <c r="AA470" s="271"/>
      <c r="AB470" s="271"/>
      <c r="AC470" s="243"/>
      <c r="AD470" s="243"/>
      <c r="AE470" s="243"/>
      <c r="AF470" s="243"/>
      <c r="AG470" s="243"/>
      <c r="AH470" s="243"/>
      <c r="AI470" s="243"/>
      <c r="AJ470" s="243"/>
      <c r="AK470" s="243"/>
      <c r="AL470" s="244"/>
      <c r="AM470" s="241"/>
      <c r="AN470" s="242"/>
    </row>
    <row r="471" spans="1:40" ht="15" customHeight="1" x14ac:dyDescent="0.3">
      <c r="B471" s="235"/>
      <c r="C471" s="281"/>
      <c r="D471" s="281"/>
      <c r="E471" s="269"/>
      <c r="F471" s="269"/>
      <c r="G471" s="196"/>
      <c r="H471" s="248"/>
      <c r="I471" s="248"/>
      <c r="J471" s="248"/>
      <c r="K471" s="248"/>
      <c r="L471" s="248"/>
      <c r="M471" s="248"/>
      <c r="N471" s="248"/>
      <c r="O471" s="248"/>
      <c r="P471" s="248"/>
      <c r="Q471" s="248"/>
      <c r="R471" s="248"/>
      <c r="S471" s="286"/>
      <c r="T471" s="275"/>
      <c r="U471" s="272"/>
      <c r="V471" s="272"/>
      <c r="W471" s="272"/>
      <c r="X471" s="276"/>
      <c r="Y471" s="277"/>
      <c r="Z471" s="245"/>
      <c r="AA471" s="271"/>
      <c r="AB471" s="271"/>
      <c r="AC471" s="243"/>
      <c r="AD471" s="243"/>
      <c r="AE471" s="243"/>
      <c r="AF471" s="243"/>
      <c r="AG471" s="243"/>
      <c r="AH471" s="243"/>
      <c r="AI471" s="243"/>
      <c r="AJ471" s="243"/>
      <c r="AK471" s="243"/>
      <c r="AL471" s="244"/>
      <c r="AM471" s="241"/>
      <c r="AN471" s="242"/>
    </row>
    <row r="472" spans="1:40" ht="15" customHeight="1" x14ac:dyDescent="0.3">
      <c r="B472" s="235"/>
      <c r="C472" s="281"/>
      <c r="D472" s="281"/>
      <c r="E472" s="269"/>
      <c r="F472" s="269"/>
      <c r="G472" s="196"/>
      <c r="H472" s="248"/>
      <c r="I472" s="248"/>
      <c r="J472" s="248"/>
      <c r="K472" s="248"/>
      <c r="L472" s="248"/>
      <c r="M472" s="248"/>
      <c r="N472" s="248"/>
      <c r="O472" s="248"/>
      <c r="P472" s="248"/>
      <c r="Q472" s="248"/>
      <c r="R472" s="248"/>
      <c r="S472" s="286"/>
      <c r="T472" s="275"/>
      <c r="U472" s="272"/>
      <c r="V472" s="272"/>
      <c r="W472" s="272"/>
      <c r="X472" s="276"/>
      <c r="Y472" s="277"/>
      <c r="Z472" s="245"/>
      <c r="AA472" s="271"/>
      <c r="AB472" s="271"/>
      <c r="AC472" s="243"/>
      <c r="AD472" s="243"/>
      <c r="AE472" s="243"/>
      <c r="AF472" s="243"/>
      <c r="AG472" s="243"/>
      <c r="AH472" s="243"/>
      <c r="AI472" s="243"/>
      <c r="AJ472" s="243"/>
      <c r="AK472" s="243"/>
      <c r="AL472" s="244"/>
      <c r="AM472" s="241"/>
      <c r="AN472" s="242"/>
    </row>
    <row r="473" spans="1:40" ht="15" customHeight="1" x14ac:dyDescent="0.3">
      <c r="B473" s="235"/>
      <c r="C473" s="281"/>
      <c r="D473" s="281"/>
      <c r="E473" s="269"/>
      <c r="F473" s="269"/>
      <c r="G473" s="196"/>
      <c r="H473" s="248"/>
      <c r="I473" s="248"/>
      <c r="J473" s="248"/>
      <c r="K473" s="248"/>
      <c r="L473" s="248"/>
      <c r="M473" s="248"/>
      <c r="N473" s="248"/>
      <c r="O473" s="248"/>
      <c r="P473" s="248"/>
      <c r="Q473" s="248"/>
      <c r="R473" s="248"/>
      <c r="S473" s="286"/>
      <c r="T473" s="275"/>
      <c r="U473" s="272"/>
      <c r="V473" s="272"/>
      <c r="W473" s="272"/>
      <c r="X473" s="276"/>
      <c r="Y473" s="277"/>
      <c r="Z473" s="245"/>
      <c r="AA473" s="271"/>
      <c r="AB473" s="271"/>
      <c r="AC473" s="243"/>
      <c r="AD473" s="243"/>
      <c r="AE473" s="243"/>
      <c r="AF473" s="243"/>
      <c r="AG473" s="243"/>
      <c r="AH473" s="243"/>
      <c r="AI473" s="243"/>
      <c r="AJ473" s="243"/>
      <c r="AK473" s="243"/>
      <c r="AL473" s="244"/>
      <c r="AM473" s="241"/>
      <c r="AN473" s="242"/>
    </row>
    <row r="474" spans="1:40" ht="15" customHeight="1" x14ac:dyDescent="0.3">
      <c r="B474" s="235"/>
      <c r="C474" s="281"/>
      <c r="D474" s="281"/>
      <c r="E474" s="269"/>
      <c r="F474" s="269"/>
      <c r="G474" s="196"/>
      <c r="H474" s="248"/>
      <c r="I474" s="248"/>
      <c r="J474" s="248"/>
      <c r="K474" s="248"/>
      <c r="L474" s="248"/>
      <c r="M474" s="248"/>
      <c r="N474" s="248"/>
      <c r="O474" s="248"/>
      <c r="P474" s="248"/>
      <c r="Q474" s="248"/>
      <c r="R474" s="248"/>
      <c r="S474" s="286"/>
      <c r="T474" s="275"/>
      <c r="U474" s="272"/>
      <c r="V474" s="272"/>
      <c r="W474" s="272"/>
      <c r="X474" s="276"/>
      <c r="Y474" s="277"/>
      <c r="Z474" s="245"/>
      <c r="AA474" s="271"/>
      <c r="AB474" s="271"/>
      <c r="AC474" s="243"/>
      <c r="AD474" s="243"/>
      <c r="AE474" s="243"/>
      <c r="AF474" s="243"/>
      <c r="AG474" s="243"/>
      <c r="AH474" s="243"/>
      <c r="AI474" s="243"/>
      <c r="AJ474" s="243"/>
      <c r="AK474" s="243"/>
      <c r="AL474" s="244"/>
      <c r="AM474" s="241"/>
      <c r="AN474" s="242"/>
    </row>
    <row r="475" spans="1:40" ht="15" customHeight="1" x14ac:dyDescent="0.3">
      <c r="B475" s="235"/>
      <c r="C475" s="281"/>
      <c r="D475" s="281"/>
      <c r="E475" s="269"/>
      <c r="F475" s="269"/>
      <c r="G475" s="269"/>
      <c r="H475" s="269"/>
      <c r="I475" s="269"/>
      <c r="J475" s="269"/>
      <c r="K475" s="269"/>
      <c r="L475" s="269"/>
      <c r="M475" s="269"/>
      <c r="N475" s="269"/>
      <c r="O475" s="269"/>
      <c r="P475" s="269"/>
      <c r="Q475" s="269"/>
      <c r="R475" s="269"/>
      <c r="S475" s="286"/>
      <c r="T475" s="275"/>
      <c r="U475" s="272"/>
      <c r="V475" s="272"/>
      <c r="W475" s="272"/>
      <c r="X475" s="276"/>
      <c r="Y475" s="277"/>
      <c r="Z475" s="245"/>
      <c r="AA475" s="271"/>
      <c r="AB475" s="271"/>
      <c r="AC475" s="243"/>
      <c r="AD475" s="243"/>
      <c r="AE475" s="243"/>
      <c r="AF475" s="243"/>
      <c r="AG475" s="243"/>
      <c r="AH475" s="243"/>
      <c r="AI475" s="243"/>
      <c r="AJ475" s="243"/>
      <c r="AK475" s="243"/>
      <c r="AL475" s="244"/>
      <c r="AM475" s="241"/>
      <c r="AN475" s="242"/>
    </row>
    <row r="476" spans="1:40" ht="15" customHeight="1" x14ac:dyDescent="0.3">
      <c r="B476" s="235"/>
      <c r="C476" s="281"/>
      <c r="D476" s="281"/>
      <c r="E476" s="269"/>
      <c r="F476" s="269"/>
      <c r="G476" s="196"/>
      <c r="H476" s="248"/>
      <c r="I476" s="248"/>
      <c r="J476" s="248"/>
      <c r="K476" s="248"/>
      <c r="L476" s="248"/>
      <c r="M476" s="248"/>
      <c r="N476" s="248"/>
      <c r="O476" s="248"/>
      <c r="P476" s="248"/>
      <c r="Q476" s="248"/>
      <c r="R476" s="248"/>
      <c r="S476" s="286"/>
      <c r="T476" s="275"/>
      <c r="U476" s="272"/>
      <c r="V476" s="272"/>
      <c r="W476" s="272"/>
      <c r="X476" s="276"/>
      <c r="Y476" s="277"/>
      <c r="Z476" s="245"/>
      <c r="AA476" s="271"/>
      <c r="AB476" s="271"/>
      <c r="AC476" s="243"/>
      <c r="AD476" s="243"/>
      <c r="AE476" s="243"/>
      <c r="AF476" s="243"/>
      <c r="AG476" s="243"/>
      <c r="AH476" s="243"/>
      <c r="AI476" s="243"/>
      <c r="AJ476" s="243"/>
      <c r="AK476" s="243"/>
      <c r="AL476" s="244"/>
      <c r="AM476" s="241"/>
      <c r="AN476" s="242"/>
    </row>
    <row r="477" spans="1:40" ht="15" customHeight="1" x14ac:dyDescent="0.3">
      <c r="B477" s="235"/>
      <c r="C477" s="281"/>
      <c r="D477" s="281"/>
      <c r="E477" s="269"/>
      <c r="F477" s="269"/>
      <c r="G477" s="196"/>
      <c r="H477" s="248"/>
      <c r="I477" s="248"/>
      <c r="J477" s="248"/>
      <c r="K477" s="248"/>
      <c r="L477" s="248"/>
      <c r="M477" s="248"/>
      <c r="N477" s="248"/>
      <c r="O477" s="248"/>
      <c r="P477" s="248"/>
      <c r="Q477" s="248"/>
      <c r="R477" s="248"/>
      <c r="S477" s="286"/>
      <c r="T477" s="275"/>
      <c r="U477" s="272"/>
      <c r="V477" s="272"/>
      <c r="W477" s="272"/>
      <c r="X477" s="276"/>
      <c r="Y477" s="277"/>
      <c r="Z477" s="245"/>
      <c r="AA477" s="271"/>
      <c r="AB477" s="271"/>
      <c r="AC477" s="243"/>
      <c r="AD477" s="243"/>
      <c r="AE477" s="243"/>
      <c r="AF477" s="243"/>
      <c r="AG477" s="243"/>
      <c r="AH477" s="243"/>
      <c r="AI477" s="243"/>
      <c r="AJ477" s="243"/>
      <c r="AK477" s="243"/>
      <c r="AL477" s="244"/>
      <c r="AM477" s="241"/>
      <c r="AN477" s="242"/>
    </row>
    <row r="478" spans="1:40" ht="15" customHeight="1" x14ac:dyDescent="0.3">
      <c r="B478" s="235"/>
      <c r="C478" s="281"/>
      <c r="D478" s="281"/>
      <c r="E478" s="269"/>
      <c r="F478" s="269"/>
      <c r="G478" s="196"/>
      <c r="H478" s="248"/>
      <c r="I478" s="248"/>
      <c r="J478" s="248"/>
      <c r="K478" s="248"/>
      <c r="L478" s="248"/>
      <c r="M478" s="248"/>
      <c r="N478" s="248"/>
      <c r="O478" s="248"/>
      <c r="P478" s="248"/>
      <c r="Q478" s="248"/>
      <c r="R478" s="248"/>
      <c r="S478" s="286"/>
      <c r="T478" s="275"/>
      <c r="U478" s="272"/>
      <c r="V478" s="272"/>
      <c r="W478" s="272"/>
      <c r="X478" s="276"/>
      <c r="Y478" s="277"/>
      <c r="Z478" s="245"/>
      <c r="AA478" s="271"/>
      <c r="AB478" s="271"/>
      <c r="AC478" s="243"/>
      <c r="AD478" s="243"/>
      <c r="AE478" s="243"/>
      <c r="AF478" s="243"/>
      <c r="AG478" s="243"/>
      <c r="AH478" s="243"/>
      <c r="AI478" s="243"/>
      <c r="AJ478" s="243"/>
      <c r="AK478" s="243"/>
      <c r="AL478" s="244"/>
      <c r="AM478" s="241"/>
      <c r="AN478" s="242"/>
    </row>
    <row r="479" spans="1:40" ht="15" customHeight="1" x14ac:dyDescent="0.3">
      <c r="B479" s="235"/>
      <c r="C479" s="281"/>
      <c r="D479" s="281"/>
      <c r="E479" s="269"/>
      <c r="F479" s="269"/>
      <c r="G479" s="196"/>
      <c r="H479" s="248"/>
      <c r="I479" s="248"/>
      <c r="J479" s="248"/>
      <c r="K479" s="248"/>
      <c r="L479" s="248"/>
      <c r="M479" s="248"/>
      <c r="N479" s="248"/>
      <c r="O479" s="248"/>
      <c r="P479" s="248"/>
      <c r="Q479" s="248"/>
      <c r="R479" s="248"/>
      <c r="S479" s="286"/>
      <c r="T479" s="275"/>
      <c r="U479" s="272"/>
      <c r="V479" s="272"/>
      <c r="W479" s="272"/>
      <c r="X479" s="276"/>
      <c r="Y479" s="277"/>
      <c r="Z479" s="245"/>
      <c r="AA479" s="271"/>
      <c r="AB479" s="271"/>
      <c r="AC479" s="243"/>
      <c r="AD479" s="243"/>
      <c r="AE479" s="243"/>
      <c r="AF479" s="243"/>
      <c r="AG479" s="243"/>
      <c r="AH479" s="243"/>
      <c r="AI479" s="243"/>
      <c r="AJ479" s="243"/>
      <c r="AK479" s="243"/>
      <c r="AL479" s="244"/>
      <c r="AM479" s="241"/>
      <c r="AN479" s="242"/>
    </row>
    <row r="480" spans="1:40" ht="15" customHeight="1" x14ac:dyDescent="0.3">
      <c r="B480" s="235"/>
      <c r="C480" s="281"/>
      <c r="D480" s="281"/>
      <c r="E480" s="269"/>
      <c r="F480" s="269"/>
      <c r="G480" s="269"/>
      <c r="H480" s="269"/>
      <c r="I480" s="269"/>
      <c r="J480" s="269"/>
      <c r="K480" s="269"/>
      <c r="L480" s="269"/>
      <c r="M480" s="269"/>
      <c r="N480" s="269"/>
      <c r="O480" s="269"/>
      <c r="P480" s="269"/>
      <c r="Q480" s="269"/>
      <c r="R480" s="269"/>
      <c r="S480" s="286"/>
      <c r="T480" s="275"/>
      <c r="U480" s="272"/>
      <c r="V480" s="272"/>
      <c r="W480" s="272"/>
      <c r="X480" s="276"/>
      <c r="Y480" s="277"/>
      <c r="Z480" s="245"/>
      <c r="AA480" s="271"/>
      <c r="AB480" s="271"/>
      <c r="AC480" s="243"/>
      <c r="AD480" s="243"/>
      <c r="AE480" s="243"/>
      <c r="AF480" s="243"/>
      <c r="AG480" s="243"/>
      <c r="AH480" s="243"/>
      <c r="AI480" s="243"/>
      <c r="AJ480" s="243"/>
      <c r="AK480" s="243"/>
      <c r="AL480" s="244"/>
      <c r="AM480" s="241"/>
      <c r="AN480" s="242"/>
    </row>
    <row r="481" spans="2:40" ht="15" customHeight="1" x14ac:dyDescent="0.3">
      <c r="B481" s="235"/>
      <c r="C481" s="281"/>
      <c r="D481" s="281"/>
      <c r="E481" s="269"/>
      <c r="F481" s="269"/>
      <c r="G481" s="196"/>
      <c r="H481" s="248"/>
      <c r="I481" s="248"/>
      <c r="J481" s="248"/>
      <c r="K481" s="248"/>
      <c r="L481" s="248"/>
      <c r="M481" s="248"/>
      <c r="N481" s="248"/>
      <c r="O481" s="248"/>
      <c r="P481" s="248"/>
      <c r="Q481" s="248"/>
      <c r="R481" s="248"/>
      <c r="S481" s="286"/>
      <c r="T481" s="275"/>
      <c r="U481" s="272"/>
      <c r="V481" s="272"/>
      <c r="W481" s="272"/>
      <c r="X481" s="276"/>
      <c r="Y481" s="277"/>
      <c r="Z481" s="245"/>
      <c r="AA481" s="271"/>
      <c r="AB481" s="271"/>
      <c r="AC481" s="243"/>
      <c r="AD481" s="243"/>
      <c r="AE481" s="243"/>
      <c r="AF481" s="243"/>
      <c r="AG481" s="243"/>
      <c r="AH481" s="243"/>
      <c r="AI481" s="243"/>
      <c r="AJ481" s="243"/>
      <c r="AK481" s="243"/>
      <c r="AL481" s="244"/>
      <c r="AM481" s="241"/>
      <c r="AN481" s="242"/>
    </row>
    <row r="482" spans="2:40" ht="15" customHeight="1" x14ac:dyDescent="0.3">
      <c r="B482" s="235"/>
      <c r="C482" s="281"/>
      <c r="D482" s="281"/>
      <c r="E482" s="269"/>
      <c r="F482" s="269"/>
      <c r="G482" s="196"/>
      <c r="H482" s="248"/>
      <c r="I482" s="248"/>
      <c r="J482" s="248"/>
      <c r="K482" s="248"/>
      <c r="L482" s="248"/>
      <c r="M482" s="248"/>
      <c r="N482" s="248"/>
      <c r="O482" s="248"/>
      <c r="P482" s="248"/>
      <c r="Q482" s="248"/>
      <c r="R482" s="248"/>
      <c r="S482" s="286"/>
      <c r="T482" s="275"/>
      <c r="U482" s="272"/>
      <c r="V482" s="272"/>
      <c r="W482" s="272"/>
      <c r="X482" s="276"/>
      <c r="Y482" s="277"/>
      <c r="Z482" s="245"/>
      <c r="AA482" s="271"/>
      <c r="AB482" s="271"/>
      <c r="AC482" s="243"/>
      <c r="AD482" s="243"/>
      <c r="AE482" s="243"/>
      <c r="AF482" s="243"/>
      <c r="AG482" s="243"/>
      <c r="AH482" s="243"/>
      <c r="AI482" s="243"/>
      <c r="AJ482" s="243"/>
      <c r="AK482" s="243"/>
      <c r="AL482" s="244"/>
      <c r="AM482" s="241"/>
      <c r="AN482" s="242"/>
    </row>
    <row r="483" spans="2:40" ht="15" customHeight="1" x14ac:dyDescent="0.3">
      <c r="B483" s="235"/>
      <c r="C483" s="281"/>
      <c r="D483" s="281"/>
      <c r="E483" s="269"/>
      <c r="F483" s="269"/>
      <c r="G483" s="196"/>
      <c r="H483" s="248"/>
      <c r="I483" s="248"/>
      <c r="J483" s="248"/>
      <c r="K483" s="248"/>
      <c r="L483" s="248"/>
      <c r="M483" s="248"/>
      <c r="N483" s="248"/>
      <c r="O483" s="248"/>
      <c r="P483" s="248"/>
      <c r="Q483" s="248"/>
      <c r="R483" s="248"/>
      <c r="S483" s="286"/>
      <c r="T483" s="275"/>
      <c r="U483" s="272"/>
      <c r="V483" s="272"/>
      <c r="W483" s="272"/>
      <c r="X483" s="276"/>
      <c r="Y483" s="277"/>
      <c r="Z483" s="245"/>
      <c r="AA483" s="271"/>
      <c r="AB483" s="271"/>
      <c r="AC483" s="243"/>
      <c r="AD483" s="243"/>
      <c r="AE483" s="243"/>
      <c r="AF483" s="243"/>
      <c r="AG483" s="243"/>
      <c r="AH483" s="243"/>
      <c r="AI483" s="243"/>
      <c r="AJ483" s="243"/>
      <c r="AK483" s="243"/>
      <c r="AL483" s="244"/>
      <c r="AM483" s="241"/>
      <c r="AN483" s="242"/>
    </row>
    <row r="484" spans="2:40" ht="15" customHeight="1" x14ac:dyDescent="0.3">
      <c r="B484" s="235"/>
      <c r="C484" s="281"/>
      <c r="D484" s="281"/>
      <c r="E484" s="269"/>
      <c r="F484" s="269"/>
      <c r="G484" s="196"/>
      <c r="H484" s="248"/>
      <c r="I484" s="248"/>
      <c r="J484" s="248"/>
      <c r="K484" s="248"/>
      <c r="L484" s="248"/>
      <c r="M484" s="248"/>
      <c r="N484" s="248"/>
      <c r="O484" s="248"/>
      <c r="P484" s="248"/>
      <c r="Q484" s="248"/>
      <c r="R484" s="248"/>
      <c r="S484" s="286"/>
      <c r="T484" s="275"/>
      <c r="U484" s="272"/>
      <c r="V484" s="272"/>
      <c r="W484" s="272"/>
      <c r="X484" s="276"/>
      <c r="Y484" s="277"/>
      <c r="Z484" s="245"/>
      <c r="AA484" s="271"/>
      <c r="AB484" s="271"/>
      <c r="AC484" s="243"/>
      <c r="AD484" s="243"/>
      <c r="AE484" s="243"/>
      <c r="AF484" s="243"/>
      <c r="AG484" s="243"/>
      <c r="AH484" s="243"/>
      <c r="AI484" s="243"/>
      <c r="AJ484" s="243"/>
      <c r="AK484" s="243"/>
      <c r="AL484" s="244"/>
      <c r="AM484" s="241"/>
      <c r="AN484" s="242"/>
    </row>
    <row r="485" spans="2:40" ht="15" customHeight="1" x14ac:dyDescent="0.3">
      <c r="B485" s="235"/>
      <c r="C485" s="281"/>
      <c r="D485" s="281"/>
      <c r="E485" s="269"/>
      <c r="F485" s="269"/>
      <c r="G485" s="269"/>
      <c r="H485" s="269"/>
      <c r="I485" s="269"/>
      <c r="J485" s="269"/>
      <c r="K485" s="269"/>
      <c r="L485" s="269"/>
      <c r="M485" s="269"/>
      <c r="N485" s="269"/>
      <c r="O485" s="269"/>
      <c r="P485" s="269"/>
      <c r="Q485" s="269"/>
      <c r="R485" s="269"/>
      <c r="S485" s="286"/>
      <c r="T485" s="275"/>
      <c r="U485" s="272"/>
      <c r="V485" s="272"/>
      <c r="W485" s="272"/>
      <c r="X485" s="276"/>
      <c r="Y485" s="277"/>
      <c r="Z485" s="245"/>
      <c r="AA485" s="271"/>
      <c r="AB485" s="271"/>
      <c r="AC485" s="243"/>
      <c r="AD485" s="243"/>
      <c r="AE485" s="243"/>
      <c r="AF485" s="243"/>
      <c r="AG485" s="243"/>
      <c r="AH485" s="243"/>
      <c r="AI485" s="243"/>
      <c r="AJ485" s="243"/>
      <c r="AK485" s="243"/>
      <c r="AL485" s="244"/>
      <c r="AM485" s="241"/>
      <c r="AN485" s="242"/>
    </row>
    <row r="486" spans="2:40" ht="15" customHeight="1" x14ac:dyDescent="0.3">
      <c r="B486" s="235"/>
      <c r="C486" s="281"/>
      <c r="D486" s="281"/>
      <c r="E486" s="269"/>
      <c r="F486" s="269"/>
      <c r="G486" s="269"/>
      <c r="H486" s="269"/>
      <c r="I486" s="269"/>
      <c r="J486" s="269"/>
      <c r="K486" s="269"/>
      <c r="L486" s="269"/>
      <c r="M486" s="269"/>
      <c r="N486" s="269"/>
      <c r="O486" s="269"/>
      <c r="P486" s="269"/>
      <c r="Q486" s="269"/>
      <c r="R486" s="269"/>
      <c r="S486" s="286"/>
      <c r="T486" s="275"/>
      <c r="U486" s="272"/>
      <c r="V486" s="272"/>
      <c r="W486" s="272"/>
      <c r="X486" s="276"/>
      <c r="Y486" s="277"/>
      <c r="Z486" s="245"/>
      <c r="AA486" s="271"/>
      <c r="AB486" s="271"/>
      <c r="AC486" s="243"/>
      <c r="AD486" s="243"/>
      <c r="AE486" s="243"/>
      <c r="AF486" s="243"/>
      <c r="AG486" s="243"/>
      <c r="AH486" s="243"/>
      <c r="AI486" s="243"/>
      <c r="AJ486" s="243"/>
      <c r="AK486" s="243"/>
      <c r="AL486" s="244"/>
      <c r="AM486" s="241"/>
      <c r="AN486" s="242"/>
    </row>
    <row r="487" spans="2:40" ht="15" customHeight="1" x14ac:dyDescent="0.3">
      <c r="B487" s="281"/>
      <c r="C487" s="247"/>
      <c r="D487" s="247"/>
      <c r="E487" s="273"/>
      <c r="F487" s="273"/>
      <c r="G487" s="273"/>
      <c r="H487" s="273"/>
      <c r="I487" s="273"/>
      <c r="J487" s="273"/>
      <c r="K487" s="273"/>
      <c r="L487" s="273"/>
      <c r="M487" s="273"/>
      <c r="N487" s="273"/>
      <c r="O487" s="273"/>
      <c r="P487" s="273"/>
      <c r="Q487" s="273"/>
      <c r="R487" s="273"/>
      <c r="S487" s="274"/>
      <c r="T487" s="275"/>
      <c r="U487" s="273"/>
      <c r="V487" s="273"/>
      <c r="W487" s="273"/>
      <c r="X487" s="276"/>
      <c r="Y487" s="277"/>
      <c r="Z487" s="26"/>
      <c r="AA487" s="236"/>
      <c r="AB487" s="236"/>
      <c r="AC487" s="278"/>
      <c r="AD487" s="278"/>
      <c r="AE487" s="278"/>
      <c r="AF487" s="278"/>
      <c r="AG487" s="278"/>
      <c r="AH487" s="278"/>
      <c r="AI487" s="278"/>
      <c r="AJ487" s="278"/>
      <c r="AK487" s="278"/>
      <c r="AL487" s="279"/>
      <c r="AM487" s="33"/>
      <c r="AN487" s="1"/>
    </row>
    <row r="488" spans="2:40" ht="15" customHeight="1" x14ac:dyDescent="0.3">
      <c r="B488" s="240"/>
      <c r="C488" s="240"/>
      <c r="D488" s="240"/>
      <c r="E488" s="240"/>
      <c r="F488" s="240"/>
      <c r="G488" s="240"/>
      <c r="H488" s="240"/>
      <c r="I488" s="240"/>
      <c r="J488" s="240"/>
      <c r="K488" s="240"/>
      <c r="L488" s="240"/>
      <c r="M488" s="240"/>
      <c r="N488" s="240"/>
      <c r="O488" s="240"/>
      <c r="P488" s="240"/>
      <c r="Q488" s="240"/>
      <c r="R488" s="240"/>
      <c r="S488" s="239"/>
      <c r="T488" s="239"/>
      <c r="U488" s="237"/>
      <c r="V488" s="198"/>
      <c r="W488" s="198"/>
      <c r="X488" s="231"/>
      <c r="Y488" s="231"/>
      <c r="Z488" s="191"/>
      <c r="AA488" s="238"/>
      <c r="AB488" s="238"/>
      <c r="AC488" s="190"/>
      <c r="AD488" s="190"/>
      <c r="AE488" s="190"/>
      <c r="AF488" s="190"/>
      <c r="AG488" s="190"/>
      <c r="AH488" s="190"/>
      <c r="AI488" s="190"/>
      <c r="AJ488" s="190"/>
      <c r="AK488" s="190"/>
      <c r="AL488" s="192"/>
      <c r="AM488" s="241"/>
      <c r="AN488" s="242"/>
    </row>
    <row r="489" spans="2:40" ht="15" customHeight="1" x14ac:dyDescent="0.3">
      <c r="B489" s="240"/>
      <c r="C489" s="240"/>
      <c r="D489" s="240"/>
      <c r="E489" s="240"/>
      <c r="F489" s="240"/>
      <c r="G489" s="240"/>
      <c r="H489" s="240"/>
      <c r="I489" s="240"/>
      <c r="J489" s="240"/>
      <c r="K489" s="240"/>
      <c r="L489" s="240"/>
      <c r="M489" s="240"/>
      <c r="N489" s="240"/>
      <c r="O489" s="240"/>
      <c r="P489" s="240"/>
      <c r="Q489" s="240"/>
      <c r="R489" s="240"/>
      <c r="S489" s="239"/>
      <c r="T489" s="239"/>
      <c r="U489" s="237"/>
      <c r="V489" s="198"/>
      <c r="W489" s="198"/>
      <c r="X489" s="231"/>
      <c r="Y489" s="231"/>
      <c r="Z489" s="191"/>
      <c r="AA489" s="238"/>
      <c r="AB489" s="238"/>
      <c r="AC489" s="190"/>
      <c r="AD489" s="190"/>
      <c r="AE489" s="190"/>
      <c r="AF489" s="190"/>
      <c r="AG489" s="190"/>
      <c r="AH489" s="190"/>
      <c r="AI489" s="190"/>
      <c r="AJ489" s="190"/>
      <c r="AK489" s="190"/>
      <c r="AL489" s="192"/>
      <c r="AM489" s="241"/>
      <c r="AN489" s="242"/>
    </row>
    <row r="490" spans="2:40" ht="15" customHeight="1" x14ac:dyDescent="0.3">
      <c r="B490" s="235"/>
      <c r="C490" s="235"/>
      <c r="D490" s="235"/>
      <c r="E490" s="235"/>
      <c r="F490" s="235"/>
      <c r="G490" s="235"/>
      <c r="H490" s="235"/>
      <c r="I490" s="235"/>
      <c r="J490" s="235"/>
      <c r="K490" s="235"/>
      <c r="L490" s="235"/>
      <c r="M490" s="235"/>
      <c r="N490" s="235"/>
      <c r="O490" s="235"/>
      <c r="P490" s="235"/>
      <c r="Q490" s="235"/>
      <c r="R490" s="235"/>
      <c r="S490" s="234"/>
      <c r="T490" s="234"/>
      <c r="U490" s="233"/>
      <c r="V490" s="198"/>
      <c r="W490" s="198"/>
      <c r="X490" s="231"/>
      <c r="Y490" s="231"/>
      <c r="Z490" s="215"/>
      <c r="AA490" s="193"/>
      <c r="AB490" s="193"/>
      <c r="AC490" s="190"/>
      <c r="AD490" s="190"/>
      <c r="AE490" s="190"/>
      <c r="AF490" s="190"/>
      <c r="AG490" s="190"/>
      <c r="AH490" s="190"/>
      <c r="AI490" s="190"/>
      <c r="AJ490" s="190"/>
      <c r="AK490" s="190"/>
      <c r="AL490" s="192"/>
      <c r="AM490" s="241"/>
      <c r="AN490" s="241"/>
    </row>
    <row r="491" spans="2:40" ht="15" customHeight="1" x14ac:dyDescent="0.3">
      <c r="B491" s="235"/>
      <c r="C491" s="235"/>
      <c r="D491" s="235"/>
      <c r="E491" s="235"/>
      <c r="F491" s="235"/>
      <c r="G491" s="235"/>
      <c r="H491" s="235"/>
      <c r="I491" s="235"/>
      <c r="J491" s="235"/>
      <c r="K491" s="235"/>
      <c r="L491" s="235"/>
      <c r="M491" s="235"/>
      <c r="N491" s="235"/>
      <c r="O491" s="235"/>
      <c r="P491" s="235"/>
      <c r="Q491" s="235"/>
      <c r="R491" s="235"/>
      <c r="S491" s="234"/>
      <c r="T491" s="234"/>
      <c r="U491" s="233"/>
      <c r="V491" s="198"/>
      <c r="W491" s="198"/>
      <c r="X491" s="231"/>
      <c r="Y491" s="231"/>
      <c r="Z491" s="215"/>
      <c r="AA491" s="193"/>
      <c r="AB491" s="193"/>
      <c r="AC491" s="190"/>
      <c r="AD491" s="190"/>
      <c r="AE491" s="190"/>
      <c r="AF491" s="190"/>
      <c r="AG491" s="190"/>
      <c r="AH491" s="190"/>
      <c r="AI491" s="190"/>
      <c r="AJ491" s="190"/>
      <c r="AK491" s="190"/>
      <c r="AL491" s="192"/>
      <c r="AM491" s="241"/>
      <c r="AN491" s="241"/>
    </row>
    <row r="492" spans="2:40" ht="15" customHeight="1" x14ac:dyDescent="0.3"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30"/>
      <c r="S492" s="234"/>
      <c r="T492" s="234"/>
      <c r="U492" s="40"/>
      <c r="V492" s="40"/>
      <c r="W492" s="40"/>
      <c r="X492" s="231"/>
      <c r="Y492" s="231"/>
      <c r="Z492" s="193"/>
      <c r="AA492" s="193"/>
      <c r="AB492" s="193"/>
      <c r="AC492" s="190"/>
      <c r="AD492" s="190"/>
      <c r="AE492" s="190"/>
      <c r="AF492" s="190"/>
      <c r="AG492" s="190"/>
      <c r="AH492" s="190"/>
      <c r="AI492" s="190"/>
      <c r="AJ492" s="190"/>
      <c r="AK492" s="190"/>
      <c r="AL492" s="192"/>
      <c r="AM492" s="241"/>
      <c r="AN492" s="241"/>
    </row>
  </sheetData>
  <autoFilter ref="B2:AN466" xr:uid="{00000000-0009-0000-0000-000003000000}"/>
  <printOptions horizontalCentered="1"/>
  <pageMargins left="0.19685039370078741" right="0" top="0.39370078740157483" bottom="0.39370078740157483" header="0.19685039370078741" footer="0.19685039370078741"/>
  <pageSetup paperSize="9" scale="65" orientation="landscape" horizontalDpi="120" verticalDpi="72" r:id="rId1"/>
  <headerFooter>
    <oddHeader>&amp;R&amp;P</oddHeader>
  </headerFooter>
  <rowBreaks count="2" manualBreakCount="2">
    <brk id="482" min="1" max="26" man="1"/>
    <brk id="488" min="1" max="26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6"/>
  <dimension ref="A1:AS492"/>
  <sheetViews>
    <sheetView view="pageBreakPreview" zoomScale="50" zoomScaleNormal="98" zoomScaleSheetLayoutView="50" workbookViewId="0">
      <pane xSplit="37" ySplit="2" topLeftCell="AL272" activePane="bottomRight" state="frozen"/>
      <selection pane="topRight" activeCell="H1" sqref="H1"/>
      <selection pane="bottomLeft" activeCell="A3" sqref="A3"/>
      <selection pane="bottomRight" activeCell="F310" sqref="F310"/>
    </sheetView>
  </sheetViews>
  <sheetFormatPr baseColWidth="10" defaultColWidth="11.44140625" defaultRowHeight="14.4" x14ac:dyDescent="0.3"/>
  <cols>
    <col min="1" max="1" width="8.44140625" style="185" customWidth="1"/>
    <col min="2" max="2" width="14.6640625" style="30" customWidth="1"/>
    <col min="3" max="3" width="12" style="30" customWidth="1"/>
    <col min="4" max="4" width="9.33203125" style="30" customWidth="1"/>
    <col min="5" max="5" width="7.88671875" style="30" customWidth="1"/>
    <col min="6" max="6" width="7.6640625" style="30" customWidth="1"/>
    <col min="7" max="7" width="6.88671875" style="30" customWidth="1"/>
    <col min="8" max="9" width="7.6640625" style="30" customWidth="1"/>
    <col min="10" max="14" width="6.33203125" style="30" customWidth="1"/>
    <col min="15" max="15" width="9.88671875" style="30" bestFit="1" customWidth="1"/>
    <col min="16" max="16" width="8" style="30" customWidth="1"/>
    <col min="17" max="17" width="6.33203125" style="30" customWidth="1"/>
    <col min="18" max="18" width="8.44140625" style="30" customWidth="1"/>
    <col min="19" max="19" width="19.109375" style="249" customWidth="1"/>
    <col min="20" max="20" width="47.6640625" style="31" bestFit="1" customWidth="1"/>
    <col min="21" max="21" width="7.33203125" style="249" customWidth="1"/>
    <col min="22" max="22" width="7.88671875" style="249" customWidth="1"/>
    <col min="23" max="23" width="16.88671875" style="249" bestFit="1" customWidth="1"/>
    <col min="24" max="24" width="15.6640625" style="2" customWidth="1"/>
    <col min="25" max="25" width="12.44140625" style="2" bestFit="1" customWidth="1"/>
    <col min="26" max="26" width="7.88671875" style="2" bestFit="1" customWidth="1"/>
    <col min="27" max="27" width="5.6640625" style="2" customWidth="1"/>
    <col min="28" max="28" width="15.5546875" style="249" customWidth="1"/>
    <col min="29" max="29" width="10.88671875" style="249" customWidth="1"/>
    <col min="30" max="30" width="5.88671875" style="249" customWidth="1"/>
    <col min="31" max="33" width="6.109375" style="249" customWidth="1"/>
    <col min="34" max="34" width="6.33203125" style="249" customWidth="1"/>
    <col min="35" max="35" width="5.6640625" style="249" customWidth="1"/>
    <col min="36" max="36" width="6.33203125" style="249" customWidth="1"/>
    <col min="37" max="37" width="12.5546875" style="249" customWidth="1"/>
    <col min="38" max="38" width="17.5546875" style="249" hidden="1" customWidth="1"/>
    <col min="39" max="39" width="9.6640625" style="249" customWidth="1"/>
    <col min="40" max="16384" width="11.44140625" style="185"/>
  </cols>
  <sheetData>
    <row r="1" spans="1:40" x14ac:dyDescent="0.3">
      <c r="AC1" s="22" t="s">
        <v>353</v>
      </c>
      <c r="AH1" s="249">
        <v>0</v>
      </c>
      <c r="AL1" s="241"/>
      <c r="AM1" s="241"/>
      <c r="AN1" s="188"/>
    </row>
    <row r="2" spans="1:40" s="187" customFormat="1" ht="65.25" customHeight="1" x14ac:dyDescent="0.3">
      <c r="A2" s="187" t="s">
        <v>1935</v>
      </c>
      <c r="B2" s="250" t="s">
        <v>1099</v>
      </c>
      <c r="C2" s="250" t="s">
        <v>1614</v>
      </c>
      <c r="D2" s="250" t="s">
        <v>1840</v>
      </c>
      <c r="E2" s="251" t="s">
        <v>1608</v>
      </c>
      <c r="F2" s="251" t="s">
        <v>1605</v>
      </c>
      <c r="G2" s="251" t="s">
        <v>1606</v>
      </c>
      <c r="H2" s="251" t="s">
        <v>1607</v>
      </c>
      <c r="I2" s="251" t="s">
        <v>1934</v>
      </c>
      <c r="J2" s="251" t="s">
        <v>1931</v>
      </c>
      <c r="K2" s="251" t="s">
        <v>1932</v>
      </c>
      <c r="L2" s="251" t="s">
        <v>1933</v>
      </c>
      <c r="M2" s="251"/>
      <c r="N2" s="251" t="s">
        <v>1934</v>
      </c>
      <c r="O2" s="251" t="s">
        <v>1931</v>
      </c>
      <c r="P2" s="251" t="s">
        <v>1932</v>
      </c>
      <c r="Q2" s="251" t="s">
        <v>1933</v>
      </c>
      <c r="R2" s="251" t="s">
        <v>1959</v>
      </c>
      <c r="S2" s="251" t="s">
        <v>1609</v>
      </c>
      <c r="T2" s="252" t="s">
        <v>1610</v>
      </c>
      <c r="U2" s="253" t="s">
        <v>302</v>
      </c>
      <c r="V2" s="253" t="s">
        <v>515</v>
      </c>
      <c r="W2" s="254" t="s">
        <v>516</v>
      </c>
      <c r="X2" s="254" t="s">
        <v>513</v>
      </c>
      <c r="Y2" s="254" t="s">
        <v>517</v>
      </c>
      <c r="Z2" s="254" t="s">
        <v>1580</v>
      </c>
      <c r="AA2" s="254" t="s">
        <v>1936</v>
      </c>
      <c r="AB2" s="255" t="s">
        <v>695</v>
      </c>
      <c r="AC2" s="256" t="s">
        <v>418</v>
      </c>
      <c r="AD2" s="256" t="s">
        <v>420</v>
      </c>
      <c r="AE2" s="256" t="s">
        <v>448</v>
      </c>
      <c r="AF2" s="256" t="s">
        <v>392</v>
      </c>
      <c r="AG2" s="256" t="s">
        <v>450</v>
      </c>
      <c r="AH2" s="256" t="s">
        <v>85</v>
      </c>
      <c r="AI2" s="256" t="s">
        <v>419</v>
      </c>
      <c r="AJ2" s="256" t="s">
        <v>492</v>
      </c>
      <c r="AK2" s="257" t="s">
        <v>137</v>
      </c>
      <c r="AL2" s="258" t="s">
        <v>514</v>
      </c>
      <c r="AM2" s="258" t="s">
        <v>1960</v>
      </c>
    </row>
    <row r="3" spans="1:40" s="188" customFormat="1" ht="16.5" customHeight="1" x14ac:dyDescent="0.3">
      <c r="A3" s="185"/>
      <c r="B3" s="326"/>
      <c r="C3" s="247"/>
      <c r="D3" s="200"/>
      <c r="E3" s="267"/>
      <c r="F3" s="267"/>
      <c r="G3" s="196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87"/>
      <c r="T3" s="287"/>
      <c r="U3" s="272"/>
      <c r="V3" s="272"/>
      <c r="W3" s="276"/>
      <c r="X3" s="277"/>
      <c r="Y3" s="245"/>
      <c r="Z3" s="311">
        <f t="shared" ref="Z3:Z67" si="0">IF(YEAR(Y3)&gt;2000,YEAR(Y3),YEAR(X3))</f>
        <v>1900</v>
      </c>
      <c r="AA3" s="311">
        <f t="shared" ref="AA3:AA67" si="1">MONTH(Y3)</f>
        <v>1</v>
      </c>
      <c r="AB3" s="243" t="s">
        <v>1927</v>
      </c>
      <c r="AC3" s="344"/>
      <c r="AD3" s="345"/>
      <c r="AE3" s="345"/>
      <c r="AF3" s="345"/>
      <c r="AG3" s="345"/>
      <c r="AH3" s="345"/>
      <c r="AI3" s="345"/>
      <c r="AJ3" s="345"/>
      <c r="AK3" s="244"/>
      <c r="AL3" s="241"/>
      <c r="AM3" s="242"/>
    </row>
    <row r="4" spans="1:40" ht="16.5" customHeight="1" x14ac:dyDescent="0.3">
      <c r="B4" s="326"/>
      <c r="C4" s="247"/>
      <c r="D4" s="200"/>
      <c r="E4" s="267"/>
      <c r="F4" s="267"/>
      <c r="G4" s="196"/>
      <c r="H4" s="248"/>
      <c r="I4" s="248"/>
      <c r="J4" s="248"/>
      <c r="K4" s="248"/>
      <c r="L4" s="248"/>
      <c r="M4" s="248"/>
      <c r="N4" s="248">
        <v>0.125</v>
      </c>
      <c r="O4" s="248">
        <v>0.25</v>
      </c>
      <c r="P4" s="248">
        <v>0.15</v>
      </c>
      <c r="Q4" s="248">
        <v>0.125</v>
      </c>
      <c r="R4" s="248" t="s">
        <v>1958</v>
      </c>
      <c r="S4" s="287"/>
      <c r="T4" s="287"/>
      <c r="U4" s="272"/>
      <c r="V4" s="272"/>
      <c r="W4" s="276"/>
      <c r="X4" s="277"/>
      <c r="Y4" s="245"/>
      <c r="Z4" s="311">
        <f t="shared" si="0"/>
        <v>1900</v>
      </c>
      <c r="AA4" s="311">
        <f t="shared" si="1"/>
        <v>1</v>
      </c>
      <c r="AB4" s="243" t="s">
        <v>1927</v>
      </c>
      <c r="AC4" s="344"/>
      <c r="AD4" s="345"/>
      <c r="AE4" s="345"/>
      <c r="AF4" s="345"/>
      <c r="AG4" s="345"/>
      <c r="AH4" s="345"/>
      <c r="AI4" s="345"/>
      <c r="AJ4" s="345"/>
      <c r="AK4" s="244"/>
      <c r="AL4" s="241"/>
      <c r="AM4" s="242"/>
    </row>
    <row r="5" spans="1:40" ht="16.5" customHeight="1" x14ac:dyDescent="0.3">
      <c r="A5" s="185" t="str">
        <f>+A2</f>
        <v>It</v>
      </c>
      <c r="B5" s="185" t="str">
        <f t="shared" ref="B5:AM5" si="2">+B2</f>
        <v xml:space="preserve">     OP
Click para ver</v>
      </c>
      <c r="C5" s="185" t="str">
        <f t="shared" si="2"/>
        <v>CLIENTE</v>
      </c>
      <c r="D5" s="185" t="str">
        <f t="shared" si="2"/>
        <v>Tipo Producto</v>
      </c>
      <c r="E5" s="185" t="str">
        <f t="shared" si="2"/>
        <v>FICHA TECNICA</v>
      </c>
      <c r="F5" s="185" t="str">
        <f t="shared" si="2"/>
        <v>OS CORTE</v>
      </c>
      <c r="G5" s="185" t="str">
        <f t="shared" si="2"/>
        <v>OS BORDADO</v>
      </c>
      <c r="H5" s="185" t="str">
        <f t="shared" si="2"/>
        <v>OS CONFECCION</v>
      </c>
      <c r="I5" s="185" t="str">
        <f t="shared" si="2"/>
        <v>Cte</v>
      </c>
      <c r="J5" s="185" t="str">
        <f t="shared" si="2"/>
        <v>Conf</v>
      </c>
      <c r="K5" s="185" t="str">
        <f t="shared" si="2"/>
        <v>Bord/Est</v>
      </c>
      <c r="L5" s="185" t="str">
        <f t="shared" si="2"/>
        <v>Acab</v>
      </c>
      <c r="M5" s="362" t="s">
        <v>1961</v>
      </c>
      <c r="N5" s="185" t="str">
        <f t="shared" si="2"/>
        <v>Cte</v>
      </c>
      <c r="O5" s="185" t="str">
        <f t="shared" si="2"/>
        <v>Conf</v>
      </c>
      <c r="P5" s="185" t="str">
        <f t="shared" si="2"/>
        <v>Bord/Est</v>
      </c>
      <c r="Q5" s="185" t="str">
        <f t="shared" si="2"/>
        <v>Acab</v>
      </c>
      <c r="R5" s="185" t="str">
        <f t="shared" si="2"/>
        <v>Tot Min</v>
      </c>
      <c r="S5" s="185" t="str">
        <f t="shared" si="2"/>
        <v>MODELO (ORDEN)</v>
      </c>
      <c r="T5" s="185" t="str">
        <f t="shared" si="2"/>
        <v xml:space="preserve">    DESCRPPCION DEL MODELO</v>
      </c>
      <c r="U5" s="185" t="str">
        <f t="shared" si="2"/>
        <v>CANT. OP</v>
      </c>
      <c r="V5" s="185" t="str">
        <f t="shared" si="2"/>
        <v>CANT. CORTADA</v>
      </c>
      <c r="W5" s="185" t="str">
        <f t="shared" si="2"/>
        <v>FECHA DE PEDIDO</v>
      </c>
      <c r="X5" s="185" t="str">
        <f t="shared" si="2"/>
        <v>FECHA DE DESPACHO</v>
      </c>
      <c r="Y5" s="185" t="str">
        <f t="shared" si="2"/>
        <v>FECHA DESPACHO MODIFICADA</v>
      </c>
      <c r="Z5" s="185" t="str">
        <f t="shared" si="2"/>
        <v>AÑO</v>
      </c>
      <c r="AA5" s="185" t="str">
        <f t="shared" si="2"/>
        <v>MES</v>
      </c>
      <c r="AB5" s="185" t="str">
        <f t="shared" si="2"/>
        <v xml:space="preserve">ESTADO   </v>
      </c>
      <c r="AC5" s="185" t="str">
        <f t="shared" si="2"/>
        <v>TELA</v>
      </c>
      <c r="AD5" s="185" t="str">
        <f t="shared" si="2"/>
        <v>TRICOT</v>
      </c>
      <c r="AE5" s="185" t="str">
        <f t="shared" si="2"/>
        <v>TIZADO</v>
      </c>
      <c r="AF5" s="185" t="str">
        <f t="shared" si="2"/>
        <v>CORTE</v>
      </c>
      <c r="AG5" s="185" t="str">
        <f t="shared" si="2"/>
        <v>FUSIONADO</v>
      </c>
      <c r="AH5" s="185" t="str">
        <f t="shared" si="2"/>
        <v>BORDADO</v>
      </c>
      <c r="AI5" s="185" t="str">
        <f t="shared" si="2"/>
        <v>BOTONES</v>
      </c>
      <c r="AJ5" s="185" t="str">
        <f t="shared" si="2"/>
        <v>PUNTILLAS/BLONDA</v>
      </c>
      <c r="AK5" s="185" t="str">
        <f t="shared" si="2"/>
        <v>TALLER</v>
      </c>
      <c r="AL5" s="185" t="str">
        <f t="shared" si="2"/>
        <v>FECHA DE DESPACHO REAL</v>
      </c>
      <c r="AM5" s="185" t="str">
        <f t="shared" si="2"/>
        <v>BORD</v>
      </c>
    </row>
    <row r="6" spans="1:40" x14ac:dyDescent="0.3">
      <c r="A6" s="185">
        <v>20</v>
      </c>
      <c r="B6" s="212" t="s">
        <v>784</v>
      </c>
      <c r="C6" s="212" t="s">
        <v>1616</v>
      </c>
      <c r="D6" s="335" t="s">
        <v>1848</v>
      </c>
      <c r="E6" s="212"/>
      <c r="F6" s="212" t="s">
        <v>1597</v>
      </c>
      <c r="G6" s="212" t="s">
        <v>1941</v>
      </c>
      <c r="H6" s="212"/>
      <c r="I6" s="212">
        <v>2</v>
      </c>
      <c r="J6" s="357">
        <v>9</v>
      </c>
      <c r="K6" s="212">
        <v>9</v>
      </c>
      <c r="L6" s="212">
        <v>1</v>
      </c>
      <c r="M6" s="212">
        <f>SUM((I6:L6))</f>
        <v>21</v>
      </c>
      <c r="N6" s="212">
        <f>+I6/0.125</f>
        <v>16</v>
      </c>
      <c r="O6" s="212">
        <f>+J6/0.25</f>
        <v>36</v>
      </c>
      <c r="P6" s="212">
        <f>+K6/0.15</f>
        <v>60</v>
      </c>
      <c r="Q6" s="212">
        <f>+L6/0.125</f>
        <v>8</v>
      </c>
      <c r="R6" s="212">
        <f>SUM(N6:Q6)</f>
        <v>120</v>
      </c>
      <c r="S6" s="202" t="s">
        <v>699</v>
      </c>
      <c r="T6" s="203" t="s">
        <v>701</v>
      </c>
      <c r="U6" s="202">
        <v>110</v>
      </c>
      <c r="V6" s="202">
        <v>115</v>
      </c>
      <c r="W6" s="204">
        <v>43753</v>
      </c>
      <c r="X6" s="205">
        <v>43836</v>
      </c>
      <c r="Y6" s="205">
        <v>43861</v>
      </c>
      <c r="Z6" s="311">
        <f t="shared" si="0"/>
        <v>2020</v>
      </c>
      <c r="AA6" s="311">
        <f t="shared" si="1"/>
        <v>1</v>
      </c>
      <c r="AB6" s="211" t="s">
        <v>920</v>
      </c>
      <c r="AC6" s="211" t="s">
        <v>422</v>
      </c>
      <c r="AD6" s="211" t="s">
        <v>422</v>
      </c>
      <c r="AE6" s="211" t="s">
        <v>422</v>
      </c>
      <c r="AF6" s="207" t="s">
        <v>422</v>
      </c>
      <c r="AG6" s="346" t="s">
        <v>422</v>
      </c>
      <c r="AH6" s="211" t="s">
        <v>422</v>
      </c>
      <c r="AI6" s="211" t="s">
        <v>423</v>
      </c>
      <c r="AJ6" s="211" t="s">
        <v>423</v>
      </c>
      <c r="AK6" s="222" t="s">
        <v>108</v>
      </c>
      <c r="AL6" s="209"/>
      <c r="AM6" s="220" t="s">
        <v>805</v>
      </c>
    </row>
    <row r="7" spans="1:40" x14ac:dyDescent="0.3">
      <c r="A7" s="185">
        <v>21</v>
      </c>
      <c r="B7" s="212" t="s">
        <v>785</v>
      </c>
      <c r="C7" s="212" t="s">
        <v>1616</v>
      </c>
      <c r="D7" s="335" t="s">
        <v>1848</v>
      </c>
      <c r="E7" s="212"/>
      <c r="F7" s="212" t="s">
        <v>1597</v>
      </c>
      <c r="G7" s="212" t="s">
        <v>1941</v>
      </c>
      <c r="H7" s="212"/>
      <c r="I7" s="212">
        <v>2</v>
      </c>
      <c r="J7" s="357">
        <v>9</v>
      </c>
      <c r="K7" s="212">
        <v>16</v>
      </c>
      <c r="L7" s="212">
        <v>1</v>
      </c>
      <c r="M7" s="212">
        <f t="shared" ref="M7:M70" si="3">SUM((I7:L7))</f>
        <v>28</v>
      </c>
      <c r="N7" s="212">
        <f t="shared" ref="N7:N70" si="4">+I7/0.125</f>
        <v>16</v>
      </c>
      <c r="O7" s="212">
        <f t="shared" ref="O7:O70" si="5">+J7/0.25</f>
        <v>36</v>
      </c>
      <c r="P7" s="212">
        <f t="shared" ref="P7:P70" si="6">+K7/0.15</f>
        <v>106.66666666666667</v>
      </c>
      <c r="Q7" s="212">
        <f t="shared" ref="Q7:Q70" si="7">+L7/0.125</f>
        <v>8</v>
      </c>
      <c r="R7" s="212">
        <f t="shared" ref="R7:R70" si="8">SUM(N7:Q7)</f>
        <v>166.66666666666669</v>
      </c>
      <c r="S7" s="202" t="s">
        <v>700</v>
      </c>
      <c r="T7" s="203" t="s">
        <v>783</v>
      </c>
      <c r="U7" s="202">
        <v>104</v>
      </c>
      <c r="V7" s="202">
        <v>109</v>
      </c>
      <c r="W7" s="204">
        <v>43753</v>
      </c>
      <c r="X7" s="205">
        <v>43836</v>
      </c>
      <c r="Y7" s="205">
        <v>43861</v>
      </c>
      <c r="Z7" s="311">
        <f t="shared" si="0"/>
        <v>2020</v>
      </c>
      <c r="AA7" s="311">
        <f t="shared" si="1"/>
        <v>1</v>
      </c>
      <c r="AB7" s="211" t="s">
        <v>920</v>
      </c>
      <c r="AC7" s="211" t="s">
        <v>422</v>
      </c>
      <c r="AD7" s="211" t="s">
        <v>422</v>
      </c>
      <c r="AE7" s="211" t="s">
        <v>422</v>
      </c>
      <c r="AF7" s="207" t="s">
        <v>422</v>
      </c>
      <c r="AG7" s="346" t="s">
        <v>422</v>
      </c>
      <c r="AH7" s="211" t="s">
        <v>422</v>
      </c>
      <c r="AI7" s="211" t="s">
        <v>423</v>
      </c>
      <c r="AJ7" s="211" t="s">
        <v>423</v>
      </c>
      <c r="AK7" s="222" t="s">
        <v>108</v>
      </c>
      <c r="AL7" s="209"/>
      <c r="AM7" s="220"/>
    </row>
    <row r="8" spans="1:40" x14ac:dyDescent="0.3">
      <c r="A8" s="185">
        <v>22</v>
      </c>
      <c r="B8" s="212" t="s">
        <v>786</v>
      </c>
      <c r="C8" s="212" t="s">
        <v>1616</v>
      </c>
      <c r="D8" s="335" t="s">
        <v>1848</v>
      </c>
      <c r="E8" s="212"/>
      <c r="F8" s="212"/>
      <c r="G8" s="212" t="s">
        <v>1941</v>
      </c>
      <c r="H8" s="212" t="s">
        <v>1040</v>
      </c>
      <c r="I8" s="212">
        <v>2</v>
      </c>
      <c r="J8" s="212">
        <v>8</v>
      </c>
      <c r="K8" s="212">
        <v>16</v>
      </c>
      <c r="L8" s="212">
        <v>1</v>
      </c>
      <c r="M8" s="212">
        <f t="shared" si="3"/>
        <v>27</v>
      </c>
      <c r="N8" s="212">
        <f t="shared" si="4"/>
        <v>16</v>
      </c>
      <c r="O8" s="212">
        <f t="shared" si="5"/>
        <v>32</v>
      </c>
      <c r="P8" s="212">
        <f t="shared" si="6"/>
        <v>106.66666666666667</v>
      </c>
      <c r="Q8" s="212">
        <f t="shared" si="7"/>
        <v>8</v>
      </c>
      <c r="R8" s="212">
        <f t="shared" si="8"/>
        <v>162.66666666666669</v>
      </c>
      <c r="S8" s="202" t="s">
        <v>702</v>
      </c>
      <c r="T8" s="203" t="s">
        <v>703</v>
      </c>
      <c r="U8" s="202">
        <v>66</v>
      </c>
      <c r="V8" s="202">
        <v>71</v>
      </c>
      <c r="W8" s="204">
        <v>43753</v>
      </c>
      <c r="X8" s="205">
        <v>43836</v>
      </c>
      <c r="Y8" s="205">
        <v>43861</v>
      </c>
      <c r="Z8" s="311">
        <f t="shared" si="0"/>
        <v>2020</v>
      </c>
      <c r="AA8" s="311">
        <f t="shared" si="1"/>
        <v>1</v>
      </c>
      <c r="AB8" s="211" t="s">
        <v>920</v>
      </c>
      <c r="AC8" s="211" t="s">
        <v>422</v>
      </c>
      <c r="AD8" s="211" t="s">
        <v>422</v>
      </c>
      <c r="AE8" s="211" t="s">
        <v>422</v>
      </c>
      <c r="AF8" s="207" t="s">
        <v>422</v>
      </c>
      <c r="AG8" s="346" t="s">
        <v>422</v>
      </c>
      <c r="AH8" s="211" t="s">
        <v>422</v>
      </c>
      <c r="AI8" s="211" t="s">
        <v>423</v>
      </c>
      <c r="AJ8" s="211" t="s">
        <v>423</v>
      </c>
      <c r="AK8" s="222" t="s">
        <v>254</v>
      </c>
      <c r="AL8" s="209"/>
      <c r="AM8" s="220"/>
    </row>
    <row r="9" spans="1:40" x14ac:dyDescent="0.3">
      <c r="A9" s="185">
        <v>23</v>
      </c>
      <c r="B9" s="212" t="s">
        <v>787</v>
      </c>
      <c r="C9" s="212" t="s">
        <v>1616</v>
      </c>
      <c r="D9" s="335" t="s">
        <v>1848</v>
      </c>
      <c r="E9" s="212"/>
      <c r="F9" s="212" t="s">
        <v>1597</v>
      </c>
      <c r="G9" s="212" t="s">
        <v>1941</v>
      </c>
      <c r="H9" s="212" t="s">
        <v>1040</v>
      </c>
      <c r="I9" s="212">
        <v>2</v>
      </c>
      <c r="J9" s="212">
        <v>8</v>
      </c>
      <c r="K9" s="212">
        <v>8.5</v>
      </c>
      <c r="L9" s="212">
        <v>1</v>
      </c>
      <c r="M9" s="212">
        <f t="shared" si="3"/>
        <v>19.5</v>
      </c>
      <c r="N9" s="212">
        <f t="shared" si="4"/>
        <v>16</v>
      </c>
      <c r="O9" s="212">
        <f t="shared" si="5"/>
        <v>32</v>
      </c>
      <c r="P9" s="212">
        <f t="shared" si="6"/>
        <v>56.666666666666671</v>
      </c>
      <c r="Q9" s="212">
        <f t="shared" si="7"/>
        <v>8</v>
      </c>
      <c r="R9" s="212">
        <f t="shared" si="8"/>
        <v>112.66666666666667</v>
      </c>
      <c r="S9" s="202" t="s">
        <v>704</v>
      </c>
      <c r="T9" s="203" t="s">
        <v>705</v>
      </c>
      <c r="U9" s="202">
        <v>80</v>
      </c>
      <c r="V9" s="202">
        <v>83</v>
      </c>
      <c r="W9" s="204">
        <v>43753</v>
      </c>
      <c r="X9" s="205">
        <v>43836</v>
      </c>
      <c r="Y9" s="205">
        <v>43861</v>
      </c>
      <c r="Z9" s="311">
        <f t="shared" si="0"/>
        <v>2020</v>
      </c>
      <c r="AA9" s="311">
        <f t="shared" si="1"/>
        <v>1</v>
      </c>
      <c r="AB9" s="211" t="s">
        <v>920</v>
      </c>
      <c r="AC9" s="211" t="s">
        <v>422</v>
      </c>
      <c r="AD9" s="211" t="s">
        <v>422</v>
      </c>
      <c r="AE9" s="211" t="s">
        <v>422</v>
      </c>
      <c r="AF9" s="207" t="s">
        <v>422</v>
      </c>
      <c r="AG9" s="346" t="s">
        <v>422</v>
      </c>
      <c r="AH9" s="211" t="s">
        <v>422</v>
      </c>
      <c r="AI9" s="211" t="s">
        <v>423</v>
      </c>
      <c r="AJ9" s="211" t="s">
        <v>423</v>
      </c>
      <c r="AK9" s="222" t="s">
        <v>1198</v>
      </c>
      <c r="AL9" s="209"/>
      <c r="AM9" s="220"/>
    </row>
    <row r="10" spans="1:40" x14ac:dyDescent="0.3">
      <c r="A10" s="185">
        <v>24</v>
      </c>
      <c r="B10" s="212" t="s">
        <v>788</v>
      </c>
      <c r="C10" s="212" t="s">
        <v>1616</v>
      </c>
      <c r="D10" s="335" t="s">
        <v>1848</v>
      </c>
      <c r="E10" s="212"/>
      <c r="F10" s="212"/>
      <c r="G10" s="212" t="s">
        <v>1940</v>
      </c>
      <c r="H10" s="212" t="s">
        <v>1948</v>
      </c>
      <c r="I10" s="212">
        <v>2</v>
      </c>
      <c r="J10" s="212">
        <v>9</v>
      </c>
      <c r="K10" s="212">
        <v>9</v>
      </c>
      <c r="L10" s="212">
        <v>1</v>
      </c>
      <c r="M10" s="212">
        <f t="shared" si="3"/>
        <v>21</v>
      </c>
      <c r="N10" s="212">
        <f t="shared" si="4"/>
        <v>16</v>
      </c>
      <c r="O10" s="212">
        <f t="shared" si="5"/>
        <v>36</v>
      </c>
      <c r="P10" s="212">
        <f t="shared" si="6"/>
        <v>60</v>
      </c>
      <c r="Q10" s="212">
        <f t="shared" si="7"/>
        <v>8</v>
      </c>
      <c r="R10" s="212">
        <f t="shared" si="8"/>
        <v>120</v>
      </c>
      <c r="S10" s="202" t="s">
        <v>706</v>
      </c>
      <c r="T10" s="203" t="s">
        <v>707</v>
      </c>
      <c r="U10" s="202">
        <v>106</v>
      </c>
      <c r="V10" s="202">
        <v>111</v>
      </c>
      <c r="W10" s="204">
        <v>43753</v>
      </c>
      <c r="X10" s="205">
        <v>43836</v>
      </c>
      <c r="Y10" s="205">
        <v>43861</v>
      </c>
      <c r="Z10" s="311">
        <f t="shared" si="0"/>
        <v>2020</v>
      </c>
      <c r="AA10" s="311">
        <f t="shared" si="1"/>
        <v>1</v>
      </c>
      <c r="AB10" s="211" t="s">
        <v>920</v>
      </c>
      <c r="AC10" s="211" t="s">
        <v>422</v>
      </c>
      <c r="AD10" s="211" t="s">
        <v>422</v>
      </c>
      <c r="AE10" s="211" t="s">
        <v>422</v>
      </c>
      <c r="AF10" s="207" t="s">
        <v>422</v>
      </c>
      <c r="AG10" s="346" t="s">
        <v>422</v>
      </c>
      <c r="AH10" s="211" t="s">
        <v>422</v>
      </c>
      <c r="AI10" s="211" t="s">
        <v>423</v>
      </c>
      <c r="AJ10" s="211" t="s">
        <v>423</v>
      </c>
      <c r="AK10" s="222" t="s">
        <v>772</v>
      </c>
      <c r="AL10" s="209"/>
      <c r="AM10" s="209"/>
    </row>
    <row r="11" spans="1:40" x14ac:dyDescent="0.3">
      <c r="A11" s="185">
        <v>25</v>
      </c>
      <c r="B11" s="212" t="s">
        <v>789</v>
      </c>
      <c r="C11" s="212" t="s">
        <v>1616</v>
      </c>
      <c r="D11" s="335" t="s">
        <v>1848</v>
      </c>
      <c r="E11" s="212"/>
      <c r="F11" s="212"/>
      <c r="G11" s="212" t="s">
        <v>1940</v>
      </c>
      <c r="H11" s="212" t="s">
        <v>1948</v>
      </c>
      <c r="I11" s="212">
        <v>2</v>
      </c>
      <c r="J11" s="212">
        <v>8.5</v>
      </c>
      <c r="K11" s="212">
        <v>9</v>
      </c>
      <c r="L11" s="212">
        <v>1</v>
      </c>
      <c r="M11" s="212">
        <f t="shared" si="3"/>
        <v>20.5</v>
      </c>
      <c r="N11" s="212">
        <f t="shared" si="4"/>
        <v>16</v>
      </c>
      <c r="O11" s="212">
        <f t="shared" si="5"/>
        <v>34</v>
      </c>
      <c r="P11" s="212">
        <f t="shared" si="6"/>
        <v>60</v>
      </c>
      <c r="Q11" s="212">
        <f t="shared" si="7"/>
        <v>8</v>
      </c>
      <c r="R11" s="212">
        <f t="shared" si="8"/>
        <v>118</v>
      </c>
      <c r="S11" s="202" t="s">
        <v>708</v>
      </c>
      <c r="T11" s="203" t="s">
        <v>709</v>
      </c>
      <c r="U11" s="202">
        <v>42</v>
      </c>
      <c r="V11" s="202">
        <v>47</v>
      </c>
      <c r="W11" s="204">
        <v>43753</v>
      </c>
      <c r="X11" s="205">
        <v>43836</v>
      </c>
      <c r="Y11" s="205">
        <v>43861</v>
      </c>
      <c r="Z11" s="311">
        <f t="shared" si="0"/>
        <v>2020</v>
      </c>
      <c r="AA11" s="311">
        <f t="shared" si="1"/>
        <v>1</v>
      </c>
      <c r="AB11" s="211" t="s">
        <v>920</v>
      </c>
      <c r="AC11" s="211" t="s">
        <v>422</v>
      </c>
      <c r="AD11" s="211" t="s">
        <v>422</v>
      </c>
      <c r="AE11" s="211" t="s">
        <v>422</v>
      </c>
      <c r="AF11" s="207" t="s">
        <v>422</v>
      </c>
      <c r="AG11" s="346" t="s">
        <v>422</v>
      </c>
      <c r="AH11" s="211" t="s">
        <v>422</v>
      </c>
      <c r="AI11" s="211" t="s">
        <v>423</v>
      </c>
      <c r="AJ11" s="211" t="s">
        <v>423</v>
      </c>
      <c r="AK11" s="222" t="s">
        <v>772</v>
      </c>
      <c r="AL11" s="209"/>
      <c r="AM11" s="209"/>
    </row>
    <row r="12" spans="1:40" x14ac:dyDescent="0.3">
      <c r="A12" s="185">
        <v>26</v>
      </c>
      <c r="B12" s="212" t="s">
        <v>790</v>
      </c>
      <c r="C12" s="212" t="s">
        <v>1616</v>
      </c>
      <c r="D12" s="335" t="s">
        <v>1848</v>
      </c>
      <c r="E12" s="212"/>
      <c r="F12" s="212" t="s">
        <v>1597</v>
      </c>
      <c r="G12" s="212" t="s">
        <v>1940</v>
      </c>
      <c r="H12" s="212"/>
      <c r="I12" s="212">
        <v>2</v>
      </c>
      <c r="J12" s="357">
        <v>10</v>
      </c>
      <c r="K12" s="212">
        <v>9</v>
      </c>
      <c r="L12" s="212">
        <v>1</v>
      </c>
      <c r="M12" s="212">
        <f t="shared" si="3"/>
        <v>22</v>
      </c>
      <c r="N12" s="212">
        <f t="shared" si="4"/>
        <v>16</v>
      </c>
      <c r="O12" s="212">
        <f t="shared" si="5"/>
        <v>40</v>
      </c>
      <c r="P12" s="212">
        <f t="shared" si="6"/>
        <v>60</v>
      </c>
      <c r="Q12" s="212">
        <f t="shared" si="7"/>
        <v>8</v>
      </c>
      <c r="R12" s="212">
        <f t="shared" si="8"/>
        <v>124</v>
      </c>
      <c r="S12" s="202" t="s">
        <v>710</v>
      </c>
      <c r="T12" s="203" t="s">
        <v>711</v>
      </c>
      <c r="U12" s="202">
        <v>90</v>
      </c>
      <c r="V12" s="202">
        <v>95</v>
      </c>
      <c r="W12" s="204">
        <v>43753</v>
      </c>
      <c r="X12" s="205">
        <v>43836</v>
      </c>
      <c r="Y12" s="205">
        <v>43861</v>
      </c>
      <c r="Z12" s="311">
        <f t="shared" si="0"/>
        <v>2020</v>
      </c>
      <c r="AA12" s="311">
        <f t="shared" si="1"/>
        <v>1</v>
      </c>
      <c r="AB12" s="211" t="s">
        <v>920</v>
      </c>
      <c r="AC12" s="211" t="s">
        <v>422</v>
      </c>
      <c r="AD12" s="211" t="s">
        <v>422</v>
      </c>
      <c r="AE12" s="211" t="s">
        <v>422</v>
      </c>
      <c r="AF12" s="207" t="s">
        <v>422</v>
      </c>
      <c r="AG12" s="346" t="s">
        <v>422</v>
      </c>
      <c r="AH12" s="211" t="s">
        <v>422</v>
      </c>
      <c r="AI12" s="211" t="s">
        <v>423</v>
      </c>
      <c r="AJ12" s="211" t="s">
        <v>423</v>
      </c>
      <c r="AK12" s="222" t="s">
        <v>108</v>
      </c>
      <c r="AL12" s="209"/>
      <c r="AM12" s="209"/>
    </row>
    <row r="13" spans="1:40" x14ac:dyDescent="0.3">
      <c r="A13" s="185">
        <v>27</v>
      </c>
      <c r="B13" s="212" t="s">
        <v>791</v>
      </c>
      <c r="C13" s="212" t="s">
        <v>1616</v>
      </c>
      <c r="D13" s="335" t="s">
        <v>1848</v>
      </c>
      <c r="E13" s="212"/>
      <c r="F13" s="212"/>
      <c r="G13" s="212" t="s">
        <v>1940</v>
      </c>
      <c r="H13" s="212" t="s">
        <v>1948</v>
      </c>
      <c r="I13" s="212">
        <v>2</v>
      </c>
      <c r="J13" s="212">
        <v>7.5</v>
      </c>
      <c r="K13" s="212">
        <v>9</v>
      </c>
      <c r="L13" s="212">
        <v>1</v>
      </c>
      <c r="M13" s="212">
        <f t="shared" si="3"/>
        <v>19.5</v>
      </c>
      <c r="N13" s="212">
        <f t="shared" si="4"/>
        <v>16</v>
      </c>
      <c r="O13" s="212">
        <f t="shared" si="5"/>
        <v>30</v>
      </c>
      <c r="P13" s="212">
        <f t="shared" si="6"/>
        <v>60</v>
      </c>
      <c r="Q13" s="212">
        <f t="shared" si="7"/>
        <v>8</v>
      </c>
      <c r="R13" s="212">
        <f t="shared" si="8"/>
        <v>114</v>
      </c>
      <c r="S13" s="202" t="s">
        <v>712</v>
      </c>
      <c r="T13" s="203" t="s">
        <v>713</v>
      </c>
      <c r="U13" s="202">
        <v>54</v>
      </c>
      <c r="V13" s="202">
        <v>57</v>
      </c>
      <c r="W13" s="204">
        <v>43753</v>
      </c>
      <c r="X13" s="205">
        <v>43836</v>
      </c>
      <c r="Y13" s="205">
        <v>43861</v>
      </c>
      <c r="Z13" s="311">
        <f t="shared" si="0"/>
        <v>2020</v>
      </c>
      <c r="AA13" s="311">
        <f t="shared" si="1"/>
        <v>1</v>
      </c>
      <c r="AB13" s="211" t="s">
        <v>920</v>
      </c>
      <c r="AC13" s="211" t="s">
        <v>422</v>
      </c>
      <c r="AD13" s="211" t="s">
        <v>422</v>
      </c>
      <c r="AE13" s="211" t="s">
        <v>422</v>
      </c>
      <c r="AF13" s="207" t="s">
        <v>422</v>
      </c>
      <c r="AG13" s="346" t="s">
        <v>422</v>
      </c>
      <c r="AH13" s="211" t="s">
        <v>422</v>
      </c>
      <c r="AI13" s="211" t="s">
        <v>423</v>
      </c>
      <c r="AJ13" s="211" t="s">
        <v>423</v>
      </c>
      <c r="AK13" s="222" t="s">
        <v>772</v>
      </c>
      <c r="AL13" s="209"/>
      <c r="AM13" s="209"/>
    </row>
    <row r="14" spans="1:40" x14ac:dyDescent="0.3">
      <c r="A14" s="185">
        <v>28</v>
      </c>
      <c r="B14" s="212" t="s">
        <v>792</v>
      </c>
      <c r="C14" s="212" t="s">
        <v>1616</v>
      </c>
      <c r="D14" s="335" t="s">
        <v>1848</v>
      </c>
      <c r="E14" s="212"/>
      <c r="F14" s="212"/>
      <c r="G14" s="212" t="s">
        <v>1940</v>
      </c>
      <c r="H14" s="212" t="s">
        <v>1040</v>
      </c>
      <c r="I14" s="212">
        <v>1</v>
      </c>
      <c r="J14" s="212">
        <v>2</v>
      </c>
      <c r="K14" s="212">
        <v>5.5</v>
      </c>
      <c r="L14" s="212">
        <v>0.5</v>
      </c>
      <c r="M14" s="212">
        <f t="shared" si="3"/>
        <v>9</v>
      </c>
      <c r="N14" s="212">
        <f t="shared" si="4"/>
        <v>8</v>
      </c>
      <c r="O14" s="212">
        <f t="shared" si="5"/>
        <v>8</v>
      </c>
      <c r="P14" s="212">
        <f t="shared" si="6"/>
        <v>36.666666666666671</v>
      </c>
      <c r="Q14" s="212">
        <f t="shared" si="7"/>
        <v>4</v>
      </c>
      <c r="R14" s="212">
        <f t="shared" si="8"/>
        <v>56.666666666666671</v>
      </c>
      <c r="S14" s="202" t="s">
        <v>714</v>
      </c>
      <c r="T14" s="203" t="s">
        <v>715</v>
      </c>
      <c r="U14" s="202">
        <v>80</v>
      </c>
      <c r="V14" s="202">
        <v>82</v>
      </c>
      <c r="W14" s="204">
        <v>43753</v>
      </c>
      <c r="X14" s="205">
        <v>43836</v>
      </c>
      <c r="Y14" s="205">
        <v>43861</v>
      </c>
      <c r="Z14" s="311">
        <f t="shared" si="0"/>
        <v>2020</v>
      </c>
      <c r="AA14" s="311">
        <f t="shared" si="1"/>
        <v>1</v>
      </c>
      <c r="AB14" s="211" t="s">
        <v>920</v>
      </c>
      <c r="AC14" s="211" t="s">
        <v>422</v>
      </c>
      <c r="AD14" s="211" t="s">
        <v>422</v>
      </c>
      <c r="AE14" s="211" t="s">
        <v>422</v>
      </c>
      <c r="AF14" s="211" t="s">
        <v>422</v>
      </c>
      <c r="AG14" s="211" t="s">
        <v>423</v>
      </c>
      <c r="AH14" s="211" t="s">
        <v>422</v>
      </c>
      <c r="AI14" s="211" t="s">
        <v>423</v>
      </c>
      <c r="AJ14" s="211" t="s">
        <v>423</v>
      </c>
      <c r="AK14" s="222" t="s">
        <v>254</v>
      </c>
      <c r="AL14" s="209"/>
      <c r="AM14" s="209"/>
    </row>
    <row r="15" spans="1:40" x14ac:dyDescent="0.3">
      <c r="A15" s="185">
        <v>29</v>
      </c>
      <c r="B15" s="212" t="s">
        <v>793</v>
      </c>
      <c r="C15" s="212" t="s">
        <v>1616</v>
      </c>
      <c r="D15" s="335" t="s">
        <v>1848</v>
      </c>
      <c r="E15" s="212"/>
      <c r="F15" s="212"/>
      <c r="G15" s="212" t="s">
        <v>1940</v>
      </c>
      <c r="H15" s="212" t="s">
        <v>1010</v>
      </c>
      <c r="I15" s="212">
        <v>1</v>
      </c>
      <c r="J15" s="212">
        <v>2.2000000000000002</v>
      </c>
      <c r="K15" s="212">
        <v>5.5</v>
      </c>
      <c r="L15" s="212">
        <v>0.5</v>
      </c>
      <c r="M15" s="212">
        <f t="shared" si="3"/>
        <v>9.1999999999999993</v>
      </c>
      <c r="N15" s="212">
        <f t="shared" si="4"/>
        <v>8</v>
      </c>
      <c r="O15" s="212">
        <f t="shared" si="5"/>
        <v>8.8000000000000007</v>
      </c>
      <c r="P15" s="212">
        <f t="shared" si="6"/>
        <v>36.666666666666671</v>
      </c>
      <c r="Q15" s="212">
        <f t="shared" si="7"/>
        <v>4</v>
      </c>
      <c r="R15" s="212">
        <f t="shared" si="8"/>
        <v>57.466666666666669</v>
      </c>
      <c r="S15" s="202" t="s">
        <v>716</v>
      </c>
      <c r="T15" s="203" t="s">
        <v>717</v>
      </c>
      <c r="U15" s="202">
        <v>76</v>
      </c>
      <c r="V15" s="202">
        <v>80</v>
      </c>
      <c r="W15" s="204">
        <v>43753</v>
      </c>
      <c r="X15" s="205">
        <v>43836</v>
      </c>
      <c r="Y15" s="205">
        <v>43861</v>
      </c>
      <c r="Z15" s="311">
        <f t="shared" si="0"/>
        <v>2020</v>
      </c>
      <c r="AA15" s="311">
        <f t="shared" si="1"/>
        <v>1</v>
      </c>
      <c r="AB15" s="211" t="s">
        <v>920</v>
      </c>
      <c r="AC15" s="211" t="s">
        <v>422</v>
      </c>
      <c r="AD15" s="211" t="s">
        <v>422</v>
      </c>
      <c r="AE15" s="211" t="s">
        <v>422</v>
      </c>
      <c r="AF15" s="211" t="s">
        <v>422</v>
      </c>
      <c r="AG15" s="211" t="s">
        <v>423</v>
      </c>
      <c r="AH15" s="211" t="s">
        <v>422</v>
      </c>
      <c r="AI15" s="211" t="s">
        <v>423</v>
      </c>
      <c r="AJ15" s="211" t="s">
        <v>423</v>
      </c>
      <c r="AK15" s="222" t="s">
        <v>140</v>
      </c>
      <c r="AL15" s="209"/>
      <c r="AM15" s="209"/>
    </row>
    <row r="16" spans="1:40" x14ac:dyDescent="0.3">
      <c r="A16" s="185">
        <v>30</v>
      </c>
      <c r="B16" s="212" t="s">
        <v>794</v>
      </c>
      <c r="C16" s="212" t="s">
        <v>1616</v>
      </c>
      <c r="D16" s="335" t="s">
        <v>1848</v>
      </c>
      <c r="E16" s="212"/>
      <c r="F16" s="212"/>
      <c r="G16" s="212" t="s">
        <v>1940</v>
      </c>
      <c r="H16" s="212" t="s">
        <v>1040</v>
      </c>
      <c r="I16" s="212">
        <v>2</v>
      </c>
      <c r="J16" s="212">
        <v>4.7</v>
      </c>
      <c r="K16" s="212">
        <v>6</v>
      </c>
      <c r="L16" s="212">
        <v>1</v>
      </c>
      <c r="M16" s="212">
        <f t="shared" si="3"/>
        <v>13.7</v>
      </c>
      <c r="N16" s="212">
        <f t="shared" si="4"/>
        <v>16</v>
      </c>
      <c r="O16" s="212">
        <f t="shared" si="5"/>
        <v>18.8</v>
      </c>
      <c r="P16" s="212">
        <f t="shared" si="6"/>
        <v>40</v>
      </c>
      <c r="Q16" s="212">
        <f t="shared" si="7"/>
        <v>8</v>
      </c>
      <c r="R16" s="212">
        <f t="shared" si="8"/>
        <v>82.8</v>
      </c>
      <c r="S16" s="202" t="s">
        <v>718</v>
      </c>
      <c r="T16" s="203" t="s">
        <v>719</v>
      </c>
      <c r="U16" s="202">
        <v>78</v>
      </c>
      <c r="V16" s="202">
        <v>80</v>
      </c>
      <c r="W16" s="204">
        <v>43753</v>
      </c>
      <c r="X16" s="205">
        <v>43836</v>
      </c>
      <c r="Y16" s="205">
        <v>43861</v>
      </c>
      <c r="Z16" s="311">
        <f t="shared" si="0"/>
        <v>2020</v>
      </c>
      <c r="AA16" s="311">
        <f t="shared" si="1"/>
        <v>1</v>
      </c>
      <c r="AB16" s="211" t="s">
        <v>920</v>
      </c>
      <c r="AC16" s="211" t="s">
        <v>422</v>
      </c>
      <c r="AD16" s="211" t="s">
        <v>422</v>
      </c>
      <c r="AE16" s="211" t="s">
        <v>422</v>
      </c>
      <c r="AF16" s="211" t="s">
        <v>422</v>
      </c>
      <c r="AG16" s="211" t="s">
        <v>423</v>
      </c>
      <c r="AH16" s="211" t="s">
        <v>422</v>
      </c>
      <c r="AI16" s="211" t="s">
        <v>423</v>
      </c>
      <c r="AJ16" s="211" t="s">
        <v>423</v>
      </c>
      <c r="AK16" s="222" t="s">
        <v>254</v>
      </c>
      <c r="AL16" s="209"/>
      <c r="AM16" s="209"/>
    </row>
    <row r="17" spans="1:39" x14ac:dyDescent="0.3">
      <c r="A17" s="185">
        <v>31</v>
      </c>
      <c r="B17" s="212" t="s">
        <v>795</v>
      </c>
      <c r="C17" s="212" t="s">
        <v>1616</v>
      </c>
      <c r="D17" s="335" t="s">
        <v>1848</v>
      </c>
      <c r="E17" s="212"/>
      <c r="F17" s="212" t="s">
        <v>1597</v>
      </c>
      <c r="G17" s="212" t="s">
        <v>1941</v>
      </c>
      <c r="H17" s="212"/>
      <c r="I17" s="212">
        <v>2</v>
      </c>
      <c r="J17" s="357">
        <v>9</v>
      </c>
      <c r="K17" s="212">
        <v>8.5</v>
      </c>
      <c r="L17" s="212">
        <v>1</v>
      </c>
      <c r="M17" s="212">
        <f t="shared" si="3"/>
        <v>20.5</v>
      </c>
      <c r="N17" s="212">
        <f t="shared" si="4"/>
        <v>16</v>
      </c>
      <c r="O17" s="212">
        <f t="shared" si="5"/>
        <v>36</v>
      </c>
      <c r="P17" s="212">
        <f t="shared" si="6"/>
        <v>56.666666666666671</v>
      </c>
      <c r="Q17" s="212">
        <f t="shared" si="7"/>
        <v>8</v>
      </c>
      <c r="R17" s="212">
        <f t="shared" si="8"/>
        <v>116.66666666666667</v>
      </c>
      <c r="S17" s="202" t="s">
        <v>720</v>
      </c>
      <c r="T17" s="203" t="s">
        <v>721</v>
      </c>
      <c r="U17" s="202">
        <v>102</v>
      </c>
      <c r="V17" s="202">
        <v>107</v>
      </c>
      <c r="W17" s="204">
        <v>43753</v>
      </c>
      <c r="X17" s="205">
        <v>43836</v>
      </c>
      <c r="Y17" s="205">
        <v>43861</v>
      </c>
      <c r="Z17" s="311">
        <f t="shared" si="0"/>
        <v>2020</v>
      </c>
      <c r="AA17" s="311">
        <f t="shared" si="1"/>
        <v>1</v>
      </c>
      <c r="AB17" s="211" t="s">
        <v>920</v>
      </c>
      <c r="AC17" s="211" t="s">
        <v>422</v>
      </c>
      <c r="AD17" s="211" t="s">
        <v>422</v>
      </c>
      <c r="AE17" s="207" t="s">
        <v>422</v>
      </c>
      <c r="AF17" s="207" t="s">
        <v>422</v>
      </c>
      <c r="AG17" s="346" t="s">
        <v>422</v>
      </c>
      <c r="AH17" s="211" t="s">
        <v>422</v>
      </c>
      <c r="AI17" s="211" t="s">
        <v>423</v>
      </c>
      <c r="AJ17" s="211" t="s">
        <v>423</v>
      </c>
      <c r="AK17" s="222" t="s">
        <v>140</v>
      </c>
      <c r="AL17" s="209"/>
      <c r="AM17" s="209"/>
    </row>
    <row r="18" spans="1:39" x14ac:dyDescent="0.3">
      <c r="A18" s="185">
        <v>32</v>
      </c>
      <c r="B18" s="212" t="s">
        <v>796</v>
      </c>
      <c r="C18" s="212" t="s">
        <v>1616</v>
      </c>
      <c r="D18" s="335" t="s">
        <v>1848</v>
      </c>
      <c r="E18" s="212"/>
      <c r="F18" s="212"/>
      <c r="G18" s="212" t="s">
        <v>1941</v>
      </c>
      <c r="H18" s="212" t="s">
        <v>1010</v>
      </c>
      <c r="I18" s="212">
        <v>2</v>
      </c>
      <c r="J18" s="212">
        <v>9</v>
      </c>
      <c r="K18" s="212">
        <v>8.5</v>
      </c>
      <c r="L18" s="212">
        <v>1</v>
      </c>
      <c r="M18" s="212">
        <f t="shared" si="3"/>
        <v>20.5</v>
      </c>
      <c r="N18" s="212">
        <f t="shared" si="4"/>
        <v>16</v>
      </c>
      <c r="O18" s="212">
        <f t="shared" si="5"/>
        <v>36</v>
      </c>
      <c r="P18" s="212">
        <f t="shared" si="6"/>
        <v>56.666666666666671</v>
      </c>
      <c r="Q18" s="212">
        <f t="shared" si="7"/>
        <v>8</v>
      </c>
      <c r="R18" s="212">
        <f t="shared" si="8"/>
        <v>116.66666666666667</v>
      </c>
      <c r="S18" s="202" t="s">
        <v>722</v>
      </c>
      <c r="T18" s="203" t="s">
        <v>741</v>
      </c>
      <c r="U18" s="202">
        <v>40</v>
      </c>
      <c r="V18" s="202">
        <v>45</v>
      </c>
      <c r="W18" s="204">
        <v>43753</v>
      </c>
      <c r="X18" s="205">
        <v>43836</v>
      </c>
      <c r="Y18" s="205">
        <v>43861</v>
      </c>
      <c r="Z18" s="311">
        <f t="shared" si="0"/>
        <v>2020</v>
      </c>
      <c r="AA18" s="311">
        <f t="shared" si="1"/>
        <v>1</v>
      </c>
      <c r="AB18" s="211" t="s">
        <v>920</v>
      </c>
      <c r="AC18" s="211" t="s">
        <v>422</v>
      </c>
      <c r="AD18" s="211" t="s">
        <v>422</v>
      </c>
      <c r="AE18" s="211" t="s">
        <v>422</v>
      </c>
      <c r="AF18" s="211" t="s">
        <v>422</v>
      </c>
      <c r="AG18" s="217" t="s">
        <v>422</v>
      </c>
      <c r="AH18" s="211" t="s">
        <v>422</v>
      </c>
      <c r="AI18" s="211" t="s">
        <v>423</v>
      </c>
      <c r="AJ18" s="211" t="s">
        <v>423</v>
      </c>
      <c r="AK18" s="222" t="s">
        <v>140</v>
      </c>
      <c r="AL18" s="209"/>
      <c r="AM18" s="209"/>
    </row>
    <row r="19" spans="1:39" x14ac:dyDescent="0.3">
      <c r="A19" s="185">
        <v>33</v>
      </c>
      <c r="B19" s="212" t="s">
        <v>797</v>
      </c>
      <c r="C19" s="212" t="s">
        <v>1616</v>
      </c>
      <c r="D19" s="335" t="s">
        <v>1848</v>
      </c>
      <c r="E19" s="212"/>
      <c r="F19" s="212"/>
      <c r="G19" s="212" t="s">
        <v>1941</v>
      </c>
      <c r="H19" s="212" t="s">
        <v>1010</v>
      </c>
      <c r="I19" s="212">
        <v>2</v>
      </c>
      <c r="J19" s="212">
        <v>9</v>
      </c>
      <c r="K19" s="212">
        <v>8.5</v>
      </c>
      <c r="L19" s="212">
        <v>1</v>
      </c>
      <c r="M19" s="212">
        <f t="shared" si="3"/>
        <v>20.5</v>
      </c>
      <c r="N19" s="212">
        <f t="shared" si="4"/>
        <v>16</v>
      </c>
      <c r="O19" s="212">
        <f t="shared" si="5"/>
        <v>36</v>
      </c>
      <c r="P19" s="212">
        <f t="shared" si="6"/>
        <v>56.666666666666671</v>
      </c>
      <c r="Q19" s="212">
        <f t="shared" si="7"/>
        <v>8</v>
      </c>
      <c r="R19" s="212">
        <f t="shared" si="8"/>
        <v>116.66666666666667</v>
      </c>
      <c r="S19" s="202" t="s">
        <v>723</v>
      </c>
      <c r="T19" s="203" t="s">
        <v>724</v>
      </c>
      <c r="U19" s="202">
        <v>46</v>
      </c>
      <c r="V19" s="202">
        <v>51</v>
      </c>
      <c r="W19" s="204">
        <v>43753</v>
      </c>
      <c r="X19" s="205">
        <v>43836</v>
      </c>
      <c r="Y19" s="205">
        <v>43861</v>
      </c>
      <c r="Z19" s="311">
        <f t="shared" si="0"/>
        <v>2020</v>
      </c>
      <c r="AA19" s="311">
        <f t="shared" si="1"/>
        <v>1</v>
      </c>
      <c r="AB19" s="211" t="s">
        <v>920</v>
      </c>
      <c r="AC19" s="211" t="s">
        <v>422</v>
      </c>
      <c r="AD19" s="211" t="s">
        <v>422</v>
      </c>
      <c r="AE19" s="211" t="s">
        <v>422</v>
      </c>
      <c r="AF19" s="211" t="s">
        <v>422</v>
      </c>
      <c r="AG19" s="217" t="s">
        <v>422</v>
      </c>
      <c r="AH19" s="211" t="s">
        <v>422</v>
      </c>
      <c r="AI19" s="211" t="s">
        <v>423</v>
      </c>
      <c r="AJ19" s="211" t="s">
        <v>423</v>
      </c>
      <c r="AK19" s="222" t="s">
        <v>140</v>
      </c>
      <c r="AL19" s="209"/>
      <c r="AM19" s="209"/>
    </row>
    <row r="20" spans="1:39" x14ac:dyDescent="0.3">
      <c r="A20" s="185">
        <v>34</v>
      </c>
      <c r="B20" s="212" t="s">
        <v>798</v>
      </c>
      <c r="C20" s="212" t="s">
        <v>1616</v>
      </c>
      <c r="D20" s="335" t="s">
        <v>1848</v>
      </c>
      <c r="E20" s="212"/>
      <c r="F20" s="212"/>
      <c r="G20" s="212" t="s">
        <v>1941</v>
      </c>
      <c r="H20" s="212"/>
      <c r="I20" s="212">
        <v>2</v>
      </c>
      <c r="J20" s="357">
        <v>9</v>
      </c>
      <c r="K20" s="212">
        <v>8.5</v>
      </c>
      <c r="L20" s="212">
        <v>1</v>
      </c>
      <c r="M20" s="212">
        <f t="shared" si="3"/>
        <v>20.5</v>
      </c>
      <c r="N20" s="212">
        <f t="shared" si="4"/>
        <v>16</v>
      </c>
      <c r="O20" s="212">
        <f t="shared" si="5"/>
        <v>36</v>
      </c>
      <c r="P20" s="212">
        <f t="shared" si="6"/>
        <v>56.666666666666671</v>
      </c>
      <c r="Q20" s="212">
        <f t="shared" si="7"/>
        <v>8</v>
      </c>
      <c r="R20" s="212">
        <f t="shared" si="8"/>
        <v>116.66666666666667</v>
      </c>
      <c r="S20" s="202" t="s">
        <v>725</v>
      </c>
      <c r="T20" s="203" t="s">
        <v>726</v>
      </c>
      <c r="U20" s="202">
        <v>68</v>
      </c>
      <c r="V20" s="202">
        <v>73</v>
      </c>
      <c r="W20" s="204">
        <v>43753</v>
      </c>
      <c r="X20" s="205">
        <v>43836</v>
      </c>
      <c r="Y20" s="205">
        <v>43861</v>
      </c>
      <c r="Z20" s="311">
        <f t="shared" si="0"/>
        <v>2020</v>
      </c>
      <c r="AA20" s="311">
        <f t="shared" si="1"/>
        <v>1</v>
      </c>
      <c r="AB20" s="211" t="s">
        <v>920</v>
      </c>
      <c r="AC20" s="211" t="s">
        <v>422</v>
      </c>
      <c r="AD20" s="211" t="s">
        <v>422</v>
      </c>
      <c r="AE20" s="211" t="s">
        <v>422</v>
      </c>
      <c r="AF20" s="211" t="s">
        <v>422</v>
      </c>
      <c r="AG20" s="217" t="s">
        <v>422</v>
      </c>
      <c r="AH20" s="211" t="s">
        <v>422</v>
      </c>
      <c r="AI20" s="211" t="s">
        <v>423</v>
      </c>
      <c r="AJ20" s="211" t="s">
        <v>423</v>
      </c>
      <c r="AK20" s="222" t="s">
        <v>140</v>
      </c>
      <c r="AL20" s="209"/>
      <c r="AM20" s="209"/>
    </row>
    <row r="21" spans="1:39" x14ac:dyDescent="0.3">
      <c r="A21" s="185">
        <v>35</v>
      </c>
      <c r="B21" s="212" t="s">
        <v>799</v>
      </c>
      <c r="C21" s="212" t="s">
        <v>1616</v>
      </c>
      <c r="D21" s="335" t="s">
        <v>1848</v>
      </c>
      <c r="E21" s="212"/>
      <c r="F21" s="212" t="s">
        <v>1597</v>
      </c>
      <c r="G21" s="212" t="s">
        <v>1941</v>
      </c>
      <c r="H21" s="212"/>
      <c r="I21" s="212">
        <v>2</v>
      </c>
      <c r="J21" s="357">
        <v>9</v>
      </c>
      <c r="K21" s="212">
        <v>8.5</v>
      </c>
      <c r="L21" s="212">
        <v>1</v>
      </c>
      <c r="M21" s="212">
        <f t="shared" si="3"/>
        <v>20.5</v>
      </c>
      <c r="N21" s="212">
        <f t="shared" si="4"/>
        <v>16</v>
      </c>
      <c r="O21" s="212">
        <f t="shared" si="5"/>
        <v>36</v>
      </c>
      <c r="P21" s="212">
        <f t="shared" si="6"/>
        <v>56.666666666666671</v>
      </c>
      <c r="Q21" s="212">
        <f t="shared" si="7"/>
        <v>8</v>
      </c>
      <c r="R21" s="212">
        <f t="shared" si="8"/>
        <v>116.66666666666667</v>
      </c>
      <c r="S21" s="202" t="s">
        <v>727</v>
      </c>
      <c r="T21" s="203" t="s">
        <v>728</v>
      </c>
      <c r="U21" s="202">
        <v>38</v>
      </c>
      <c r="V21" s="202">
        <v>43</v>
      </c>
      <c r="W21" s="204">
        <v>43753</v>
      </c>
      <c r="X21" s="205">
        <v>43836</v>
      </c>
      <c r="Y21" s="205">
        <v>43861</v>
      </c>
      <c r="Z21" s="311">
        <f t="shared" si="0"/>
        <v>2020</v>
      </c>
      <c r="AA21" s="311">
        <f t="shared" si="1"/>
        <v>1</v>
      </c>
      <c r="AB21" s="211" t="s">
        <v>920</v>
      </c>
      <c r="AC21" s="211" t="s">
        <v>422</v>
      </c>
      <c r="AD21" s="211" t="s">
        <v>422</v>
      </c>
      <c r="AE21" s="211" t="s">
        <v>422</v>
      </c>
      <c r="AF21" s="211" t="s">
        <v>422</v>
      </c>
      <c r="AG21" s="217" t="s">
        <v>422</v>
      </c>
      <c r="AH21" s="211" t="s">
        <v>422</v>
      </c>
      <c r="AI21" s="211" t="s">
        <v>423</v>
      </c>
      <c r="AJ21" s="211" t="s">
        <v>423</v>
      </c>
      <c r="AK21" s="222" t="s">
        <v>108</v>
      </c>
      <c r="AL21" s="209"/>
      <c r="AM21" s="209"/>
    </row>
    <row r="22" spans="1:39" x14ac:dyDescent="0.3">
      <c r="A22" s="185">
        <v>36</v>
      </c>
      <c r="B22" s="212" t="s">
        <v>800</v>
      </c>
      <c r="C22" s="212" t="s">
        <v>1616</v>
      </c>
      <c r="D22" s="335" t="s">
        <v>1848</v>
      </c>
      <c r="E22" s="212"/>
      <c r="F22" s="212"/>
      <c r="G22" s="212" t="s">
        <v>1941</v>
      </c>
      <c r="H22" s="212" t="s">
        <v>1010</v>
      </c>
      <c r="I22" s="212">
        <v>2</v>
      </c>
      <c r="J22" s="212">
        <v>7</v>
      </c>
      <c r="K22" s="212">
        <v>8.5</v>
      </c>
      <c r="L22" s="212">
        <v>1</v>
      </c>
      <c r="M22" s="212">
        <f t="shared" si="3"/>
        <v>18.5</v>
      </c>
      <c r="N22" s="212">
        <f t="shared" si="4"/>
        <v>16</v>
      </c>
      <c r="O22" s="212">
        <f t="shared" si="5"/>
        <v>28</v>
      </c>
      <c r="P22" s="212">
        <f t="shared" si="6"/>
        <v>56.666666666666671</v>
      </c>
      <c r="Q22" s="212">
        <f t="shared" si="7"/>
        <v>8</v>
      </c>
      <c r="R22" s="212">
        <f t="shared" si="8"/>
        <v>108.66666666666667</v>
      </c>
      <c r="S22" s="202" t="s">
        <v>729</v>
      </c>
      <c r="T22" s="203" t="s">
        <v>730</v>
      </c>
      <c r="U22" s="202">
        <v>88</v>
      </c>
      <c r="V22" s="202">
        <v>92</v>
      </c>
      <c r="W22" s="204">
        <v>43753</v>
      </c>
      <c r="X22" s="205">
        <v>43836</v>
      </c>
      <c r="Y22" s="205">
        <v>43861</v>
      </c>
      <c r="Z22" s="311">
        <f t="shared" si="0"/>
        <v>2020</v>
      </c>
      <c r="AA22" s="311">
        <f t="shared" si="1"/>
        <v>1</v>
      </c>
      <c r="AB22" s="211" t="s">
        <v>920</v>
      </c>
      <c r="AC22" s="211" t="s">
        <v>422</v>
      </c>
      <c r="AD22" s="211" t="s">
        <v>422</v>
      </c>
      <c r="AE22" s="211" t="s">
        <v>422</v>
      </c>
      <c r="AF22" s="211" t="s">
        <v>422</v>
      </c>
      <c r="AG22" s="217" t="s">
        <v>422</v>
      </c>
      <c r="AH22" s="211" t="s">
        <v>422</v>
      </c>
      <c r="AI22" s="211" t="s">
        <v>423</v>
      </c>
      <c r="AJ22" s="211" t="s">
        <v>423</v>
      </c>
      <c r="AK22" s="222" t="s">
        <v>140</v>
      </c>
      <c r="AL22" s="209"/>
      <c r="AM22" s="209"/>
    </row>
    <row r="23" spans="1:39" x14ac:dyDescent="0.3">
      <c r="A23" s="185">
        <v>37</v>
      </c>
      <c r="B23" s="212" t="s">
        <v>801</v>
      </c>
      <c r="C23" s="212" t="s">
        <v>1616</v>
      </c>
      <c r="D23" s="201" t="s">
        <v>1848</v>
      </c>
      <c r="E23" s="212"/>
      <c r="F23" s="212"/>
      <c r="G23" s="212" t="s">
        <v>1941</v>
      </c>
      <c r="H23" s="212" t="s">
        <v>1040</v>
      </c>
      <c r="I23" s="212">
        <v>1</v>
      </c>
      <c r="J23" s="212">
        <v>2</v>
      </c>
      <c r="K23" s="212">
        <v>3.5</v>
      </c>
      <c r="L23" s="212">
        <v>0.5</v>
      </c>
      <c r="M23" s="212">
        <f t="shared" si="3"/>
        <v>7</v>
      </c>
      <c r="N23" s="212">
        <f t="shared" si="4"/>
        <v>8</v>
      </c>
      <c r="O23" s="212">
        <f t="shared" si="5"/>
        <v>8</v>
      </c>
      <c r="P23" s="212">
        <f t="shared" si="6"/>
        <v>23.333333333333336</v>
      </c>
      <c r="Q23" s="212">
        <f t="shared" si="7"/>
        <v>4</v>
      </c>
      <c r="R23" s="212">
        <f t="shared" si="8"/>
        <v>43.333333333333336</v>
      </c>
      <c r="S23" s="202" t="s">
        <v>731</v>
      </c>
      <c r="T23" s="203" t="s">
        <v>738</v>
      </c>
      <c r="U23" s="202">
        <v>24</v>
      </c>
      <c r="V23" s="202">
        <v>26</v>
      </c>
      <c r="W23" s="204">
        <v>43753</v>
      </c>
      <c r="X23" s="205">
        <v>43836</v>
      </c>
      <c r="Y23" s="205">
        <v>43861</v>
      </c>
      <c r="Z23" s="311">
        <f t="shared" si="0"/>
        <v>2020</v>
      </c>
      <c r="AA23" s="311">
        <f t="shared" si="1"/>
        <v>1</v>
      </c>
      <c r="AB23" s="211" t="s">
        <v>920</v>
      </c>
      <c r="AC23" s="211" t="s">
        <v>422</v>
      </c>
      <c r="AD23" s="211" t="s">
        <v>422</v>
      </c>
      <c r="AE23" s="211" t="s">
        <v>422</v>
      </c>
      <c r="AF23" s="211" t="s">
        <v>422</v>
      </c>
      <c r="AG23" s="211" t="s">
        <v>423</v>
      </c>
      <c r="AH23" s="211" t="s">
        <v>422</v>
      </c>
      <c r="AI23" s="211" t="s">
        <v>423</v>
      </c>
      <c r="AJ23" s="211" t="s">
        <v>423</v>
      </c>
      <c r="AK23" s="222" t="s">
        <v>254</v>
      </c>
      <c r="AL23" s="209"/>
      <c r="AM23" s="209"/>
    </row>
    <row r="24" spans="1:39" x14ac:dyDescent="0.3">
      <c r="A24" s="185">
        <v>38</v>
      </c>
      <c r="B24" s="212" t="s">
        <v>802</v>
      </c>
      <c r="C24" s="212" t="s">
        <v>1616</v>
      </c>
      <c r="D24" s="201" t="s">
        <v>1848</v>
      </c>
      <c r="E24" s="212"/>
      <c r="F24" s="212"/>
      <c r="G24" s="212" t="s">
        <v>1941</v>
      </c>
      <c r="H24" s="212" t="s">
        <v>1010</v>
      </c>
      <c r="I24" s="212">
        <v>1</v>
      </c>
      <c r="J24" s="212">
        <v>2.2000000000000002</v>
      </c>
      <c r="K24" s="212">
        <v>5.5</v>
      </c>
      <c r="L24" s="212">
        <v>0.5</v>
      </c>
      <c r="M24" s="212">
        <f t="shared" si="3"/>
        <v>9.1999999999999993</v>
      </c>
      <c r="N24" s="212">
        <f t="shared" si="4"/>
        <v>8</v>
      </c>
      <c r="O24" s="212">
        <f t="shared" si="5"/>
        <v>8.8000000000000007</v>
      </c>
      <c r="P24" s="212">
        <f t="shared" si="6"/>
        <v>36.666666666666671</v>
      </c>
      <c r="Q24" s="212">
        <f t="shared" si="7"/>
        <v>4</v>
      </c>
      <c r="R24" s="212">
        <f t="shared" si="8"/>
        <v>57.466666666666669</v>
      </c>
      <c r="S24" s="202" t="s">
        <v>732</v>
      </c>
      <c r="T24" s="203" t="s">
        <v>733</v>
      </c>
      <c r="U24" s="202">
        <v>54</v>
      </c>
      <c r="V24" s="202">
        <v>58</v>
      </c>
      <c r="W24" s="204">
        <v>43753</v>
      </c>
      <c r="X24" s="205">
        <v>43836</v>
      </c>
      <c r="Y24" s="205">
        <v>43861</v>
      </c>
      <c r="Z24" s="311">
        <f t="shared" si="0"/>
        <v>2020</v>
      </c>
      <c r="AA24" s="311">
        <f t="shared" si="1"/>
        <v>1</v>
      </c>
      <c r="AB24" s="211" t="s">
        <v>920</v>
      </c>
      <c r="AC24" s="211" t="s">
        <v>422</v>
      </c>
      <c r="AD24" s="211" t="s">
        <v>422</v>
      </c>
      <c r="AE24" s="211" t="s">
        <v>422</v>
      </c>
      <c r="AF24" s="211" t="s">
        <v>422</v>
      </c>
      <c r="AG24" s="211" t="s">
        <v>423</v>
      </c>
      <c r="AH24" s="211" t="s">
        <v>422</v>
      </c>
      <c r="AI24" s="211" t="s">
        <v>423</v>
      </c>
      <c r="AJ24" s="211" t="s">
        <v>423</v>
      </c>
      <c r="AK24" s="222" t="s">
        <v>140</v>
      </c>
      <c r="AL24" s="209"/>
      <c r="AM24" s="209"/>
    </row>
    <row r="25" spans="1:39" x14ac:dyDescent="0.3">
      <c r="A25" s="185">
        <v>39</v>
      </c>
      <c r="B25" s="212" t="s">
        <v>803</v>
      </c>
      <c r="C25" s="212" t="s">
        <v>1616</v>
      </c>
      <c r="D25" s="201" t="s">
        <v>1848</v>
      </c>
      <c r="E25" s="212"/>
      <c r="F25" s="212"/>
      <c r="G25" s="212" t="s">
        <v>1941</v>
      </c>
      <c r="H25" s="212" t="s">
        <v>1040</v>
      </c>
      <c r="I25" s="212">
        <v>2</v>
      </c>
      <c r="J25" s="212">
        <v>4.7</v>
      </c>
      <c r="K25" s="212">
        <v>6</v>
      </c>
      <c r="L25" s="212">
        <v>1</v>
      </c>
      <c r="M25" s="212">
        <f t="shared" si="3"/>
        <v>13.7</v>
      </c>
      <c r="N25" s="212">
        <f t="shared" si="4"/>
        <v>16</v>
      </c>
      <c r="O25" s="212">
        <f t="shared" si="5"/>
        <v>18.8</v>
      </c>
      <c r="P25" s="212">
        <f t="shared" si="6"/>
        <v>40</v>
      </c>
      <c r="Q25" s="212">
        <f t="shared" si="7"/>
        <v>8</v>
      </c>
      <c r="R25" s="212">
        <f t="shared" si="8"/>
        <v>82.8</v>
      </c>
      <c r="S25" s="202" t="s">
        <v>734</v>
      </c>
      <c r="T25" s="203" t="s">
        <v>735</v>
      </c>
      <c r="U25" s="202">
        <v>22</v>
      </c>
      <c r="V25" s="202">
        <v>24</v>
      </c>
      <c r="W25" s="204">
        <v>43753</v>
      </c>
      <c r="X25" s="205">
        <v>43836</v>
      </c>
      <c r="Y25" s="205">
        <v>43861</v>
      </c>
      <c r="Z25" s="311">
        <f t="shared" si="0"/>
        <v>2020</v>
      </c>
      <c r="AA25" s="311">
        <f t="shared" si="1"/>
        <v>1</v>
      </c>
      <c r="AB25" s="211" t="s">
        <v>920</v>
      </c>
      <c r="AC25" s="211" t="s">
        <v>422</v>
      </c>
      <c r="AD25" s="211" t="s">
        <v>422</v>
      </c>
      <c r="AE25" s="211" t="s">
        <v>422</v>
      </c>
      <c r="AF25" s="211" t="s">
        <v>422</v>
      </c>
      <c r="AG25" s="211" t="s">
        <v>423</v>
      </c>
      <c r="AH25" s="211" t="s">
        <v>422</v>
      </c>
      <c r="AI25" s="211" t="s">
        <v>423</v>
      </c>
      <c r="AJ25" s="211" t="s">
        <v>423</v>
      </c>
      <c r="AK25" s="222" t="s">
        <v>254</v>
      </c>
      <c r="AL25" s="209"/>
      <c r="AM25" s="209"/>
    </row>
    <row r="26" spans="1:39" x14ac:dyDescent="0.3">
      <c r="A26" s="185">
        <v>40</v>
      </c>
      <c r="B26" s="212" t="s">
        <v>804</v>
      </c>
      <c r="C26" s="212" t="s">
        <v>1616</v>
      </c>
      <c r="D26" s="201" t="s">
        <v>1848</v>
      </c>
      <c r="E26" s="212"/>
      <c r="F26" s="212" t="s">
        <v>1597</v>
      </c>
      <c r="G26" s="212" t="s">
        <v>1940</v>
      </c>
      <c r="H26" s="212"/>
      <c r="I26" s="212">
        <v>1</v>
      </c>
      <c r="J26" s="357">
        <v>4.5</v>
      </c>
      <c r="K26" s="212">
        <v>5.5</v>
      </c>
      <c r="L26" s="212">
        <v>0.8</v>
      </c>
      <c r="M26" s="212">
        <f t="shared" si="3"/>
        <v>11.8</v>
      </c>
      <c r="N26" s="212">
        <f t="shared" si="4"/>
        <v>8</v>
      </c>
      <c r="O26" s="212">
        <f t="shared" si="5"/>
        <v>18</v>
      </c>
      <c r="P26" s="212">
        <f t="shared" si="6"/>
        <v>36.666666666666671</v>
      </c>
      <c r="Q26" s="212">
        <f t="shared" si="7"/>
        <v>6.4</v>
      </c>
      <c r="R26" s="212">
        <f t="shared" si="8"/>
        <v>69.066666666666677</v>
      </c>
      <c r="S26" s="202" t="s">
        <v>736</v>
      </c>
      <c r="T26" s="203" t="s">
        <v>737</v>
      </c>
      <c r="U26" s="202">
        <v>40</v>
      </c>
      <c r="V26" s="202">
        <v>44</v>
      </c>
      <c r="W26" s="204">
        <v>43753</v>
      </c>
      <c r="X26" s="205">
        <v>43836</v>
      </c>
      <c r="Y26" s="205">
        <v>43861</v>
      </c>
      <c r="Z26" s="311">
        <f t="shared" si="0"/>
        <v>2020</v>
      </c>
      <c r="AA26" s="311">
        <f t="shared" si="1"/>
        <v>1</v>
      </c>
      <c r="AB26" s="211" t="s">
        <v>920</v>
      </c>
      <c r="AC26" s="211" t="s">
        <v>422</v>
      </c>
      <c r="AD26" s="211" t="s">
        <v>422</v>
      </c>
      <c r="AE26" s="211" t="s">
        <v>422</v>
      </c>
      <c r="AF26" s="211" t="s">
        <v>422</v>
      </c>
      <c r="AG26" s="211" t="s">
        <v>423</v>
      </c>
      <c r="AH26" s="211" t="s">
        <v>422</v>
      </c>
      <c r="AI26" s="211" t="s">
        <v>423</v>
      </c>
      <c r="AJ26" s="211" t="s">
        <v>423</v>
      </c>
      <c r="AK26" s="222" t="s">
        <v>108</v>
      </c>
      <c r="AL26" s="209"/>
      <c r="AM26" s="209"/>
    </row>
    <row r="27" spans="1:39" x14ac:dyDescent="0.3">
      <c r="A27" s="188">
        <v>1</v>
      </c>
      <c r="B27" s="201" t="s">
        <v>739</v>
      </c>
      <c r="C27" s="247" t="s">
        <v>1615</v>
      </c>
      <c r="D27" s="199" t="s">
        <v>1881</v>
      </c>
      <c r="E27" s="201"/>
      <c r="F27" s="201"/>
      <c r="G27" s="259" t="s">
        <v>1604</v>
      </c>
      <c r="H27" s="201" t="s">
        <v>1428</v>
      </c>
      <c r="I27" s="201">
        <v>2</v>
      </c>
      <c r="J27" s="201">
        <v>10.5</v>
      </c>
      <c r="K27" s="212">
        <v>0</v>
      </c>
      <c r="L27" s="212">
        <v>1.5</v>
      </c>
      <c r="M27" s="212">
        <f t="shared" si="3"/>
        <v>14</v>
      </c>
      <c r="N27" s="212">
        <f t="shared" si="4"/>
        <v>16</v>
      </c>
      <c r="O27" s="212">
        <f t="shared" si="5"/>
        <v>42</v>
      </c>
      <c r="P27" s="212">
        <f t="shared" si="6"/>
        <v>0</v>
      </c>
      <c r="Q27" s="212">
        <f t="shared" si="7"/>
        <v>12</v>
      </c>
      <c r="R27" s="212">
        <f t="shared" si="8"/>
        <v>70</v>
      </c>
      <c r="S27" s="202" t="s">
        <v>558</v>
      </c>
      <c r="T27" s="203" t="s">
        <v>271</v>
      </c>
      <c r="U27" s="202">
        <v>50</v>
      </c>
      <c r="V27" s="202">
        <v>52</v>
      </c>
      <c r="W27" s="204">
        <v>43692</v>
      </c>
      <c r="X27" s="205">
        <v>43753</v>
      </c>
      <c r="Y27" s="205">
        <v>43874</v>
      </c>
      <c r="Z27" s="311">
        <f t="shared" si="0"/>
        <v>2020</v>
      </c>
      <c r="AA27" s="311">
        <f t="shared" si="1"/>
        <v>2</v>
      </c>
      <c r="AB27" s="206" t="s">
        <v>920</v>
      </c>
      <c r="AC27" s="208" t="s">
        <v>422</v>
      </c>
      <c r="AD27" s="211" t="s">
        <v>422</v>
      </c>
      <c r="AE27" s="211" t="s">
        <v>422</v>
      </c>
      <c r="AF27" s="211" t="s">
        <v>422</v>
      </c>
      <c r="AG27" s="211" t="s">
        <v>422</v>
      </c>
      <c r="AH27" s="211" t="s">
        <v>423</v>
      </c>
      <c r="AI27" s="211" t="s">
        <v>422</v>
      </c>
      <c r="AJ27" s="211" t="s">
        <v>423</v>
      </c>
      <c r="AK27" s="208" t="s">
        <v>138</v>
      </c>
      <c r="AL27" s="209"/>
      <c r="AM27" s="209"/>
    </row>
    <row r="28" spans="1:39" x14ac:dyDescent="0.3">
      <c r="A28" s="185">
        <v>2</v>
      </c>
      <c r="B28" s="201" t="s">
        <v>740</v>
      </c>
      <c r="C28" s="247" t="s">
        <v>1615</v>
      </c>
      <c r="D28" s="199" t="s">
        <v>1881</v>
      </c>
      <c r="E28" s="201"/>
      <c r="F28" s="201"/>
      <c r="G28" s="259" t="s">
        <v>1604</v>
      </c>
      <c r="H28" s="201" t="s">
        <v>1428</v>
      </c>
      <c r="I28" s="201">
        <v>2</v>
      </c>
      <c r="J28" s="201">
        <v>11</v>
      </c>
      <c r="K28" s="212">
        <v>0</v>
      </c>
      <c r="L28" s="212">
        <v>1.5</v>
      </c>
      <c r="M28" s="212">
        <f t="shared" si="3"/>
        <v>14.5</v>
      </c>
      <c r="N28" s="212">
        <f t="shared" si="4"/>
        <v>16</v>
      </c>
      <c r="O28" s="212">
        <f t="shared" si="5"/>
        <v>44</v>
      </c>
      <c r="P28" s="212">
        <f t="shared" si="6"/>
        <v>0</v>
      </c>
      <c r="Q28" s="212">
        <f t="shared" si="7"/>
        <v>12</v>
      </c>
      <c r="R28" s="212">
        <f t="shared" si="8"/>
        <v>72</v>
      </c>
      <c r="S28" s="202" t="s">
        <v>559</v>
      </c>
      <c r="T28" s="203" t="s">
        <v>270</v>
      </c>
      <c r="U28" s="202">
        <v>44</v>
      </c>
      <c r="V28" s="202">
        <v>46</v>
      </c>
      <c r="W28" s="204">
        <v>43692</v>
      </c>
      <c r="X28" s="205">
        <v>43753</v>
      </c>
      <c r="Y28" s="205">
        <v>43874</v>
      </c>
      <c r="Z28" s="311">
        <f t="shared" si="0"/>
        <v>2020</v>
      </c>
      <c r="AA28" s="311">
        <f t="shared" si="1"/>
        <v>2</v>
      </c>
      <c r="AB28" s="206" t="s">
        <v>920</v>
      </c>
      <c r="AC28" s="208" t="s">
        <v>422</v>
      </c>
      <c r="AD28" s="211" t="s">
        <v>422</v>
      </c>
      <c r="AE28" s="211" t="s">
        <v>422</v>
      </c>
      <c r="AF28" s="211" t="s">
        <v>422</v>
      </c>
      <c r="AG28" s="211" t="s">
        <v>422</v>
      </c>
      <c r="AH28" s="211" t="s">
        <v>423</v>
      </c>
      <c r="AI28" s="211" t="s">
        <v>422</v>
      </c>
      <c r="AJ28" s="211" t="s">
        <v>423</v>
      </c>
      <c r="AK28" s="208" t="s">
        <v>138</v>
      </c>
      <c r="AL28" s="209"/>
      <c r="AM28" s="209"/>
    </row>
    <row r="29" spans="1:39" x14ac:dyDescent="0.3">
      <c r="A29" s="185">
        <v>3</v>
      </c>
      <c r="B29" s="201" t="s">
        <v>742</v>
      </c>
      <c r="C29" s="247" t="s">
        <v>1615</v>
      </c>
      <c r="D29" s="199" t="s">
        <v>1881</v>
      </c>
      <c r="E29" s="201"/>
      <c r="F29" s="201"/>
      <c r="G29" s="259" t="s">
        <v>1604</v>
      </c>
      <c r="H29" s="201"/>
      <c r="I29" s="201">
        <v>3</v>
      </c>
      <c r="J29" s="357">
        <v>13.5</v>
      </c>
      <c r="K29" s="212">
        <v>0</v>
      </c>
      <c r="L29" s="212">
        <v>1.5</v>
      </c>
      <c r="M29" s="212">
        <f t="shared" si="3"/>
        <v>18</v>
      </c>
      <c r="N29" s="212">
        <f t="shared" si="4"/>
        <v>24</v>
      </c>
      <c r="O29" s="212">
        <f t="shared" si="5"/>
        <v>54</v>
      </c>
      <c r="P29" s="212">
        <f t="shared" si="6"/>
        <v>0</v>
      </c>
      <c r="Q29" s="212">
        <f t="shared" si="7"/>
        <v>12</v>
      </c>
      <c r="R29" s="212">
        <f t="shared" si="8"/>
        <v>90</v>
      </c>
      <c r="S29" s="202" t="s">
        <v>773</v>
      </c>
      <c r="T29" s="203" t="s">
        <v>743</v>
      </c>
      <c r="U29" s="202">
        <v>62</v>
      </c>
      <c r="V29" s="202">
        <v>66</v>
      </c>
      <c r="W29" s="204">
        <v>43713</v>
      </c>
      <c r="X29" s="205">
        <v>43831</v>
      </c>
      <c r="Y29" s="205">
        <v>43874</v>
      </c>
      <c r="Z29" s="311">
        <f t="shared" si="0"/>
        <v>2020</v>
      </c>
      <c r="AA29" s="311">
        <f t="shared" si="1"/>
        <v>2</v>
      </c>
      <c r="AB29" s="206" t="s">
        <v>920</v>
      </c>
      <c r="AC29" s="208" t="s">
        <v>422</v>
      </c>
      <c r="AD29" s="208" t="s">
        <v>422</v>
      </c>
      <c r="AE29" s="208" t="s">
        <v>422</v>
      </c>
      <c r="AF29" s="211" t="s">
        <v>422</v>
      </c>
      <c r="AG29" s="211" t="s">
        <v>422</v>
      </c>
      <c r="AH29" s="208" t="s">
        <v>423</v>
      </c>
      <c r="AI29" s="208" t="s">
        <v>422</v>
      </c>
      <c r="AJ29" s="208" t="s">
        <v>423</v>
      </c>
      <c r="AK29" s="208" t="s">
        <v>696</v>
      </c>
      <c r="AL29" s="209"/>
      <c r="AM29" s="209"/>
    </row>
    <row r="30" spans="1:39" x14ac:dyDescent="0.3">
      <c r="A30" s="185">
        <v>4</v>
      </c>
      <c r="B30" s="201" t="s">
        <v>744</v>
      </c>
      <c r="C30" s="247" t="s">
        <v>1615</v>
      </c>
      <c r="D30" s="199" t="s">
        <v>1881</v>
      </c>
      <c r="E30" s="201"/>
      <c r="F30" s="201"/>
      <c r="G30" s="259" t="s">
        <v>1604</v>
      </c>
      <c r="H30" s="201" t="s">
        <v>1010</v>
      </c>
      <c r="I30" s="201">
        <v>3</v>
      </c>
      <c r="J30" s="201">
        <v>7</v>
      </c>
      <c r="K30" s="212">
        <v>0</v>
      </c>
      <c r="L30" s="212">
        <v>1.5</v>
      </c>
      <c r="M30" s="212">
        <f t="shared" si="3"/>
        <v>11.5</v>
      </c>
      <c r="N30" s="212">
        <f t="shared" si="4"/>
        <v>24</v>
      </c>
      <c r="O30" s="212">
        <f t="shared" si="5"/>
        <v>28</v>
      </c>
      <c r="P30" s="212">
        <f t="shared" si="6"/>
        <v>0</v>
      </c>
      <c r="Q30" s="212">
        <f t="shared" si="7"/>
        <v>12</v>
      </c>
      <c r="R30" s="212">
        <f t="shared" si="8"/>
        <v>64</v>
      </c>
      <c r="S30" s="202" t="s">
        <v>616</v>
      </c>
      <c r="T30" s="203" t="s">
        <v>745</v>
      </c>
      <c r="U30" s="202">
        <v>34</v>
      </c>
      <c r="V30" s="202">
        <v>36</v>
      </c>
      <c r="W30" s="204">
        <v>43713</v>
      </c>
      <c r="X30" s="205">
        <v>43831</v>
      </c>
      <c r="Y30" s="205">
        <v>43874</v>
      </c>
      <c r="Z30" s="311">
        <f t="shared" si="0"/>
        <v>2020</v>
      </c>
      <c r="AA30" s="311">
        <f t="shared" si="1"/>
        <v>2</v>
      </c>
      <c r="AB30" s="206" t="s">
        <v>920</v>
      </c>
      <c r="AC30" s="208" t="s">
        <v>422</v>
      </c>
      <c r="AD30" s="208" t="s">
        <v>422</v>
      </c>
      <c r="AE30" s="208" t="s">
        <v>422</v>
      </c>
      <c r="AF30" s="211" t="s">
        <v>422</v>
      </c>
      <c r="AG30" s="211" t="s">
        <v>422</v>
      </c>
      <c r="AH30" s="208" t="s">
        <v>423</v>
      </c>
      <c r="AI30" s="208" t="s">
        <v>422</v>
      </c>
      <c r="AJ30" s="208" t="s">
        <v>423</v>
      </c>
      <c r="AK30" s="208" t="s">
        <v>140</v>
      </c>
      <c r="AL30" s="209"/>
      <c r="AM30" s="209"/>
    </row>
    <row r="31" spans="1:39" x14ac:dyDescent="0.3">
      <c r="A31" s="185">
        <v>5</v>
      </c>
      <c r="B31" s="201" t="s">
        <v>746</v>
      </c>
      <c r="C31" s="247" t="s">
        <v>1615</v>
      </c>
      <c r="D31" s="199" t="s">
        <v>1881</v>
      </c>
      <c r="E31" s="201"/>
      <c r="F31" s="201"/>
      <c r="G31" s="259" t="s">
        <v>1604</v>
      </c>
      <c r="H31" s="201" t="s">
        <v>1008</v>
      </c>
      <c r="I31" s="201">
        <v>3</v>
      </c>
      <c r="J31" s="201">
        <v>13.5</v>
      </c>
      <c r="K31" s="212">
        <v>0</v>
      </c>
      <c r="L31" s="212">
        <v>1.5</v>
      </c>
      <c r="M31" s="212">
        <f t="shared" si="3"/>
        <v>18</v>
      </c>
      <c r="N31" s="212">
        <f t="shared" si="4"/>
        <v>24</v>
      </c>
      <c r="O31" s="212">
        <f t="shared" si="5"/>
        <v>54</v>
      </c>
      <c r="P31" s="212">
        <f t="shared" si="6"/>
        <v>0</v>
      </c>
      <c r="Q31" s="212">
        <f t="shared" si="7"/>
        <v>12</v>
      </c>
      <c r="R31" s="212">
        <f t="shared" si="8"/>
        <v>90</v>
      </c>
      <c r="S31" s="202" t="s">
        <v>617</v>
      </c>
      <c r="T31" s="203" t="s">
        <v>747</v>
      </c>
      <c r="U31" s="202">
        <v>34</v>
      </c>
      <c r="V31" s="202">
        <v>36</v>
      </c>
      <c r="W31" s="204">
        <v>43713</v>
      </c>
      <c r="X31" s="205">
        <v>43831</v>
      </c>
      <c r="Y31" s="205">
        <v>43874</v>
      </c>
      <c r="Z31" s="311">
        <f t="shared" si="0"/>
        <v>2020</v>
      </c>
      <c r="AA31" s="311">
        <f t="shared" si="1"/>
        <v>2</v>
      </c>
      <c r="AB31" s="206" t="s">
        <v>920</v>
      </c>
      <c r="AC31" s="208" t="s">
        <v>422</v>
      </c>
      <c r="AD31" s="208" t="s">
        <v>422</v>
      </c>
      <c r="AE31" s="208" t="s">
        <v>422</v>
      </c>
      <c r="AF31" s="211" t="s">
        <v>422</v>
      </c>
      <c r="AG31" s="211" t="s">
        <v>422</v>
      </c>
      <c r="AH31" s="208" t="s">
        <v>423</v>
      </c>
      <c r="AI31" s="208" t="s">
        <v>422</v>
      </c>
      <c r="AJ31" s="208" t="s">
        <v>423</v>
      </c>
      <c r="AK31" s="208" t="s">
        <v>888</v>
      </c>
      <c r="AL31" s="209"/>
      <c r="AM31" s="209"/>
    </row>
    <row r="32" spans="1:39" x14ac:dyDescent="0.3">
      <c r="A32" s="185">
        <v>6</v>
      </c>
      <c r="B32" s="201" t="s">
        <v>748</v>
      </c>
      <c r="C32" s="247" t="s">
        <v>1615</v>
      </c>
      <c r="D32" s="199" t="s">
        <v>1881</v>
      </c>
      <c r="E32" s="201"/>
      <c r="F32" s="201"/>
      <c r="G32" s="259" t="s">
        <v>1604</v>
      </c>
      <c r="H32" s="201" t="s">
        <v>1428</v>
      </c>
      <c r="I32" s="201">
        <v>3</v>
      </c>
      <c r="J32" s="201">
        <v>11</v>
      </c>
      <c r="K32" s="212">
        <v>0</v>
      </c>
      <c r="L32" s="212">
        <v>1.5</v>
      </c>
      <c r="M32" s="212">
        <f t="shared" si="3"/>
        <v>15.5</v>
      </c>
      <c r="N32" s="212">
        <f t="shared" si="4"/>
        <v>24</v>
      </c>
      <c r="O32" s="212">
        <f t="shared" si="5"/>
        <v>44</v>
      </c>
      <c r="P32" s="212">
        <f t="shared" si="6"/>
        <v>0</v>
      </c>
      <c r="Q32" s="212">
        <f t="shared" si="7"/>
        <v>12</v>
      </c>
      <c r="R32" s="212">
        <f t="shared" si="8"/>
        <v>80</v>
      </c>
      <c r="S32" s="202" t="s">
        <v>774</v>
      </c>
      <c r="T32" s="203" t="s">
        <v>749</v>
      </c>
      <c r="U32" s="202">
        <v>66</v>
      </c>
      <c r="V32" s="202">
        <v>70</v>
      </c>
      <c r="W32" s="204">
        <v>43713</v>
      </c>
      <c r="X32" s="205">
        <v>43831</v>
      </c>
      <c r="Y32" s="205">
        <v>43874</v>
      </c>
      <c r="Z32" s="311">
        <f t="shared" si="0"/>
        <v>2020</v>
      </c>
      <c r="AA32" s="311">
        <f t="shared" si="1"/>
        <v>2</v>
      </c>
      <c r="AB32" s="206" t="s">
        <v>920</v>
      </c>
      <c r="AC32" s="208" t="s">
        <v>422</v>
      </c>
      <c r="AD32" s="208" t="s">
        <v>422</v>
      </c>
      <c r="AE32" s="208" t="s">
        <v>422</v>
      </c>
      <c r="AF32" s="211" t="s">
        <v>422</v>
      </c>
      <c r="AG32" s="211" t="s">
        <v>422</v>
      </c>
      <c r="AH32" s="208" t="s">
        <v>423</v>
      </c>
      <c r="AI32" s="208" t="s">
        <v>422</v>
      </c>
      <c r="AJ32" s="208" t="s">
        <v>423</v>
      </c>
      <c r="AK32" s="210" t="s">
        <v>138</v>
      </c>
      <c r="AL32" s="209"/>
      <c r="AM32" s="209"/>
    </row>
    <row r="33" spans="1:39" x14ac:dyDescent="0.3">
      <c r="A33" s="185">
        <v>7</v>
      </c>
      <c r="B33" s="201" t="s">
        <v>750</v>
      </c>
      <c r="C33" s="247" t="s">
        <v>1615</v>
      </c>
      <c r="D33" s="199" t="s">
        <v>1881</v>
      </c>
      <c r="E33" s="201"/>
      <c r="F33" s="201"/>
      <c r="G33" s="259" t="s">
        <v>1604</v>
      </c>
      <c r="H33" s="212" t="s">
        <v>1428</v>
      </c>
      <c r="I33" s="201">
        <v>3</v>
      </c>
      <c r="J33" s="201">
        <v>13.5</v>
      </c>
      <c r="K33" s="212">
        <v>0</v>
      </c>
      <c r="L33" s="212">
        <v>1.5</v>
      </c>
      <c r="M33" s="212">
        <f t="shared" si="3"/>
        <v>18</v>
      </c>
      <c r="N33" s="212">
        <f t="shared" si="4"/>
        <v>24</v>
      </c>
      <c r="O33" s="212">
        <f t="shared" si="5"/>
        <v>54</v>
      </c>
      <c r="P33" s="212">
        <f t="shared" si="6"/>
        <v>0</v>
      </c>
      <c r="Q33" s="212">
        <f t="shared" si="7"/>
        <v>12</v>
      </c>
      <c r="R33" s="212">
        <f t="shared" si="8"/>
        <v>90</v>
      </c>
      <c r="S33" s="202" t="s">
        <v>775</v>
      </c>
      <c r="T33" s="203" t="s">
        <v>751</v>
      </c>
      <c r="U33" s="202">
        <v>32</v>
      </c>
      <c r="V33" s="202">
        <v>34</v>
      </c>
      <c r="W33" s="204">
        <v>43713</v>
      </c>
      <c r="X33" s="205">
        <v>43831</v>
      </c>
      <c r="Y33" s="205">
        <v>43874</v>
      </c>
      <c r="Z33" s="311">
        <f t="shared" si="0"/>
        <v>2020</v>
      </c>
      <c r="AA33" s="311">
        <f t="shared" si="1"/>
        <v>2</v>
      </c>
      <c r="AB33" s="206" t="s">
        <v>920</v>
      </c>
      <c r="AC33" s="208" t="s">
        <v>422</v>
      </c>
      <c r="AD33" s="208" t="s">
        <v>422</v>
      </c>
      <c r="AE33" s="208" t="s">
        <v>422</v>
      </c>
      <c r="AF33" s="211" t="s">
        <v>422</v>
      </c>
      <c r="AG33" s="211" t="s">
        <v>422</v>
      </c>
      <c r="AH33" s="208" t="s">
        <v>423</v>
      </c>
      <c r="AI33" s="208" t="s">
        <v>422</v>
      </c>
      <c r="AJ33" s="208" t="s">
        <v>423</v>
      </c>
      <c r="AK33" s="210" t="s">
        <v>138</v>
      </c>
      <c r="AL33" s="209"/>
      <c r="AM33" s="209"/>
    </row>
    <row r="34" spans="1:39" x14ac:dyDescent="0.3">
      <c r="A34" s="185">
        <v>8</v>
      </c>
      <c r="B34" s="201" t="s">
        <v>752</v>
      </c>
      <c r="C34" s="247" t="s">
        <v>1615</v>
      </c>
      <c r="D34" s="199" t="s">
        <v>1881</v>
      </c>
      <c r="E34" s="201"/>
      <c r="F34" s="201"/>
      <c r="G34" s="259" t="s">
        <v>1604</v>
      </c>
      <c r="H34" s="201" t="s">
        <v>1010</v>
      </c>
      <c r="I34" s="201">
        <v>3</v>
      </c>
      <c r="J34" s="201">
        <v>7</v>
      </c>
      <c r="K34" s="212">
        <v>0</v>
      </c>
      <c r="L34" s="212">
        <v>1.5</v>
      </c>
      <c r="M34" s="212">
        <f t="shared" si="3"/>
        <v>11.5</v>
      </c>
      <c r="N34" s="212">
        <f t="shared" si="4"/>
        <v>24</v>
      </c>
      <c r="O34" s="212">
        <f t="shared" si="5"/>
        <v>28</v>
      </c>
      <c r="P34" s="212">
        <f t="shared" si="6"/>
        <v>0</v>
      </c>
      <c r="Q34" s="212">
        <f t="shared" si="7"/>
        <v>12</v>
      </c>
      <c r="R34" s="212">
        <f t="shared" si="8"/>
        <v>64</v>
      </c>
      <c r="S34" s="202" t="s">
        <v>93</v>
      </c>
      <c r="T34" s="203" t="s">
        <v>753</v>
      </c>
      <c r="U34" s="202">
        <v>17</v>
      </c>
      <c r="V34" s="202">
        <v>19</v>
      </c>
      <c r="W34" s="204">
        <v>43713</v>
      </c>
      <c r="X34" s="205">
        <v>43831</v>
      </c>
      <c r="Y34" s="205">
        <v>43874</v>
      </c>
      <c r="Z34" s="311">
        <f t="shared" si="0"/>
        <v>2020</v>
      </c>
      <c r="AA34" s="311">
        <f t="shared" si="1"/>
        <v>2</v>
      </c>
      <c r="AB34" s="206" t="s">
        <v>920</v>
      </c>
      <c r="AC34" s="208" t="s">
        <v>422</v>
      </c>
      <c r="AD34" s="208" t="s">
        <v>422</v>
      </c>
      <c r="AE34" s="208" t="s">
        <v>422</v>
      </c>
      <c r="AF34" s="211" t="s">
        <v>422</v>
      </c>
      <c r="AG34" s="211" t="s">
        <v>422</v>
      </c>
      <c r="AH34" s="208" t="s">
        <v>423</v>
      </c>
      <c r="AI34" s="208" t="s">
        <v>422</v>
      </c>
      <c r="AJ34" s="208" t="s">
        <v>423</v>
      </c>
      <c r="AK34" s="211" t="s">
        <v>140</v>
      </c>
      <c r="AL34" s="209"/>
      <c r="AM34" s="209"/>
    </row>
    <row r="35" spans="1:39" x14ac:dyDescent="0.3">
      <c r="A35" s="185">
        <v>9</v>
      </c>
      <c r="B35" s="201" t="s">
        <v>754</v>
      </c>
      <c r="C35" s="247" t="s">
        <v>1615</v>
      </c>
      <c r="D35" s="199" t="s">
        <v>1881</v>
      </c>
      <c r="E35" s="201"/>
      <c r="F35" s="201" t="s">
        <v>1597</v>
      </c>
      <c r="G35" s="259" t="s">
        <v>1604</v>
      </c>
      <c r="H35" s="201"/>
      <c r="I35" s="201">
        <v>3</v>
      </c>
      <c r="J35" s="357">
        <v>13.5</v>
      </c>
      <c r="K35" s="212">
        <v>0</v>
      </c>
      <c r="L35" s="212">
        <v>1.5</v>
      </c>
      <c r="M35" s="212">
        <f t="shared" si="3"/>
        <v>18</v>
      </c>
      <c r="N35" s="212">
        <f t="shared" si="4"/>
        <v>24</v>
      </c>
      <c r="O35" s="212">
        <f t="shared" si="5"/>
        <v>54</v>
      </c>
      <c r="P35" s="212">
        <f t="shared" si="6"/>
        <v>0</v>
      </c>
      <c r="Q35" s="212">
        <f t="shared" si="7"/>
        <v>12</v>
      </c>
      <c r="R35" s="212">
        <f t="shared" si="8"/>
        <v>90</v>
      </c>
      <c r="S35" s="202" t="s">
        <v>94</v>
      </c>
      <c r="T35" s="203" t="s">
        <v>755</v>
      </c>
      <c r="U35" s="202">
        <v>17</v>
      </c>
      <c r="V35" s="202">
        <v>19</v>
      </c>
      <c r="W35" s="204">
        <v>43713</v>
      </c>
      <c r="X35" s="205">
        <v>43831</v>
      </c>
      <c r="Y35" s="205">
        <v>43874</v>
      </c>
      <c r="Z35" s="311">
        <f t="shared" si="0"/>
        <v>2020</v>
      </c>
      <c r="AA35" s="311">
        <f t="shared" si="1"/>
        <v>2</v>
      </c>
      <c r="AB35" s="206" t="s">
        <v>920</v>
      </c>
      <c r="AC35" s="208" t="s">
        <v>422</v>
      </c>
      <c r="AD35" s="208" t="s">
        <v>422</v>
      </c>
      <c r="AE35" s="208" t="s">
        <v>422</v>
      </c>
      <c r="AF35" s="211" t="s">
        <v>422</v>
      </c>
      <c r="AG35" s="211" t="s">
        <v>422</v>
      </c>
      <c r="AH35" s="208" t="s">
        <v>423</v>
      </c>
      <c r="AI35" s="208" t="s">
        <v>422</v>
      </c>
      <c r="AJ35" s="208" t="s">
        <v>423</v>
      </c>
      <c r="AK35" s="211" t="s">
        <v>108</v>
      </c>
      <c r="AL35" s="209"/>
      <c r="AM35" s="209"/>
    </row>
    <row r="36" spans="1:39" x14ac:dyDescent="0.3">
      <c r="A36" s="185">
        <v>10</v>
      </c>
      <c r="B36" s="201" t="s">
        <v>756</v>
      </c>
      <c r="C36" s="247" t="s">
        <v>1615</v>
      </c>
      <c r="D36" s="199" t="s">
        <v>1881</v>
      </c>
      <c r="E36" s="201"/>
      <c r="F36" s="201"/>
      <c r="G36" s="259" t="s">
        <v>1604</v>
      </c>
      <c r="H36" s="212" t="s">
        <v>1428</v>
      </c>
      <c r="I36" s="201">
        <v>3</v>
      </c>
      <c r="J36" s="201">
        <v>11</v>
      </c>
      <c r="K36" s="212">
        <v>0</v>
      </c>
      <c r="L36" s="212">
        <v>1.5</v>
      </c>
      <c r="M36" s="212">
        <f t="shared" si="3"/>
        <v>15.5</v>
      </c>
      <c r="N36" s="212">
        <f t="shared" si="4"/>
        <v>24</v>
      </c>
      <c r="O36" s="212">
        <f t="shared" si="5"/>
        <v>44</v>
      </c>
      <c r="P36" s="212">
        <f t="shared" si="6"/>
        <v>0</v>
      </c>
      <c r="Q36" s="212">
        <f t="shared" si="7"/>
        <v>12</v>
      </c>
      <c r="R36" s="212">
        <f t="shared" si="8"/>
        <v>80</v>
      </c>
      <c r="S36" s="202" t="s">
        <v>95</v>
      </c>
      <c r="T36" s="203" t="s">
        <v>757</v>
      </c>
      <c r="U36" s="202">
        <v>17</v>
      </c>
      <c r="V36" s="202">
        <v>19</v>
      </c>
      <c r="W36" s="204">
        <v>43713</v>
      </c>
      <c r="X36" s="205">
        <v>43831</v>
      </c>
      <c r="Y36" s="205">
        <v>43874</v>
      </c>
      <c r="Z36" s="311">
        <f t="shared" si="0"/>
        <v>2020</v>
      </c>
      <c r="AA36" s="311">
        <f t="shared" si="1"/>
        <v>2</v>
      </c>
      <c r="AB36" s="206" t="s">
        <v>920</v>
      </c>
      <c r="AC36" s="208" t="s">
        <v>422</v>
      </c>
      <c r="AD36" s="208" t="s">
        <v>422</v>
      </c>
      <c r="AE36" s="208" t="s">
        <v>422</v>
      </c>
      <c r="AF36" s="211" t="s">
        <v>422</v>
      </c>
      <c r="AG36" s="211" t="s">
        <v>422</v>
      </c>
      <c r="AH36" s="208" t="s">
        <v>423</v>
      </c>
      <c r="AI36" s="208" t="s">
        <v>422</v>
      </c>
      <c r="AJ36" s="208" t="s">
        <v>423</v>
      </c>
      <c r="AK36" s="210" t="s">
        <v>138</v>
      </c>
      <c r="AL36" s="209"/>
      <c r="AM36" s="209"/>
    </row>
    <row r="37" spans="1:39" x14ac:dyDescent="0.3">
      <c r="A37" s="185">
        <v>15</v>
      </c>
      <c r="B37" s="212" t="s">
        <v>764</v>
      </c>
      <c r="C37" s="212" t="s">
        <v>1615</v>
      </c>
      <c r="D37" s="199" t="s">
        <v>1881</v>
      </c>
      <c r="E37" s="212"/>
      <c r="F37" s="212" t="s">
        <v>1597</v>
      </c>
      <c r="G37" s="259" t="s">
        <v>1604</v>
      </c>
      <c r="H37" s="212"/>
      <c r="I37" s="212">
        <v>2</v>
      </c>
      <c r="J37" s="357">
        <v>13.5</v>
      </c>
      <c r="K37" s="212">
        <v>0</v>
      </c>
      <c r="L37" s="212">
        <v>1</v>
      </c>
      <c r="M37" s="212">
        <f t="shared" si="3"/>
        <v>16.5</v>
      </c>
      <c r="N37" s="212">
        <f t="shared" si="4"/>
        <v>16</v>
      </c>
      <c r="O37" s="212">
        <f t="shared" si="5"/>
        <v>54</v>
      </c>
      <c r="P37" s="212">
        <f t="shared" si="6"/>
        <v>0</v>
      </c>
      <c r="Q37" s="212">
        <f t="shared" si="7"/>
        <v>8</v>
      </c>
      <c r="R37" s="212">
        <f t="shared" si="8"/>
        <v>78</v>
      </c>
      <c r="S37" s="213" t="s">
        <v>1012</v>
      </c>
      <c r="T37" s="214" t="s">
        <v>763</v>
      </c>
      <c r="U37" s="213">
        <v>119</v>
      </c>
      <c r="V37" s="213">
        <v>121</v>
      </c>
      <c r="W37" s="215">
        <v>43713</v>
      </c>
      <c r="X37" s="216">
        <v>43862</v>
      </c>
      <c r="Y37" s="205">
        <v>43874</v>
      </c>
      <c r="Z37" s="311">
        <f t="shared" si="0"/>
        <v>2020</v>
      </c>
      <c r="AA37" s="311">
        <f t="shared" si="1"/>
        <v>2</v>
      </c>
      <c r="AB37" s="217" t="s">
        <v>920</v>
      </c>
      <c r="AC37" s="217" t="s">
        <v>422</v>
      </c>
      <c r="AD37" s="217" t="s">
        <v>422</v>
      </c>
      <c r="AE37" s="217" t="s">
        <v>422</v>
      </c>
      <c r="AF37" s="217" t="s">
        <v>422</v>
      </c>
      <c r="AG37" s="217" t="s">
        <v>422</v>
      </c>
      <c r="AH37" s="217" t="s">
        <v>423</v>
      </c>
      <c r="AI37" s="217" t="s">
        <v>422</v>
      </c>
      <c r="AJ37" s="217" t="s">
        <v>423</v>
      </c>
      <c r="AK37" s="218" t="s">
        <v>108</v>
      </c>
      <c r="AL37" s="218"/>
      <c r="AM37" s="218"/>
    </row>
    <row r="38" spans="1:39" ht="16.5" customHeight="1" x14ac:dyDescent="0.3">
      <c r="A38" s="185">
        <v>67</v>
      </c>
      <c r="B38" s="212" t="s">
        <v>837</v>
      </c>
      <c r="C38" s="212" t="s">
        <v>1846</v>
      </c>
      <c r="D38" s="201" t="s">
        <v>1881</v>
      </c>
      <c r="E38" s="212"/>
      <c r="F38" s="212"/>
      <c r="G38" s="259" t="s">
        <v>1604</v>
      </c>
      <c r="H38" s="212" t="s">
        <v>1010</v>
      </c>
      <c r="I38" s="212">
        <v>3</v>
      </c>
      <c r="J38" s="212">
        <f>9.5+2</f>
        <v>11.5</v>
      </c>
      <c r="K38" s="212">
        <v>0</v>
      </c>
      <c r="L38" s="212">
        <v>1.5</v>
      </c>
      <c r="M38" s="212">
        <f t="shared" si="3"/>
        <v>16</v>
      </c>
      <c r="N38" s="212">
        <f t="shared" si="4"/>
        <v>24</v>
      </c>
      <c r="O38" s="212">
        <f t="shared" si="5"/>
        <v>46</v>
      </c>
      <c r="P38" s="212">
        <f t="shared" si="6"/>
        <v>0</v>
      </c>
      <c r="Q38" s="212">
        <f t="shared" si="7"/>
        <v>12</v>
      </c>
      <c r="R38" s="212">
        <f t="shared" si="8"/>
        <v>82</v>
      </c>
      <c r="S38" s="213" t="s">
        <v>875</v>
      </c>
      <c r="T38" s="217" t="s">
        <v>874</v>
      </c>
      <c r="U38" s="213">
        <v>144</v>
      </c>
      <c r="V38" s="213">
        <v>144</v>
      </c>
      <c r="W38" s="215">
        <v>43868</v>
      </c>
      <c r="X38" s="216">
        <v>43879</v>
      </c>
      <c r="Y38" s="205">
        <v>43879</v>
      </c>
      <c r="Z38" s="311">
        <f t="shared" si="0"/>
        <v>2020</v>
      </c>
      <c r="AA38" s="311">
        <f t="shared" si="1"/>
        <v>2</v>
      </c>
      <c r="AB38" s="217" t="s">
        <v>927</v>
      </c>
      <c r="AC38" s="243" t="s">
        <v>423</v>
      </c>
      <c r="AD38" s="243" t="s">
        <v>423</v>
      </c>
      <c r="AE38" s="243" t="s">
        <v>423</v>
      </c>
      <c r="AF38" s="243" t="s">
        <v>423</v>
      </c>
      <c r="AG38" s="243" t="s">
        <v>423</v>
      </c>
      <c r="AH38" s="243" t="s">
        <v>423</v>
      </c>
      <c r="AI38" s="243" t="s">
        <v>423</v>
      </c>
      <c r="AJ38" s="243" t="s">
        <v>423</v>
      </c>
      <c r="AK38" s="218" t="s">
        <v>1010</v>
      </c>
      <c r="AL38" s="218"/>
      <c r="AM38" s="228" t="s">
        <v>1195</v>
      </c>
    </row>
    <row r="39" spans="1:39" x14ac:dyDescent="0.3">
      <c r="A39" s="185">
        <v>18</v>
      </c>
      <c r="B39" s="212" t="s">
        <v>770</v>
      </c>
      <c r="C39" s="212" t="s">
        <v>1615</v>
      </c>
      <c r="D39" s="199" t="s">
        <v>1881</v>
      </c>
      <c r="E39" s="212"/>
      <c r="F39" s="212" t="s">
        <v>1597</v>
      </c>
      <c r="G39" s="212" t="s">
        <v>1940</v>
      </c>
      <c r="H39" s="212"/>
      <c r="I39" s="212">
        <v>2</v>
      </c>
      <c r="J39" s="357">
        <v>7</v>
      </c>
      <c r="K39" s="212">
        <v>29</v>
      </c>
      <c r="L39" s="212">
        <v>1</v>
      </c>
      <c r="M39" s="212">
        <f t="shared" si="3"/>
        <v>39</v>
      </c>
      <c r="N39" s="212">
        <f t="shared" si="4"/>
        <v>16</v>
      </c>
      <c r="O39" s="212">
        <f t="shared" si="5"/>
        <v>28</v>
      </c>
      <c r="P39" s="212">
        <f t="shared" si="6"/>
        <v>193.33333333333334</v>
      </c>
      <c r="Q39" s="212">
        <f t="shared" si="7"/>
        <v>8</v>
      </c>
      <c r="R39" s="212">
        <f t="shared" si="8"/>
        <v>245.33333333333334</v>
      </c>
      <c r="S39" s="213" t="s">
        <v>694</v>
      </c>
      <c r="T39" s="214" t="s">
        <v>769</v>
      </c>
      <c r="U39" s="213">
        <v>123</v>
      </c>
      <c r="V39" s="213">
        <v>126</v>
      </c>
      <c r="W39" s="215">
        <v>43713</v>
      </c>
      <c r="X39" s="216">
        <v>43891</v>
      </c>
      <c r="Y39" s="205">
        <v>43892</v>
      </c>
      <c r="Z39" s="311">
        <f t="shared" si="0"/>
        <v>2020</v>
      </c>
      <c r="AA39" s="311">
        <f t="shared" si="1"/>
        <v>3</v>
      </c>
      <c r="AB39" s="217" t="s">
        <v>920</v>
      </c>
      <c r="AC39" s="217" t="s">
        <v>422</v>
      </c>
      <c r="AD39" s="217" t="s">
        <v>423</v>
      </c>
      <c r="AE39" s="217" t="s">
        <v>422</v>
      </c>
      <c r="AF39" s="217" t="s">
        <v>422</v>
      </c>
      <c r="AG39" s="217" t="s">
        <v>423</v>
      </c>
      <c r="AH39" s="217" t="s">
        <v>422</v>
      </c>
      <c r="AI39" s="217" t="s">
        <v>423</v>
      </c>
      <c r="AJ39" s="217" t="s">
        <v>422</v>
      </c>
      <c r="AK39" s="218" t="s">
        <v>1009</v>
      </c>
      <c r="AL39" s="218"/>
      <c r="AM39" s="220"/>
    </row>
    <row r="40" spans="1:39" x14ac:dyDescent="0.3">
      <c r="A40" s="185">
        <v>11</v>
      </c>
      <c r="B40" s="212" t="s">
        <v>758</v>
      </c>
      <c r="C40" s="247" t="s">
        <v>1615</v>
      </c>
      <c r="D40" s="199" t="s">
        <v>1881</v>
      </c>
      <c r="E40" s="212"/>
      <c r="F40" s="212"/>
      <c r="G40" s="259" t="s">
        <v>1604</v>
      </c>
      <c r="H40" s="212" t="s">
        <v>1428</v>
      </c>
      <c r="I40" s="357">
        <v>2</v>
      </c>
      <c r="J40" s="212">
        <v>6.5</v>
      </c>
      <c r="K40" s="212">
        <v>0</v>
      </c>
      <c r="L40" s="212">
        <v>1</v>
      </c>
      <c r="M40" s="212">
        <f t="shared" si="3"/>
        <v>9.5</v>
      </c>
      <c r="N40" s="212">
        <f t="shared" si="4"/>
        <v>16</v>
      </c>
      <c r="O40" s="212">
        <f t="shared" si="5"/>
        <v>26</v>
      </c>
      <c r="P40" s="212">
        <f t="shared" si="6"/>
        <v>0</v>
      </c>
      <c r="Q40" s="212">
        <f t="shared" si="7"/>
        <v>8</v>
      </c>
      <c r="R40" s="212">
        <f t="shared" si="8"/>
        <v>50</v>
      </c>
      <c r="S40" s="213" t="s">
        <v>996</v>
      </c>
      <c r="T40" s="214" t="s">
        <v>759</v>
      </c>
      <c r="U40" s="213">
        <v>100</v>
      </c>
      <c r="V40" s="213">
        <v>101</v>
      </c>
      <c r="W40" s="215">
        <v>43713</v>
      </c>
      <c r="X40" s="216">
        <v>43800</v>
      </c>
      <c r="Y40" s="205">
        <v>44006</v>
      </c>
      <c r="Z40" s="311">
        <f t="shared" si="0"/>
        <v>2020</v>
      </c>
      <c r="AA40" s="311">
        <f t="shared" si="1"/>
        <v>6</v>
      </c>
      <c r="AB40" s="217" t="s">
        <v>920</v>
      </c>
      <c r="AC40" s="217" t="s">
        <v>422</v>
      </c>
      <c r="AD40" s="217" t="s">
        <v>422</v>
      </c>
      <c r="AE40" s="217" t="s">
        <v>422</v>
      </c>
      <c r="AF40" s="217" t="s">
        <v>422</v>
      </c>
      <c r="AG40" s="217" t="s">
        <v>422</v>
      </c>
      <c r="AH40" s="217" t="s">
        <v>423</v>
      </c>
      <c r="AI40" s="217" t="s">
        <v>422</v>
      </c>
      <c r="AJ40" s="217" t="s">
        <v>423</v>
      </c>
      <c r="AK40" s="210" t="s">
        <v>138</v>
      </c>
      <c r="AL40" s="218"/>
      <c r="AM40" s="218"/>
    </row>
    <row r="41" spans="1:39" x14ac:dyDescent="0.3">
      <c r="A41" s="185">
        <v>12</v>
      </c>
      <c r="B41" s="212" t="s">
        <v>760</v>
      </c>
      <c r="C41" s="247" t="s">
        <v>1615</v>
      </c>
      <c r="D41" s="199" t="s">
        <v>1881</v>
      </c>
      <c r="E41" s="212"/>
      <c r="F41" s="212"/>
      <c r="G41" s="259" t="s">
        <v>1604</v>
      </c>
      <c r="H41" s="212" t="s">
        <v>1428</v>
      </c>
      <c r="I41" s="357">
        <v>2</v>
      </c>
      <c r="J41" s="212">
        <v>10.8</v>
      </c>
      <c r="K41" s="212">
        <v>0</v>
      </c>
      <c r="L41" s="212">
        <v>1.5</v>
      </c>
      <c r="M41" s="212">
        <f t="shared" si="3"/>
        <v>14.3</v>
      </c>
      <c r="N41" s="212">
        <f t="shared" si="4"/>
        <v>16</v>
      </c>
      <c r="O41" s="212">
        <f t="shared" si="5"/>
        <v>43.2</v>
      </c>
      <c r="P41" s="212">
        <f t="shared" si="6"/>
        <v>0</v>
      </c>
      <c r="Q41" s="212">
        <f t="shared" si="7"/>
        <v>12</v>
      </c>
      <c r="R41" s="212">
        <f t="shared" si="8"/>
        <v>71.2</v>
      </c>
      <c r="S41" s="213" t="s">
        <v>1013</v>
      </c>
      <c r="T41" s="214" t="s">
        <v>777</v>
      </c>
      <c r="U41" s="213">
        <v>123</v>
      </c>
      <c r="V41" s="213" t="s">
        <v>1014</v>
      </c>
      <c r="W41" s="215">
        <v>43713</v>
      </c>
      <c r="X41" s="216">
        <v>43862</v>
      </c>
      <c r="Y41" s="205">
        <v>44006</v>
      </c>
      <c r="Z41" s="311">
        <f t="shared" si="0"/>
        <v>2020</v>
      </c>
      <c r="AA41" s="311">
        <f t="shared" si="1"/>
        <v>6</v>
      </c>
      <c r="AB41" s="217" t="s">
        <v>920</v>
      </c>
      <c r="AC41" s="217" t="s">
        <v>422</v>
      </c>
      <c r="AD41" s="217" t="s">
        <v>422</v>
      </c>
      <c r="AE41" s="217" t="s">
        <v>422</v>
      </c>
      <c r="AF41" s="217" t="s">
        <v>422</v>
      </c>
      <c r="AG41" s="217" t="s">
        <v>422</v>
      </c>
      <c r="AH41" s="217" t="s">
        <v>423</v>
      </c>
      <c r="AI41" s="217" t="s">
        <v>422</v>
      </c>
      <c r="AJ41" s="217" t="s">
        <v>423</v>
      </c>
      <c r="AK41" s="210" t="s">
        <v>138</v>
      </c>
      <c r="AL41" s="218"/>
      <c r="AM41" s="218"/>
    </row>
    <row r="42" spans="1:39" x14ac:dyDescent="0.3">
      <c r="A42" s="185">
        <v>13</v>
      </c>
      <c r="B42" s="212" t="s">
        <v>760</v>
      </c>
      <c r="C42" s="247" t="s">
        <v>1615</v>
      </c>
      <c r="D42" s="199" t="s">
        <v>1881</v>
      </c>
      <c r="E42" s="212"/>
      <c r="F42" s="212"/>
      <c r="G42" s="259" t="s">
        <v>1604</v>
      </c>
      <c r="H42" s="212" t="s">
        <v>1428</v>
      </c>
      <c r="I42" s="357">
        <v>2</v>
      </c>
      <c r="J42" s="212">
        <v>10.8</v>
      </c>
      <c r="K42" s="212">
        <v>0</v>
      </c>
      <c r="L42" s="212">
        <v>1.5</v>
      </c>
      <c r="M42" s="212">
        <f t="shared" si="3"/>
        <v>14.3</v>
      </c>
      <c r="N42" s="212">
        <f t="shared" si="4"/>
        <v>16</v>
      </c>
      <c r="O42" s="212">
        <f t="shared" si="5"/>
        <v>43.2</v>
      </c>
      <c r="P42" s="212">
        <f t="shared" si="6"/>
        <v>0</v>
      </c>
      <c r="Q42" s="212">
        <f t="shared" si="7"/>
        <v>12</v>
      </c>
      <c r="R42" s="212">
        <f t="shared" si="8"/>
        <v>71.2</v>
      </c>
      <c r="S42" s="213" t="s">
        <v>776</v>
      </c>
      <c r="T42" s="214" t="s">
        <v>777</v>
      </c>
      <c r="U42" s="213">
        <v>108</v>
      </c>
      <c r="V42" s="219" t="s">
        <v>1015</v>
      </c>
      <c r="W42" s="215">
        <v>43713</v>
      </c>
      <c r="X42" s="216">
        <v>43862</v>
      </c>
      <c r="Y42" s="205">
        <v>44006</v>
      </c>
      <c r="Z42" s="311">
        <f t="shared" si="0"/>
        <v>2020</v>
      </c>
      <c r="AA42" s="311">
        <f t="shared" si="1"/>
        <v>6</v>
      </c>
      <c r="AB42" s="217" t="s">
        <v>920</v>
      </c>
      <c r="AC42" s="217" t="s">
        <v>422</v>
      </c>
      <c r="AD42" s="217" t="s">
        <v>422</v>
      </c>
      <c r="AE42" s="217" t="s">
        <v>422</v>
      </c>
      <c r="AF42" s="217" t="s">
        <v>422</v>
      </c>
      <c r="AG42" s="217" t="s">
        <v>422</v>
      </c>
      <c r="AH42" s="217" t="s">
        <v>423</v>
      </c>
      <c r="AI42" s="217" t="s">
        <v>422</v>
      </c>
      <c r="AJ42" s="217" t="s">
        <v>423</v>
      </c>
      <c r="AK42" s="210" t="s">
        <v>138</v>
      </c>
      <c r="AL42" s="218"/>
      <c r="AM42" s="209"/>
    </row>
    <row r="43" spans="1:39" x14ac:dyDescent="0.3">
      <c r="A43" s="185">
        <v>19</v>
      </c>
      <c r="B43" s="212" t="s">
        <v>781</v>
      </c>
      <c r="C43" s="212" t="s">
        <v>1615</v>
      </c>
      <c r="D43" s="199" t="s">
        <v>1881</v>
      </c>
      <c r="E43" s="212"/>
      <c r="F43" s="212"/>
      <c r="G43" s="212" t="s">
        <v>1940</v>
      </c>
      <c r="H43" s="212" t="s">
        <v>1041</v>
      </c>
      <c r="I43" s="357">
        <v>2</v>
      </c>
      <c r="J43" s="212">
        <v>6</v>
      </c>
      <c r="K43" s="212">
        <v>29</v>
      </c>
      <c r="L43" s="212">
        <v>1</v>
      </c>
      <c r="M43" s="212">
        <f t="shared" si="3"/>
        <v>38</v>
      </c>
      <c r="N43" s="212">
        <f t="shared" si="4"/>
        <v>16</v>
      </c>
      <c r="O43" s="212">
        <f t="shared" si="5"/>
        <v>24</v>
      </c>
      <c r="P43" s="212">
        <f t="shared" si="6"/>
        <v>193.33333333333334</v>
      </c>
      <c r="Q43" s="212">
        <f t="shared" si="7"/>
        <v>8</v>
      </c>
      <c r="R43" s="212">
        <f t="shared" si="8"/>
        <v>241.33333333333334</v>
      </c>
      <c r="S43" s="213" t="s">
        <v>782</v>
      </c>
      <c r="T43" s="214" t="s">
        <v>771</v>
      </c>
      <c r="U43" s="213">
        <v>74</v>
      </c>
      <c r="V43" s="213">
        <v>77</v>
      </c>
      <c r="W43" s="215">
        <v>43713</v>
      </c>
      <c r="X43" s="216">
        <v>43891</v>
      </c>
      <c r="Y43" s="205">
        <v>44006</v>
      </c>
      <c r="Z43" s="311">
        <f t="shared" si="0"/>
        <v>2020</v>
      </c>
      <c r="AA43" s="311">
        <f t="shared" si="1"/>
        <v>6</v>
      </c>
      <c r="AB43" s="221" t="s">
        <v>920</v>
      </c>
      <c r="AC43" s="217" t="s">
        <v>422</v>
      </c>
      <c r="AD43" s="217" t="s">
        <v>423</v>
      </c>
      <c r="AE43" s="217" t="s">
        <v>422</v>
      </c>
      <c r="AF43" s="217" t="s">
        <v>422</v>
      </c>
      <c r="AG43" s="217" t="s">
        <v>423</v>
      </c>
      <c r="AH43" s="217" t="s">
        <v>422</v>
      </c>
      <c r="AI43" s="217" t="s">
        <v>423</v>
      </c>
      <c r="AJ43" s="217" t="s">
        <v>422</v>
      </c>
      <c r="AK43" s="218" t="s">
        <v>698</v>
      </c>
      <c r="AL43" s="218"/>
      <c r="AM43" s="220"/>
    </row>
    <row r="44" spans="1:39" x14ac:dyDescent="0.3">
      <c r="A44" s="185">
        <v>44</v>
      </c>
      <c r="B44" s="212" t="s">
        <v>1000</v>
      </c>
      <c r="C44" s="247" t="s">
        <v>1615</v>
      </c>
      <c r="D44" s="200" t="s">
        <v>1881</v>
      </c>
      <c r="E44" s="212"/>
      <c r="F44" s="212"/>
      <c r="G44" s="259" t="s">
        <v>1604</v>
      </c>
      <c r="H44" s="212" t="s">
        <v>1946</v>
      </c>
      <c r="I44" s="357">
        <v>2</v>
      </c>
      <c r="J44" s="212">
        <v>105</v>
      </c>
      <c r="K44" s="212">
        <v>0</v>
      </c>
      <c r="L44" s="212">
        <v>1.5</v>
      </c>
      <c r="M44" s="212">
        <f t="shared" si="3"/>
        <v>108.5</v>
      </c>
      <c r="N44" s="212">
        <f t="shared" si="4"/>
        <v>16</v>
      </c>
      <c r="O44" s="212">
        <f t="shared" si="5"/>
        <v>420</v>
      </c>
      <c r="P44" s="212">
        <f t="shared" si="6"/>
        <v>0</v>
      </c>
      <c r="Q44" s="212">
        <f t="shared" si="7"/>
        <v>12</v>
      </c>
      <c r="R44" s="212">
        <f t="shared" si="8"/>
        <v>448</v>
      </c>
      <c r="S44" s="202">
        <v>397660</v>
      </c>
      <c r="T44" s="203" t="s">
        <v>1007</v>
      </c>
      <c r="U44" s="202">
        <v>84</v>
      </c>
      <c r="V44" s="202">
        <v>87</v>
      </c>
      <c r="W44" s="204">
        <v>43781</v>
      </c>
      <c r="X44" s="205">
        <v>43905</v>
      </c>
      <c r="Y44" s="205">
        <v>44006</v>
      </c>
      <c r="Z44" s="311">
        <f t="shared" si="0"/>
        <v>2020</v>
      </c>
      <c r="AA44" s="311">
        <f t="shared" si="1"/>
        <v>6</v>
      </c>
      <c r="AB44" s="211" t="s">
        <v>920</v>
      </c>
      <c r="AC44" s="217" t="s">
        <v>422</v>
      </c>
      <c r="AD44" s="217" t="s">
        <v>422</v>
      </c>
      <c r="AE44" s="217" t="s">
        <v>422</v>
      </c>
      <c r="AF44" s="217" t="s">
        <v>422</v>
      </c>
      <c r="AG44" s="217" t="s">
        <v>423</v>
      </c>
      <c r="AH44" s="217" t="s">
        <v>423</v>
      </c>
      <c r="AI44" s="217" t="s">
        <v>422</v>
      </c>
      <c r="AJ44" s="217" t="s">
        <v>423</v>
      </c>
      <c r="AK44" s="222" t="s">
        <v>140</v>
      </c>
      <c r="AL44" s="209"/>
      <c r="AM44" s="209"/>
    </row>
    <row r="45" spans="1:39" ht="16.5" customHeight="1" x14ac:dyDescent="0.3">
      <c r="A45" s="185">
        <v>45</v>
      </c>
      <c r="B45" s="212" t="s">
        <v>806</v>
      </c>
      <c r="C45" s="247" t="s">
        <v>1618</v>
      </c>
      <c r="D45" s="200" t="s">
        <v>1881</v>
      </c>
      <c r="E45" s="212"/>
      <c r="F45" s="212"/>
      <c r="G45" s="259" t="s">
        <v>1604</v>
      </c>
      <c r="H45" s="212" t="s">
        <v>1008</v>
      </c>
      <c r="I45" s="357">
        <v>2</v>
      </c>
      <c r="J45" s="212">
        <v>6</v>
      </c>
      <c r="K45" s="212">
        <v>0</v>
      </c>
      <c r="L45" s="212">
        <v>1</v>
      </c>
      <c r="M45" s="212">
        <f t="shared" si="3"/>
        <v>9</v>
      </c>
      <c r="N45" s="212">
        <f t="shared" si="4"/>
        <v>16</v>
      </c>
      <c r="O45" s="212">
        <f t="shared" si="5"/>
        <v>24</v>
      </c>
      <c r="P45" s="212">
        <f t="shared" si="6"/>
        <v>0</v>
      </c>
      <c r="Q45" s="212">
        <f t="shared" si="7"/>
        <v>8</v>
      </c>
      <c r="R45" s="212">
        <f t="shared" si="8"/>
        <v>48</v>
      </c>
      <c r="S45" s="202" t="s">
        <v>807</v>
      </c>
      <c r="T45" s="208" t="s">
        <v>816</v>
      </c>
      <c r="U45" s="202">
        <v>120</v>
      </c>
      <c r="V45" s="202">
        <v>122</v>
      </c>
      <c r="W45" s="204">
        <v>43781</v>
      </c>
      <c r="X45" s="205">
        <v>43905</v>
      </c>
      <c r="Y45" s="205">
        <v>43997</v>
      </c>
      <c r="Z45" s="311">
        <f t="shared" si="0"/>
        <v>2020</v>
      </c>
      <c r="AA45" s="311">
        <f t="shared" si="1"/>
        <v>6</v>
      </c>
      <c r="AB45" s="211" t="s">
        <v>920</v>
      </c>
      <c r="AC45" s="217" t="s">
        <v>422</v>
      </c>
      <c r="AD45" s="217" t="s">
        <v>422</v>
      </c>
      <c r="AE45" s="217" t="s">
        <v>422</v>
      </c>
      <c r="AF45" s="217" t="s">
        <v>422</v>
      </c>
      <c r="AG45" s="217" t="s">
        <v>422</v>
      </c>
      <c r="AH45" s="217" t="s">
        <v>423</v>
      </c>
      <c r="AI45" s="217" t="s">
        <v>422</v>
      </c>
      <c r="AJ45" s="217" t="s">
        <v>423</v>
      </c>
      <c r="AK45" s="222" t="s">
        <v>888</v>
      </c>
      <c r="AL45" s="209"/>
      <c r="AM45" s="209"/>
    </row>
    <row r="46" spans="1:39" ht="16.5" customHeight="1" x14ac:dyDescent="0.3">
      <c r="A46" s="185">
        <v>46</v>
      </c>
      <c r="B46" s="212" t="s">
        <v>808</v>
      </c>
      <c r="C46" s="247" t="s">
        <v>1618</v>
      </c>
      <c r="D46" s="200" t="s">
        <v>1881</v>
      </c>
      <c r="E46" s="212"/>
      <c r="F46" s="212"/>
      <c r="G46" s="259" t="s">
        <v>1604</v>
      </c>
      <c r="H46" s="212" t="s">
        <v>1008</v>
      </c>
      <c r="I46" s="357">
        <v>2</v>
      </c>
      <c r="J46" s="212">
        <v>8.5</v>
      </c>
      <c r="K46" s="212">
        <v>0</v>
      </c>
      <c r="L46" s="212">
        <v>1.5</v>
      </c>
      <c r="M46" s="212">
        <f t="shared" si="3"/>
        <v>12</v>
      </c>
      <c r="N46" s="212">
        <f t="shared" si="4"/>
        <v>16</v>
      </c>
      <c r="O46" s="212">
        <f t="shared" si="5"/>
        <v>34</v>
      </c>
      <c r="P46" s="212">
        <f t="shared" si="6"/>
        <v>0</v>
      </c>
      <c r="Q46" s="212">
        <f t="shared" si="7"/>
        <v>12</v>
      </c>
      <c r="R46" s="212">
        <f t="shared" si="8"/>
        <v>62</v>
      </c>
      <c r="S46" s="202" t="s">
        <v>812</v>
      </c>
      <c r="T46" s="208" t="s">
        <v>817</v>
      </c>
      <c r="U46" s="202">
        <v>120</v>
      </c>
      <c r="V46" s="202">
        <v>122</v>
      </c>
      <c r="W46" s="204">
        <v>43781</v>
      </c>
      <c r="X46" s="205">
        <v>43905</v>
      </c>
      <c r="Y46" s="205">
        <v>43997</v>
      </c>
      <c r="Z46" s="311">
        <f t="shared" si="0"/>
        <v>2020</v>
      </c>
      <c r="AA46" s="311">
        <f t="shared" si="1"/>
        <v>6</v>
      </c>
      <c r="AB46" s="211" t="s">
        <v>920</v>
      </c>
      <c r="AC46" s="217" t="s">
        <v>422</v>
      </c>
      <c r="AD46" s="217" t="s">
        <v>422</v>
      </c>
      <c r="AE46" s="217" t="s">
        <v>422</v>
      </c>
      <c r="AF46" s="217" t="s">
        <v>422</v>
      </c>
      <c r="AG46" s="217" t="s">
        <v>422</v>
      </c>
      <c r="AH46" s="217" t="s">
        <v>423</v>
      </c>
      <c r="AI46" s="217" t="s">
        <v>422</v>
      </c>
      <c r="AJ46" s="217" t="s">
        <v>423</v>
      </c>
      <c r="AK46" s="222" t="s">
        <v>888</v>
      </c>
      <c r="AL46" s="209"/>
      <c r="AM46" s="209"/>
    </row>
    <row r="47" spans="1:39" ht="16.5" customHeight="1" x14ac:dyDescent="0.3">
      <c r="A47" s="185">
        <v>47</v>
      </c>
      <c r="B47" s="212" t="s">
        <v>809</v>
      </c>
      <c r="C47" s="247" t="s">
        <v>1618</v>
      </c>
      <c r="D47" s="200" t="s">
        <v>1881</v>
      </c>
      <c r="E47" s="212"/>
      <c r="F47" s="212"/>
      <c r="G47" s="259" t="s">
        <v>1604</v>
      </c>
      <c r="H47" s="212" t="s">
        <v>1008</v>
      </c>
      <c r="I47" s="357">
        <v>2</v>
      </c>
      <c r="J47" s="212">
        <v>8</v>
      </c>
      <c r="K47" s="212">
        <v>0</v>
      </c>
      <c r="L47" s="212">
        <v>1.5</v>
      </c>
      <c r="M47" s="212">
        <f t="shared" si="3"/>
        <v>11.5</v>
      </c>
      <c r="N47" s="212">
        <f t="shared" si="4"/>
        <v>16</v>
      </c>
      <c r="O47" s="212">
        <f t="shared" si="5"/>
        <v>32</v>
      </c>
      <c r="P47" s="212">
        <f t="shared" si="6"/>
        <v>0</v>
      </c>
      <c r="Q47" s="212">
        <f t="shared" si="7"/>
        <v>12</v>
      </c>
      <c r="R47" s="212">
        <f t="shared" si="8"/>
        <v>60</v>
      </c>
      <c r="S47" s="202" t="s">
        <v>813</v>
      </c>
      <c r="T47" s="208" t="s">
        <v>818</v>
      </c>
      <c r="U47" s="202">
        <v>120</v>
      </c>
      <c r="V47" s="202">
        <v>122</v>
      </c>
      <c r="W47" s="204">
        <v>43781</v>
      </c>
      <c r="X47" s="205">
        <v>43905</v>
      </c>
      <c r="Y47" s="205">
        <v>43997</v>
      </c>
      <c r="Z47" s="311">
        <f t="shared" si="0"/>
        <v>2020</v>
      </c>
      <c r="AA47" s="311">
        <f t="shared" si="1"/>
        <v>6</v>
      </c>
      <c r="AB47" s="211" t="s">
        <v>920</v>
      </c>
      <c r="AC47" s="217" t="s">
        <v>422</v>
      </c>
      <c r="AD47" s="217" t="s">
        <v>422</v>
      </c>
      <c r="AE47" s="217" t="s">
        <v>422</v>
      </c>
      <c r="AF47" s="217" t="s">
        <v>422</v>
      </c>
      <c r="AG47" s="217" t="s">
        <v>423</v>
      </c>
      <c r="AH47" s="217" t="s">
        <v>423</v>
      </c>
      <c r="AI47" s="217" t="s">
        <v>422</v>
      </c>
      <c r="AJ47" s="217" t="s">
        <v>423</v>
      </c>
      <c r="AK47" s="222" t="s">
        <v>1008</v>
      </c>
      <c r="AL47" s="209"/>
      <c r="AM47" s="209"/>
    </row>
    <row r="48" spans="1:39" x14ac:dyDescent="0.3">
      <c r="A48" s="185">
        <v>48</v>
      </c>
      <c r="B48" s="212" t="s">
        <v>810</v>
      </c>
      <c r="C48" s="247" t="s">
        <v>1618</v>
      </c>
      <c r="D48" s="200" t="s">
        <v>1881</v>
      </c>
      <c r="E48" s="212"/>
      <c r="F48" s="212" t="s">
        <v>1597</v>
      </c>
      <c r="G48" s="259" t="s">
        <v>1604</v>
      </c>
      <c r="H48" s="212" t="s">
        <v>1597</v>
      </c>
      <c r="I48" s="212">
        <v>2</v>
      </c>
      <c r="J48" s="357">
        <v>12</v>
      </c>
      <c r="K48" s="212">
        <v>0</v>
      </c>
      <c r="L48" s="212">
        <v>1</v>
      </c>
      <c r="M48" s="212">
        <f t="shared" si="3"/>
        <v>15</v>
      </c>
      <c r="N48" s="212">
        <f t="shared" si="4"/>
        <v>16</v>
      </c>
      <c r="O48" s="212">
        <f t="shared" si="5"/>
        <v>48</v>
      </c>
      <c r="P48" s="212">
        <f t="shared" si="6"/>
        <v>0</v>
      </c>
      <c r="Q48" s="212">
        <f t="shared" si="7"/>
        <v>8</v>
      </c>
      <c r="R48" s="212">
        <f t="shared" si="8"/>
        <v>72</v>
      </c>
      <c r="S48" s="202" t="s">
        <v>814</v>
      </c>
      <c r="T48" s="208" t="s">
        <v>819</v>
      </c>
      <c r="U48" s="202">
        <v>120</v>
      </c>
      <c r="V48" s="202">
        <v>122</v>
      </c>
      <c r="W48" s="204">
        <v>43781</v>
      </c>
      <c r="X48" s="205">
        <v>43905</v>
      </c>
      <c r="Y48" s="205">
        <v>43997</v>
      </c>
      <c r="Z48" s="311">
        <f t="shared" si="0"/>
        <v>2020</v>
      </c>
      <c r="AA48" s="311">
        <f t="shared" si="1"/>
        <v>6</v>
      </c>
      <c r="AB48" s="211" t="s">
        <v>920</v>
      </c>
      <c r="AC48" s="217" t="s">
        <v>422</v>
      </c>
      <c r="AD48" s="217" t="s">
        <v>422</v>
      </c>
      <c r="AE48" s="217" t="s">
        <v>422</v>
      </c>
      <c r="AF48" s="217" t="s">
        <v>422</v>
      </c>
      <c r="AG48" s="217" t="s">
        <v>423</v>
      </c>
      <c r="AH48" s="217" t="s">
        <v>423</v>
      </c>
      <c r="AI48" s="217" t="s">
        <v>423</v>
      </c>
      <c r="AJ48" s="217" t="s">
        <v>423</v>
      </c>
      <c r="AK48" s="222" t="s">
        <v>1009</v>
      </c>
      <c r="AL48" s="209"/>
      <c r="AM48" s="209"/>
    </row>
    <row r="49" spans="1:39" x14ac:dyDescent="0.3">
      <c r="A49" s="185">
        <v>49</v>
      </c>
      <c r="B49" s="212" t="s">
        <v>811</v>
      </c>
      <c r="C49" s="247" t="s">
        <v>1618</v>
      </c>
      <c r="D49" s="200" t="s">
        <v>1881</v>
      </c>
      <c r="E49" s="212"/>
      <c r="F49" s="212"/>
      <c r="G49" s="259" t="s">
        <v>1604</v>
      </c>
      <c r="H49" s="212" t="s">
        <v>1947</v>
      </c>
      <c r="I49" s="357">
        <v>2</v>
      </c>
      <c r="J49" s="212">
        <v>6</v>
      </c>
      <c r="K49" s="212">
        <v>0</v>
      </c>
      <c r="L49" s="212">
        <v>1</v>
      </c>
      <c r="M49" s="212">
        <f t="shared" si="3"/>
        <v>9</v>
      </c>
      <c r="N49" s="212">
        <f t="shared" si="4"/>
        <v>16</v>
      </c>
      <c r="O49" s="212">
        <f t="shared" si="5"/>
        <v>24</v>
      </c>
      <c r="P49" s="212">
        <f t="shared" si="6"/>
        <v>0</v>
      </c>
      <c r="Q49" s="212">
        <f t="shared" si="7"/>
        <v>8</v>
      </c>
      <c r="R49" s="212">
        <f t="shared" si="8"/>
        <v>48</v>
      </c>
      <c r="S49" s="202" t="s">
        <v>815</v>
      </c>
      <c r="T49" s="208" t="s">
        <v>921</v>
      </c>
      <c r="U49" s="202">
        <v>120</v>
      </c>
      <c r="V49" s="202">
        <v>122</v>
      </c>
      <c r="W49" s="204">
        <v>43781</v>
      </c>
      <c r="X49" s="205">
        <v>43905</v>
      </c>
      <c r="Y49" s="205">
        <v>43997</v>
      </c>
      <c r="Z49" s="311">
        <f t="shared" si="0"/>
        <v>2020</v>
      </c>
      <c r="AA49" s="311">
        <f t="shared" si="1"/>
        <v>6</v>
      </c>
      <c r="AB49" s="211" t="s">
        <v>920</v>
      </c>
      <c r="AC49" s="217" t="s">
        <v>422</v>
      </c>
      <c r="AD49" s="217" t="s">
        <v>422</v>
      </c>
      <c r="AE49" s="217" t="s">
        <v>422</v>
      </c>
      <c r="AF49" s="217" t="s">
        <v>422</v>
      </c>
      <c r="AG49" s="217" t="s">
        <v>423</v>
      </c>
      <c r="AH49" s="217" t="s">
        <v>423</v>
      </c>
      <c r="AI49" s="217" t="s">
        <v>423</v>
      </c>
      <c r="AJ49" s="217" t="s">
        <v>423</v>
      </c>
      <c r="AK49" s="222" t="s">
        <v>1010</v>
      </c>
      <c r="AL49" s="209"/>
      <c r="AM49" s="209"/>
    </row>
    <row r="50" spans="1:39" x14ac:dyDescent="0.3">
      <c r="A50" s="185">
        <v>50</v>
      </c>
      <c r="B50" s="212" t="s">
        <v>820</v>
      </c>
      <c r="C50" s="247" t="s">
        <v>1615</v>
      </c>
      <c r="D50" s="200" t="s">
        <v>1881</v>
      </c>
      <c r="E50" s="212"/>
      <c r="F50" s="212" t="s">
        <v>1597</v>
      </c>
      <c r="G50" s="259" t="s">
        <v>1604</v>
      </c>
      <c r="H50" s="212" t="s">
        <v>1597</v>
      </c>
      <c r="I50" s="212">
        <v>2</v>
      </c>
      <c r="J50" s="357">
        <v>15</v>
      </c>
      <c r="K50" s="212">
        <v>0</v>
      </c>
      <c r="L50" s="212">
        <v>1.5</v>
      </c>
      <c r="M50" s="212">
        <f t="shared" si="3"/>
        <v>18.5</v>
      </c>
      <c r="N50" s="212">
        <f t="shared" si="4"/>
        <v>16</v>
      </c>
      <c r="O50" s="212">
        <f t="shared" si="5"/>
        <v>60</v>
      </c>
      <c r="P50" s="212">
        <f t="shared" si="6"/>
        <v>0</v>
      </c>
      <c r="Q50" s="212">
        <f t="shared" si="7"/>
        <v>12</v>
      </c>
      <c r="R50" s="212">
        <f t="shared" si="8"/>
        <v>88</v>
      </c>
      <c r="S50" s="202" t="s">
        <v>956</v>
      </c>
      <c r="T50" s="208" t="s">
        <v>932</v>
      </c>
      <c r="U50" s="202">
        <v>99</v>
      </c>
      <c r="V50" s="202">
        <v>100</v>
      </c>
      <c r="W50" s="204">
        <v>43834</v>
      </c>
      <c r="X50" s="205">
        <v>43894</v>
      </c>
      <c r="Y50" s="205">
        <v>43997</v>
      </c>
      <c r="Z50" s="311">
        <f t="shared" si="0"/>
        <v>2020</v>
      </c>
      <c r="AA50" s="311">
        <f t="shared" si="1"/>
        <v>6</v>
      </c>
      <c r="AB50" s="211" t="s">
        <v>920</v>
      </c>
      <c r="AC50" s="217" t="s">
        <v>422</v>
      </c>
      <c r="AD50" s="217" t="s">
        <v>422</v>
      </c>
      <c r="AE50" s="217" t="s">
        <v>422</v>
      </c>
      <c r="AF50" s="217" t="s">
        <v>422</v>
      </c>
      <c r="AG50" s="217" t="s">
        <v>423</v>
      </c>
      <c r="AH50" s="217" t="s">
        <v>423</v>
      </c>
      <c r="AI50" s="217" t="s">
        <v>422</v>
      </c>
      <c r="AJ50" s="217" t="s">
        <v>423</v>
      </c>
      <c r="AK50" s="222" t="s">
        <v>108</v>
      </c>
      <c r="AL50" s="209"/>
      <c r="AM50" s="209"/>
    </row>
    <row r="51" spans="1:39" x14ac:dyDescent="0.3">
      <c r="A51" s="185">
        <v>66</v>
      </c>
      <c r="B51" s="212" t="s">
        <v>836</v>
      </c>
      <c r="C51" s="212" t="s">
        <v>1845</v>
      </c>
      <c r="D51" s="335" t="s">
        <v>1848</v>
      </c>
      <c r="E51" s="212"/>
      <c r="F51" s="212"/>
      <c r="G51" s="212" t="s">
        <v>1940</v>
      </c>
      <c r="H51" s="212" t="s">
        <v>1041</v>
      </c>
      <c r="I51" s="357">
        <v>2</v>
      </c>
      <c r="J51" s="212">
        <v>9</v>
      </c>
      <c r="K51" s="212">
        <v>9</v>
      </c>
      <c r="L51" s="212">
        <v>1</v>
      </c>
      <c r="M51" s="212">
        <f t="shared" si="3"/>
        <v>21</v>
      </c>
      <c r="N51" s="212">
        <f t="shared" si="4"/>
        <v>16</v>
      </c>
      <c r="O51" s="212">
        <f t="shared" si="5"/>
        <v>36</v>
      </c>
      <c r="P51" s="212">
        <f t="shared" si="6"/>
        <v>60</v>
      </c>
      <c r="Q51" s="212">
        <f t="shared" si="7"/>
        <v>8</v>
      </c>
      <c r="R51" s="212">
        <f t="shared" si="8"/>
        <v>120</v>
      </c>
      <c r="S51" s="213" t="s">
        <v>873</v>
      </c>
      <c r="T51" s="217" t="s">
        <v>873</v>
      </c>
      <c r="U51" s="213">
        <v>54</v>
      </c>
      <c r="V51" s="213">
        <v>58</v>
      </c>
      <c r="W51" s="215">
        <v>43868</v>
      </c>
      <c r="X51" s="216">
        <v>43920</v>
      </c>
      <c r="Y51" s="205">
        <v>44006</v>
      </c>
      <c r="Z51" s="311">
        <f t="shared" si="0"/>
        <v>2020</v>
      </c>
      <c r="AA51" s="311">
        <f t="shared" si="1"/>
        <v>6</v>
      </c>
      <c r="AB51" s="217" t="s">
        <v>920</v>
      </c>
      <c r="AC51" s="217" t="s">
        <v>422</v>
      </c>
      <c r="AD51" s="217" t="s">
        <v>422</v>
      </c>
      <c r="AE51" s="217" t="s">
        <v>422</v>
      </c>
      <c r="AF51" s="217" t="s">
        <v>422</v>
      </c>
      <c r="AG51" s="217" t="s">
        <v>422</v>
      </c>
      <c r="AH51" s="217" t="s">
        <v>422</v>
      </c>
      <c r="AI51" s="217" t="s">
        <v>423</v>
      </c>
      <c r="AJ51" s="217" t="s">
        <v>423</v>
      </c>
      <c r="AK51" s="218" t="s">
        <v>1041</v>
      </c>
      <c r="AL51" s="218"/>
      <c r="AM51" s="218"/>
    </row>
    <row r="52" spans="1:39" ht="15" customHeight="1" x14ac:dyDescent="0.3">
      <c r="A52" s="185">
        <v>80</v>
      </c>
      <c r="B52" s="212" t="s">
        <v>900</v>
      </c>
      <c r="C52" s="212" t="s">
        <v>1615</v>
      </c>
      <c r="D52" s="335" t="s">
        <v>1881</v>
      </c>
      <c r="E52" s="212"/>
      <c r="F52" s="212"/>
      <c r="G52" s="259" t="s">
        <v>1604</v>
      </c>
      <c r="H52" s="212" t="s">
        <v>1010</v>
      </c>
      <c r="I52" s="357">
        <v>2</v>
      </c>
      <c r="J52" s="212">
        <v>10.5</v>
      </c>
      <c r="K52" s="212">
        <v>0</v>
      </c>
      <c r="L52" s="212">
        <v>1.5</v>
      </c>
      <c r="M52" s="212">
        <f t="shared" si="3"/>
        <v>14</v>
      </c>
      <c r="N52" s="212">
        <f t="shared" si="4"/>
        <v>16</v>
      </c>
      <c r="O52" s="212">
        <f t="shared" si="5"/>
        <v>42</v>
      </c>
      <c r="P52" s="212">
        <f t="shared" si="6"/>
        <v>0</v>
      </c>
      <c r="Q52" s="212">
        <f t="shared" si="7"/>
        <v>12</v>
      </c>
      <c r="R52" s="212">
        <f t="shared" si="8"/>
        <v>70</v>
      </c>
      <c r="S52" s="213" t="s">
        <v>936</v>
      </c>
      <c r="T52" s="214" t="s">
        <v>939</v>
      </c>
      <c r="U52" s="213">
        <v>140</v>
      </c>
      <c r="V52" s="213">
        <v>146</v>
      </c>
      <c r="W52" s="215">
        <v>43875</v>
      </c>
      <c r="X52" s="216">
        <v>43905</v>
      </c>
      <c r="Y52" s="205">
        <v>44006</v>
      </c>
      <c r="Z52" s="311">
        <f t="shared" si="0"/>
        <v>2020</v>
      </c>
      <c r="AA52" s="311">
        <f t="shared" si="1"/>
        <v>6</v>
      </c>
      <c r="AB52" s="217" t="s">
        <v>920</v>
      </c>
      <c r="AC52" s="217" t="s">
        <v>422</v>
      </c>
      <c r="AD52" s="217" t="s">
        <v>422</v>
      </c>
      <c r="AE52" s="217" t="s">
        <v>422</v>
      </c>
      <c r="AF52" s="217" t="s">
        <v>422</v>
      </c>
      <c r="AG52" s="217" t="s">
        <v>422</v>
      </c>
      <c r="AH52" s="217" t="s">
        <v>423</v>
      </c>
      <c r="AI52" s="217" t="s">
        <v>423</v>
      </c>
      <c r="AJ52" s="217" t="s">
        <v>423</v>
      </c>
      <c r="AK52" s="218" t="s">
        <v>140</v>
      </c>
      <c r="AL52" s="209"/>
      <c r="AM52" s="209"/>
    </row>
    <row r="53" spans="1:39" ht="15" customHeight="1" x14ac:dyDescent="0.3">
      <c r="A53" s="185">
        <v>82</v>
      </c>
      <c r="B53" s="212" t="s">
        <v>902</v>
      </c>
      <c r="C53" s="212" t="s">
        <v>1615</v>
      </c>
      <c r="D53" s="335" t="s">
        <v>1881</v>
      </c>
      <c r="E53" s="212"/>
      <c r="F53" s="212"/>
      <c r="G53" s="259" t="s">
        <v>1604</v>
      </c>
      <c r="H53" s="212" t="s">
        <v>1040</v>
      </c>
      <c r="I53" s="357">
        <v>2</v>
      </c>
      <c r="J53" s="212">
        <v>4.5</v>
      </c>
      <c r="K53" s="212">
        <v>0</v>
      </c>
      <c r="L53" s="212">
        <v>1</v>
      </c>
      <c r="M53" s="212">
        <f t="shared" si="3"/>
        <v>7.5</v>
      </c>
      <c r="N53" s="212">
        <f t="shared" si="4"/>
        <v>16</v>
      </c>
      <c r="O53" s="212">
        <f t="shared" si="5"/>
        <v>18</v>
      </c>
      <c r="P53" s="212">
        <f t="shared" si="6"/>
        <v>0</v>
      </c>
      <c r="Q53" s="212">
        <f t="shared" si="7"/>
        <v>8</v>
      </c>
      <c r="R53" s="212">
        <f t="shared" si="8"/>
        <v>42</v>
      </c>
      <c r="S53" s="213" t="s">
        <v>937</v>
      </c>
      <c r="T53" s="214" t="s">
        <v>938</v>
      </c>
      <c r="U53" s="213">
        <v>166</v>
      </c>
      <c r="V53" s="213">
        <v>170</v>
      </c>
      <c r="W53" s="215">
        <v>43875</v>
      </c>
      <c r="X53" s="216">
        <v>43905</v>
      </c>
      <c r="Y53" s="205">
        <v>44006</v>
      </c>
      <c r="Z53" s="311">
        <f t="shared" si="0"/>
        <v>2020</v>
      </c>
      <c r="AA53" s="311">
        <f t="shared" si="1"/>
        <v>6</v>
      </c>
      <c r="AB53" s="217" t="s">
        <v>920</v>
      </c>
      <c r="AC53" s="217" t="s">
        <v>422</v>
      </c>
      <c r="AD53" s="217" t="s">
        <v>422</v>
      </c>
      <c r="AE53" s="217" t="s">
        <v>422</v>
      </c>
      <c r="AF53" s="217" t="s">
        <v>422</v>
      </c>
      <c r="AG53" s="217" t="s">
        <v>422</v>
      </c>
      <c r="AH53" s="217" t="s">
        <v>423</v>
      </c>
      <c r="AI53" s="217" t="s">
        <v>423</v>
      </c>
      <c r="AJ53" s="217" t="s">
        <v>423</v>
      </c>
      <c r="AK53" s="218" t="s">
        <v>254</v>
      </c>
      <c r="AL53" s="209"/>
      <c r="AM53" s="209"/>
    </row>
    <row r="54" spans="1:39" ht="15" customHeight="1" x14ac:dyDescent="0.3">
      <c r="A54" s="185">
        <v>83</v>
      </c>
      <c r="B54" s="212" t="s">
        <v>903</v>
      </c>
      <c r="C54" s="212" t="s">
        <v>1615</v>
      </c>
      <c r="D54" s="201" t="s">
        <v>1881</v>
      </c>
      <c r="E54" s="212"/>
      <c r="F54" s="212"/>
      <c r="G54" s="259" t="s">
        <v>1604</v>
      </c>
      <c r="H54" s="212" t="s">
        <v>1010</v>
      </c>
      <c r="I54" s="357">
        <v>2</v>
      </c>
      <c r="J54" s="212">
        <v>10.5</v>
      </c>
      <c r="K54" s="212">
        <v>0</v>
      </c>
      <c r="L54" s="212">
        <v>1.5</v>
      </c>
      <c r="M54" s="212">
        <f t="shared" si="3"/>
        <v>14</v>
      </c>
      <c r="N54" s="212">
        <f t="shared" si="4"/>
        <v>16</v>
      </c>
      <c r="O54" s="212">
        <f t="shared" si="5"/>
        <v>42</v>
      </c>
      <c r="P54" s="212">
        <f t="shared" si="6"/>
        <v>0</v>
      </c>
      <c r="Q54" s="212">
        <f t="shared" si="7"/>
        <v>12</v>
      </c>
      <c r="R54" s="212">
        <f t="shared" si="8"/>
        <v>70</v>
      </c>
      <c r="S54" s="213" t="s">
        <v>949</v>
      </c>
      <c r="T54" s="214" t="s">
        <v>951</v>
      </c>
      <c r="U54" s="213">
        <v>124</v>
      </c>
      <c r="V54" s="213">
        <v>127</v>
      </c>
      <c r="W54" s="215">
        <v>43875</v>
      </c>
      <c r="X54" s="216">
        <v>43905</v>
      </c>
      <c r="Y54" s="205">
        <v>44006</v>
      </c>
      <c r="Z54" s="311">
        <f t="shared" si="0"/>
        <v>2020</v>
      </c>
      <c r="AA54" s="311">
        <f t="shared" si="1"/>
        <v>6</v>
      </c>
      <c r="AB54" s="217" t="s">
        <v>920</v>
      </c>
      <c r="AC54" s="217" t="s">
        <v>422</v>
      </c>
      <c r="AD54" s="217" t="s">
        <v>422</v>
      </c>
      <c r="AE54" s="217" t="s">
        <v>422</v>
      </c>
      <c r="AF54" s="217" t="s">
        <v>422</v>
      </c>
      <c r="AG54" s="217" t="s">
        <v>422</v>
      </c>
      <c r="AH54" s="217" t="s">
        <v>423</v>
      </c>
      <c r="AI54" s="217" t="s">
        <v>423</v>
      </c>
      <c r="AJ54" s="217" t="s">
        <v>423</v>
      </c>
      <c r="AK54" s="218" t="s">
        <v>140</v>
      </c>
      <c r="AL54" s="209"/>
      <c r="AM54" s="209"/>
    </row>
    <row r="55" spans="1:39" ht="15" customHeight="1" x14ac:dyDescent="0.3">
      <c r="A55" s="185">
        <v>84</v>
      </c>
      <c r="B55" s="212" t="s">
        <v>904</v>
      </c>
      <c r="C55" s="212" t="s">
        <v>1615</v>
      </c>
      <c r="D55" s="201" t="s">
        <v>1881</v>
      </c>
      <c r="E55" s="212"/>
      <c r="F55" s="212"/>
      <c r="G55" s="259" t="s">
        <v>1604</v>
      </c>
      <c r="H55" s="212"/>
      <c r="I55" s="357">
        <v>2</v>
      </c>
      <c r="J55" s="358">
        <v>6.5</v>
      </c>
      <c r="K55" s="212">
        <v>0</v>
      </c>
      <c r="L55" s="212">
        <v>1</v>
      </c>
      <c r="M55" s="212">
        <f t="shared" si="3"/>
        <v>9.5</v>
      </c>
      <c r="N55" s="212">
        <f t="shared" si="4"/>
        <v>16</v>
      </c>
      <c r="O55" s="212">
        <f t="shared" si="5"/>
        <v>26</v>
      </c>
      <c r="P55" s="212">
        <f t="shared" si="6"/>
        <v>0</v>
      </c>
      <c r="Q55" s="212">
        <f t="shared" si="7"/>
        <v>8</v>
      </c>
      <c r="R55" s="212">
        <f t="shared" si="8"/>
        <v>50</v>
      </c>
      <c r="S55" s="213" t="s">
        <v>952</v>
      </c>
      <c r="T55" s="214" t="s">
        <v>953</v>
      </c>
      <c r="U55" s="213">
        <v>47</v>
      </c>
      <c r="V55" s="213">
        <v>48</v>
      </c>
      <c r="W55" s="215">
        <v>43875</v>
      </c>
      <c r="X55" s="216">
        <v>43905</v>
      </c>
      <c r="Y55" s="205">
        <v>44006</v>
      </c>
      <c r="Z55" s="311">
        <f t="shared" si="0"/>
        <v>2020</v>
      </c>
      <c r="AA55" s="311">
        <f t="shared" si="1"/>
        <v>6</v>
      </c>
      <c r="AB55" s="217" t="s">
        <v>920</v>
      </c>
      <c r="AC55" s="217" t="s">
        <v>422</v>
      </c>
      <c r="AD55" s="217" t="s">
        <v>422</v>
      </c>
      <c r="AE55" s="217" t="s">
        <v>422</v>
      </c>
      <c r="AF55" s="217" t="s">
        <v>422</v>
      </c>
      <c r="AG55" s="217" t="s">
        <v>422</v>
      </c>
      <c r="AH55" s="217" t="s">
        <v>423</v>
      </c>
      <c r="AI55" s="217" t="s">
        <v>423</v>
      </c>
      <c r="AJ55" s="217" t="s">
        <v>423</v>
      </c>
      <c r="AK55" s="218" t="s">
        <v>140</v>
      </c>
      <c r="AL55" s="209"/>
      <c r="AM55" s="209"/>
    </row>
    <row r="56" spans="1:39" ht="15" customHeight="1" x14ac:dyDescent="0.3">
      <c r="A56" s="185">
        <v>85</v>
      </c>
      <c r="B56" s="212" t="s">
        <v>905</v>
      </c>
      <c r="C56" s="212" t="s">
        <v>1615</v>
      </c>
      <c r="D56" s="201" t="s">
        <v>1881</v>
      </c>
      <c r="E56" s="212"/>
      <c r="F56" s="212"/>
      <c r="G56" s="259" t="s">
        <v>1604</v>
      </c>
      <c r="H56" s="212" t="s">
        <v>1010</v>
      </c>
      <c r="I56" s="357">
        <v>2</v>
      </c>
      <c r="J56" s="212">
        <v>10.5</v>
      </c>
      <c r="K56" s="212">
        <v>0</v>
      </c>
      <c r="L56" s="212">
        <v>1.5</v>
      </c>
      <c r="M56" s="212">
        <f t="shared" si="3"/>
        <v>14</v>
      </c>
      <c r="N56" s="212">
        <f t="shared" si="4"/>
        <v>16</v>
      </c>
      <c r="O56" s="212">
        <f t="shared" si="5"/>
        <v>42</v>
      </c>
      <c r="P56" s="212">
        <f t="shared" si="6"/>
        <v>0</v>
      </c>
      <c r="Q56" s="212">
        <f t="shared" si="7"/>
        <v>12</v>
      </c>
      <c r="R56" s="212">
        <f t="shared" si="8"/>
        <v>70</v>
      </c>
      <c r="S56" s="213" t="s">
        <v>950</v>
      </c>
      <c r="T56" s="214" t="s">
        <v>951</v>
      </c>
      <c r="U56" s="213">
        <v>64</v>
      </c>
      <c r="V56" s="213">
        <v>66</v>
      </c>
      <c r="W56" s="215">
        <v>43875</v>
      </c>
      <c r="X56" s="216">
        <v>43905</v>
      </c>
      <c r="Y56" s="205">
        <v>44006</v>
      </c>
      <c r="Z56" s="311">
        <f t="shared" si="0"/>
        <v>2020</v>
      </c>
      <c r="AA56" s="311">
        <f t="shared" si="1"/>
        <v>6</v>
      </c>
      <c r="AB56" s="217" t="s">
        <v>920</v>
      </c>
      <c r="AC56" s="217" t="s">
        <v>422</v>
      </c>
      <c r="AD56" s="217" t="s">
        <v>422</v>
      </c>
      <c r="AE56" s="217" t="s">
        <v>422</v>
      </c>
      <c r="AF56" s="217" t="s">
        <v>422</v>
      </c>
      <c r="AG56" s="217" t="s">
        <v>422</v>
      </c>
      <c r="AH56" s="217" t="s">
        <v>423</v>
      </c>
      <c r="AI56" s="217" t="s">
        <v>423</v>
      </c>
      <c r="AJ56" s="217" t="s">
        <v>423</v>
      </c>
      <c r="AK56" s="218" t="s">
        <v>140</v>
      </c>
      <c r="AL56" s="209"/>
      <c r="AM56" s="209"/>
    </row>
    <row r="57" spans="1:39" ht="15" customHeight="1" x14ac:dyDescent="0.3">
      <c r="A57" s="185">
        <v>86</v>
      </c>
      <c r="B57" s="212" t="s">
        <v>906</v>
      </c>
      <c r="C57" s="212" t="s">
        <v>1615</v>
      </c>
      <c r="D57" s="201" t="s">
        <v>1881</v>
      </c>
      <c r="E57" s="212"/>
      <c r="F57" s="212"/>
      <c r="G57" s="259" t="s">
        <v>1604</v>
      </c>
      <c r="H57" s="212" t="s">
        <v>1010</v>
      </c>
      <c r="I57" s="357">
        <v>2</v>
      </c>
      <c r="J57" s="212">
        <v>7.8</v>
      </c>
      <c r="K57" s="212">
        <v>0</v>
      </c>
      <c r="L57" s="212">
        <v>1</v>
      </c>
      <c r="M57" s="212">
        <f t="shared" si="3"/>
        <v>10.8</v>
      </c>
      <c r="N57" s="212">
        <f t="shared" si="4"/>
        <v>16</v>
      </c>
      <c r="O57" s="212">
        <f t="shared" si="5"/>
        <v>31.2</v>
      </c>
      <c r="P57" s="212">
        <f t="shared" si="6"/>
        <v>0</v>
      </c>
      <c r="Q57" s="212">
        <f t="shared" si="7"/>
        <v>8</v>
      </c>
      <c r="R57" s="212">
        <f t="shared" si="8"/>
        <v>55.2</v>
      </c>
      <c r="S57" s="213" t="s">
        <v>954</v>
      </c>
      <c r="T57" s="214" t="s">
        <v>955</v>
      </c>
      <c r="U57" s="213">
        <v>70</v>
      </c>
      <c r="V57" s="213">
        <v>72</v>
      </c>
      <c r="W57" s="215">
        <v>43875</v>
      </c>
      <c r="X57" s="216">
        <v>43905</v>
      </c>
      <c r="Y57" s="205">
        <v>44006</v>
      </c>
      <c r="Z57" s="311">
        <f t="shared" si="0"/>
        <v>2020</v>
      </c>
      <c r="AA57" s="311">
        <f t="shared" si="1"/>
        <v>6</v>
      </c>
      <c r="AB57" s="217" t="s">
        <v>920</v>
      </c>
      <c r="AC57" s="217" t="s">
        <v>422</v>
      </c>
      <c r="AD57" s="217" t="s">
        <v>422</v>
      </c>
      <c r="AE57" s="217" t="s">
        <v>422</v>
      </c>
      <c r="AF57" s="217" t="s">
        <v>422</v>
      </c>
      <c r="AG57" s="217" t="s">
        <v>422</v>
      </c>
      <c r="AH57" s="217" t="s">
        <v>423</v>
      </c>
      <c r="AI57" s="217" t="s">
        <v>423</v>
      </c>
      <c r="AJ57" s="217" t="s">
        <v>423</v>
      </c>
      <c r="AK57" s="218" t="s">
        <v>140</v>
      </c>
      <c r="AL57" s="209"/>
      <c r="AM57" s="209"/>
    </row>
    <row r="58" spans="1:39" ht="15" customHeight="1" x14ac:dyDescent="0.3">
      <c r="A58" s="185">
        <v>95</v>
      </c>
      <c r="B58" s="212" t="s">
        <v>915</v>
      </c>
      <c r="C58" s="212" t="s">
        <v>1618</v>
      </c>
      <c r="D58" s="201" t="s">
        <v>1881</v>
      </c>
      <c r="E58" s="212"/>
      <c r="F58" s="212"/>
      <c r="G58" s="259" t="s">
        <v>1604</v>
      </c>
      <c r="H58" s="212" t="s">
        <v>1944</v>
      </c>
      <c r="I58" s="357">
        <v>2</v>
      </c>
      <c r="J58" s="212">
        <v>8</v>
      </c>
      <c r="K58" s="212">
        <v>0</v>
      </c>
      <c r="L58" s="212">
        <v>1</v>
      </c>
      <c r="M58" s="212">
        <f t="shared" si="3"/>
        <v>11</v>
      </c>
      <c r="N58" s="212">
        <f t="shared" si="4"/>
        <v>16</v>
      </c>
      <c r="O58" s="212">
        <f t="shared" si="5"/>
        <v>32</v>
      </c>
      <c r="P58" s="212">
        <f t="shared" si="6"/>
        <v>0</v>
      </c>
      <c r="Q58" s="212">
        <f t="shared" si="7"/>
        <v>8</v>
      </c>
      <c r="R58" s="212">
        <f t="shared" si="8"/>
        <v>56</v>
      </c>
      <c r="S58" s="213" t="s">
        <v>919</v>
      </c>
      <c r="T58" s="214" t="s">
        <v>916</v>
      </c>
      <c r="U58" s="213">
        <v>60</v>
      </c>
      <c r="V58" s="213">
        <v>62</v>
      </c>
      <c r="W58" s="215">
        <v>43875</v>
      </c>
      <c r="X58" s="216">
        <v>43905</v>
      </c>
      <c r="Y58" s="205">
        <v>43997</v>
      </c>
      <c r="Z58" s="311">
        <f t="shared" si="0"/>
        <v>2020</v>
      </c>
      <c r="AA58" s="311">
        <f t="shared" si="1"/>
        <v>6</v>
      </c>
      <c r="AB58" s="217" t="s">
        <v>920</v>
      </c>
      <c r="AC58" s="217" t="s">
        <v>422</v>
      </c>
      <c r="AD58" s="217" t="s">
        <v>422</v>
      </c>
      <c r="AE58" s="217" t="s">
        <v>422</v>
      </c>
      <c r="AF58" s="217" t="s">
        <v>422</v>
      </c>
      <c r="AG58" s="217" t="s">
        <v>422</v>
      </c>
      <c r="AH58" s="217" t="s">
        <v>423</v>
      </c>
      <c r="AI58" s="217" t="s">
        <v>423</v>
      </c>
      <c r="AJ58" s="217" t="s">
        <v>423</v>
      </c>
      <c r="AK58" s="218" t="s">
        <v>138</v>
      </c>
      <c r="AL58" s="209"/>
      <c r="AM58" s="209"/>
    </row>
    <row r="59" spans="1:39" ht="15" customHeight="1" x14ac:dyDescent="0.3">
      <c r="A59" s="185">
        <v>96</v>
      </c>
      <c r="B59" s="212" t="s">
        <v>929</v>
      </c>
      <c r="C59" s="212" t="s">
        <v>1615</v>
      </c>
      <c r="D59" s="201" t="s">
        <v>1881</v>
      </c>
      <c r="E59" s="212"/>
      <c r="F59" s="212" t="s">
        <v>1597</v>
      </c>
      <c r="G59" s="259" t="s">
        <v>1604</v>
      </c>
      <c r="H59" s="212"/>
      <c r="I59" s="212">
        <v>2</v>
      </c>
      <c r="J59" s="358">
        <v>10</v>
      </c>
      <c r="K59" s="212">
        <v>0</v>
      </c>
      <c r="L59" s="212">
        <v>1.5</v>
      </c>
      <c r="M59" s="212">
        <f t="shared" si="3"/>
        <v>13.5</v>
      </c>
      <c r="N59" s="212">
        <f t="shared" si="4"/>
        <v>16</v>
      </c>
      <c r="O59" s="212">
        <f t="shared" si="5"/>
        <v>40</v>
      </c>
      <c r="P59" s="212">
        <f t="shared" si="6"/>
        <v>0</v>
      </c>
      <c r="Q59" s="212">
        <f t="shared" si="7"/>
        <v>12</v>
      </c>
      <c r="R59" s="212">
        <f t="shared" si="8"/>
        <v>68</v>
      </c>
      <c r="S59" s="213" t="s">
        <v>934</v>
      </c>
      <c r="T59" s="214" t="s">
        <v>932</v>
      </c>
      <c r="U59" s="213">
        <v>114</v>
      </c>
      <c r="V59" s="213">
        <v>116</v>
      </c>
      <c r="W59" s="215">
        <v>43875</v>
      </c>
      <c r="X59" s="216">
        <v>43936</v>
      </c>
      <c r="Y59" s="205">
        <v>44006</v>
      </c>
      <c r="Z59" s="311">
        <f t="shared" si="0"/>
        <v>2020</v>
      </c>
      <c r="AA59" s="311">
        <f t="shared" si="1"/>
        <v>6</v>
      </c>
      <c r="AB59" s="217" t="s">
        <v>920</v>
      </c>
      <c r="AC59" s="217" t="s">
        <v>422</v>
      </c>
      <c r="AD59" s="217" t="s">
        <v>422</v>
      </c>
      <c r="AE59" s="217" t="s">
        <v>422</v>
      </c>
      <c r="AF59" s="217" t="s">
        <v>422</v>
      </c>
      <c r="AG59" s="217" t="s">
        <v>422</v>
      </c>
      <c r="AH59" s="217" t="s">
        <v>423</v>
      </c>
      <c r="AI59" s="217" t="s">
        <v>422</v>
      </c>
      <c r="AJ59" s="217" t="s">
        <v>423</v>
      </c>
      <c r="AK59" s="218" t="s">
        <v>108</v>
      </c>
      <c r="AL59" s="209"/>
      <c r="AM59" s="209"/>
    </row>
    <row r="60" spans="1:39" ht="15" customHeight="1" x14ac:dyDescent="0.3">
      <c r="A60" s="185">
        <v>114</v>
      </c>
      <c r="B60" s="212" t="s">
        <v>1019</v>
      </c>
      <c r="C60" s="212" t="s">
        <v>108</v>
      </c>
      <c r="D60" s="201" t="s">
        <v>1849</v>
      </c>
      <c r="E60" s="212"/>
      <c r="F60" s="212"/>
      <c r="G60" s="259" t="s">
        <v>1604</v>
      </c>
      <c r="H60" s="212"/>
      <c r="I60" s="212">
        <v>0.5</v>
      </c>
      <c r="J60" s="212">
        <v>2</v>
      </c>
      <c r="K60" s="212">
        <v>0</v>
      </c>
      <c r="L60" s="212">
        <v>1</v>
      </c>
      <c r="M60" s="212">
        <f t="shared" si="3"/>
        <v>3.5</v>
      </c>
      <c r="N60" s="212">
        <f t="shared" si="4"/>
        <v>4</v>
      </c>
      <c r="O60" s="212">
        <f t="shared" si="5"/>
        <v>8</v>
      </c>
      <c r="P60" s="212">
        <f t="shared" si="6"/>
        <v>0</v>
      </c>
      <c r="Q60" s="212">
        <f t="shared" si="7"/>
        <v>8</v>
      </c>
      <c r="R60" s="212">
        <f t="shared" si="8"/>
        <v>20</v>
      </c>
      <c r="S60" s="229" t="s">
        <v>1020</v>
      </c>
      <c r="T60" s="214" t="s">
        <v>1021</v>
      </c>
      <c r="U60" s="213">
        <f>2016+1008</f>
        <v>3024</v>
      </c>
      <c r="V60" s="213">
        <v>3024</v>
      </c>
      <c r="W60" s="215">
        <v>43979</v>
      </c>
      <c r="X60" s="216">
        <v>44027</v>
      </c>
      <c r="Y60" s="205">
        <v>44012</v>
      </c>
      <c r="Z60" s="311">
        <f t="shared" si="0"/>
        <v>2020</v>
      </c>
      <c r="AA60" s="311">
        <f t="shared" si="1"/>
        <v>6</v>
      </c>
      <c r="AB60" s="217" t="s">
        <v>920</v>
      </c>
      <c r="AC60" s="217" t="s">
        <v>422</v>
      </c>
      <c r="AD60" s="217" t="s">
        <v>422</v>
      </c>
      <c r="AE60" s="217" t="s">
        <v>422</v>
      </c>
      <c r="AF60" s="217" t="s">
        <v>422</v>
      </c>
      <c r="AG60" s="217" t="s">
        <v>422</v>
      </c>
      <c r="AH60" s="217" t="s">
        <v>422</v>
      </c>
      <c r="AI60" s="217" t="s">
        <v>423</v>
      </c>
      <c r="AJ60" s="217" t="s">
        <v>423</v>
      </c>
      <c r="AK60" s="218" t="s">
        <v>1045</v>
      </c>
      <c r="AL60" s="218"/>
      <c r="AM60" s="218" t="s">
        <v>1194</v>
      </c>
    </row>
    <row r="61" spans="1:39" ht="15" customHeight="1" x14ac:dyDescent="0.3">
      <c r="A61" s="185">
        <v>43</v>
      </c>
      <c r="B61" s="212" t="s">
        <v>999</v>
      </c>
      <c r="C61" s="247" t="s">
        <v>1615</v>
      </c>
      <c r="D61" s="199" t="s">
        <v>1881</v>
      </c>
      <c r="E61" s="212"/>
      <c r="F61" s="212"/>
      <c r="G61" s="259" t="s">
        <v>1604</v>
      </c>
      <c r="H61" s="212" t="s">
        <v>1010</v>
      </c>
      <c r="I61" s="357">
        <v>2</v>
      </c>
      <c r="J61" s="212">
        <v>15</v>
      </c>
      <c r="K61" s="212">
        <v>0</v>
      </c>
      <c r="L61" s="212">
        <v>1</v>
      </c>
      <c r="M61" s="212">
        <f t="shared" si="3"/>
        <v>18</v>
      </c>
      <c r="N61" s="212">
        <f t="shared" si="4"/>
        <v>16</v>
      </c>
      <c r="O61" s="212">
        <f t="shared" si="5"/>
        <v>60</v>
      </c>
      <c r="P61" s="212">
        <f t="shared" si="6"/>
        <v>0</v>
      </c>
      <c r="Q61" s="212">
        <f t="shared" si="7"/>
        <v>8</v>
      </c>
      <c r="R61" s="212">
        <f t="shared" si="8"/>
        <v>84</v>
      </c>
      <c r="S61" s="202" t="s">
        <v>1003</v>
      </c>
      <c r="T61" s="203" t="s">
        <v>1004</v>
      </c>
      <c r="U61" s="202">
        <v>100</v>
      </c>
      <c r="V61" s="202">
        <v>102</v>
      </c>
      <c r="W61" s="204">
        <v>43781</v>
      </c>
      <c r="X61" s="205">
        <v>43905</v>
      </c>
      <c r="Y61" s="205">
        <v>44035</v>
      </c>
      <c r="Z61" s="311">
        <f t="shared" si="0"/>
        <v>2020</v>
      </c>
      <c r="AA61" s="311">
        <f t="shared" si="1"/>
        <v>7</v>
      </c>
      <c r="AB61" s="211" t="s">
        <v>920</v>
      </c>
      <c r="AC61" s="217" t="s">
        <v>422</v>
      </c>
      <c r="AD61" s="217" t="s">
        <v>422</v>
      </c>
      <c r="AE61" s="217" t="s">
        <v>422</v>
      </c>
      <c r="AF61" s="217" t="s">
        <v>422</v>
      </c>
      <c r="AG61" s="217" t="s">
        <v>423</v>
      </c>
      <c r="AH61" s="217" t="s">
        <v>423</v>
      </c>
      <c r="AI61" s="217" t="s">
        <v>423</v>
      </c>
      <c r="AJ61" s="217" t="s">
        <v>423</v>
      </c>
      <c r="AK61" s="222" t="s">
        <v>140</v>
      </c>
      <c r="AL61" s="209"/>
      <c r="AM61" s="209"/>
    </row>
    <row r="62" spans="1:39" x14ac:dyDescent="0.3">
      <c r="A62" s="185">
        <v>68</v>
      </c>
      <c r="B62" s="212" t="s">
        <v>838</v>
      </c>
      <c r="C62" s="212" t="s">
        <v>1618</v>
      </c>
      <c r="D62" s="201" t="s">
        <v>1848</v>
      </c>
      <c r="E62" s="212"/>
      <c r="F62" s="212"/>
      <c r="G62" s="212" t="s">
        <v>1939</v>
      </c>
      <c r="H62" s="212" t="s">
        <v>1040</v>
      </c>
      <c r="I62" s="357">
        <v>2</v>
      </c>
      <c r="J62" s="212">
        <v>9</v>
      </c>
      <c r="K62" s="212">
        <v>9.5</v>
      </c>
      <c r="L62" s="212">
        <v>1</v>
      </c>
      <c r="M62" s="212">
        <f t="shared" si="3"/>
        <v>21.5</v>
      </c>
      <c r="N62" s="212">
        <f t="shared" si="4"/>
        <v>16</v>
      </c>
      <c r="O62" s="212">
        <f t="shared" si="5"/>
        <v>36</v>
      </c>
      <c r="P62" s="212">
        <f t="shared" si="6"/>
        <v>63.333333333333336</v>
      </c>
      <c r="Q62" s="212">
        <f t="shared" si="7"/>
        <v>8</v>
      </c>
      <c r="R62" s="212">
        <f t="shared" si="8"/>
        <v>123.33333333333334</v>
      </c>
      <c r="S62" s="202" t="s">
        <v>878</v>
      </c>
      <c r="T62" s="208" t="s">
        <v>877</v>
      </c>
      <c r="U62" s="202">
        <v>30</v>
      </c>
      <c r="V62" s="202">
        <v>31</v>
      </c>
      <c r="W62" s="204">
        <v>43868</v>
      </c>
      <c r="X62" s="205">
        <v>43905</v>
      </c>
      <c r="Y62" s="205">
        <v>44043</v>
      </c>
      <c r="Z62" s="311">
        <f t="shared" si="0"/>
        <v>2020</v>
      </c>
      <c r="AA62" s="311">
        <f t="shared" si="1"/>
        <v>7</v>
      </c>
      <c r="AB62" s="211" t="s">
        <v>920</v>
      </c>
      <c r="AC62" s="217" t="s">
        <v>422</v>
      </c>
      <c r="AD62" s="217" t="s">
        <v>422</v>
      </c>
      <c r="AE62" s="217" t="s">
        <v>422</v>
      </c>
      <c r="AF62" s="217" t="s">
        <v>422</v>
      </c>
      <c r="AG62" s="217" t="s">
        <v>422</v>
      </c>
      <c r="AH62" s="217" t="s">
        <v>422</v>
      </c>
      <c r="AI62" s="217" t="s">
        <v>423</v>
      </c>
      <c r="AJ62" s="217" t="s">
        <v>423</v>
      </c>
      <c r="AK62" s="222" t="s">
        <v>1040</v>
      </c>
      <c r="AL62" s="209"/>
      <c r="AM62" s="209"/>
    </row>
    <row r="63" spans="1:39" x14ac:dyDescent="0.3">
      <c r="A63" s="185">
        <v>69</v>
      </c>
      <c r="B63" s="212" t="s">
        <v>839</v>
      </c>
      <c r="C63" s="212" t="s">
        <v>1618</v>
      </c>
      <c r="D63" s="201" t="s">
        <v>1848</v>
      </c>
      <c r="E63" s="212"/>
      <c r="F63" s="212"/>
      <c r="G63" s="212" t="s">
        <v>1939</v>
      </c>
      <c r="H63" s="212" t="s">
        <v>1040</v>
      </c>
      <c r="I63" s="357">
        <v>2</v>
      </c>
      <c r="J63" s="212">
        <v>9</v>
      </c>
      <c r="K63" s="212">
        <v>9</v>
      </c>
      <c r="L63" s="212">
        <v>1</v>
      </c>
      <c r="M63" s="212">
        <f t="shared" si="3"/>
        <v>21</v>
      </c>
      <c r="N63" s="212">
        <f t="shared" si="4"/>
        <v>16</v>
      </c>
      <c r="O63" s="212">
        <f t="shared" si="5"/>
        <v>36</v>
      </c>
      <c r="P63" s="212">
        <f t="shared" si="6"/>
        <v>60</v>
      </c>
      <c r="Q63" s="212">
        <f t="shared" si="7"/>
        <v>8</v>
      </c>
      <c r="R63" s="212">
        <f t="shared" si="8"/>
        <v>120</v>
      </c>
      <c r="S63" s="202" t="s">
        <v>878</v>
      </c>
      <c r="T63" s="208" t="s">
        <v>876</v>
      </c>
      <c r="U63" s="202">
        <v>30</v>
      </c>
      <c r="V63" s="202">
        <v>31</v>
      </c>
      <c r="W63" s="204">
        <v>43868</v>
      </c>
      <c r="X63" s="205">
        <v>43905</v>
      </c>
      <c r="Y63" s="205">
        <v>44043</v>
      </c>
      <c r="Z63" s="311">
        <f t="shared" si="0"/>
        <v>2020</v>
      </c>
      <c r="AA63" s="311">
        <f t="shared" si="1"/>
        <v>7</v>
      </c>
      <c r="AB63" s="211" t="s">
        <v>920</v>
      </c>
      <c r="AC63" s="217" t="s">
        <v>422</v>
      </c>
      <c r="AD63" s="217" t="s">
        <v>422</v>
      </c>
      <c r="AE63" s="217" t="s">
        <v>422</v>
      </c>
      <c r="AF63" s="217" t="s">
        <v>422</v>
      </c>
      <c r="AG63" s="217" t="s">
        <v>422</v>
      </c>
      <c r="AH63" s="217" t="s">
        <v>422</v>
      </c>
      <c r="AI63" s="217" t="s">
        <v>423</v>
      </c>
      <c r="AJ63" s="217" t="s">
        <v>423</v>
      </c>
      <c r="AK63" s="222" t="s">
        <v>1040</v>
      </c>
      <c r="AL63" s="209"/>
      <c r="AM63" s="209"/>
    </row>
    <row r="64" spans="1:39" x14ac:dyDescent="0.3">
      <c r="A64" s="185">
        <v>70</v>
      </c>
      <c r="B64" s="212" t="s">
        <v>840</v>
      </c>
      <c r="C64" s="212" t="s">
        <v>1618</v>
      </c>
      <c r="D64" s="201" t="s">
        <v>1848</v>
      </c>
      <c r="E64" s="212"/>
      <c r="F64" s="212"/>
      <c r="G64" s="212" t="s">
        <v>1939</v>
      </c>
      <c r="H64" s="212" t="s">
        <v>1040</v>
      </c>
      <c r="I64" s="357">
        <v>2</v>
      </c>
      <c r="J64" s="212">
        <v>4.7</v>
      </c>
      <c r="K64" s="212">
        <v>11</v>
      </c>
      <c r="L64" s="212">
        <v>1</v>
      </c>
      <c r="M64" s="212">
        <f t="shared" si="3"/>
        <v>18.7</v>
      </c>
      <c r="N64" s="212">
        <f t="shared" si="4"/>
        <v>16</v>
      </c>
      <c r="O64" s="212">
        <f t="shared" si="5"/>
        <v>18.8</v>
      </c>
      <c r="P64" s="212">
        <f t="shared" si="6"/>
        <v>73.333333333333343</v>
      </c>
      <c r="Q64" s="212">
        <f t="shared" si="7"/>
        <v>8</v>
      </c>
      <c r="R64" s="212">
        <f t="shared" si="8"/>
        <v>116.13333333333334</v>
      </c>
      <c r="S64" s="202" t="s">
        <v>879</v>
      </c>
      <c r="T64" s="208" t="s">
        <v>890</v>
      </c>
      <c r="U64" s="202">
        <v>20</v>
      </c>
      <c r="V64" s="202">
        <v>21</v>
      </c>
      <c r="W64" s="204">
        <v>43868</v>
      </c>
      <c r="X64" s="205">
        <v>43905</v>
      </c>
      <c r="Y64" s="205">
        <v>44043</v>
      </c>
      <c r="Z64" s="311">
        <f t="shared" si="0"/>
        <v>2020</v>
      </c>
      <c r="AA64" s="311">
        <f t="shared" si="1"/>
        <v>7</v>
      </c>
      <c r="AB64" s="211" t="s">
        <v>920</v>
      </c>
      <c r="AC64" s="217" t="s">
        <v>422</v>
      </c>
      <c r="AD64" s="217" t="s">
        <v>422</v>
      </c>
      <c r="AE64" s="217" t="s">
        <v>422</v>
      </c>
      <c r="AF64" s="217" t="s">
        <v>422</v>
      </c>
      <c r="AG64" s="217" t="s">
        <v>422</v>
      </c>
      <c r="AH64" s="217" t="s">
        <v>422</v>
      </c>
      <c r="AI64" s="217" t="s">
        <v>423</v>
      </c>
      <c r="AJ64" s="217" t="s">
        <v>423</v>
      </c>
      <c r="AK64" s="222" t="s">
        <v>1040</v>
      </c>
      <c r="AL64" s="209"/>
      <c r="AM64" s="209"/>
    </row>
    <row r="65" spans="1:39" x14ac:dyDescent="0.3">
      <c r="A65" s="185">
        <v>71</v>
      </c>
      <c r="B65" s="212" t="s">
        <v>841</v>
      </c>
      <c r="C65" s="212" t="s">
        <v>1618</v>
      </c>
      <c r="D65" s="201" t="s">
        <v>1848</v>
      </c>
      <c r="E65" s="212"/>
      <c r="F65" s="212"/>
      <c r="G65" s="212" t="s">
        <v>1953</v>
      </c>
      <c r="H65" s="212" t="s">
        <v>1040</v>
      </c>
      <c r="I65" s="357">
        <v>2</v>
      </c>
      <c r="J65" s="212">
        <v>4.7</v>
      </c>
      <c r="K65" s="357">
        <v>11</v>
      </c>
      <c r="L65" s="212">
        <v>1</v>
      </c>
      <c r="M65" s="212">
        <f t="shared" si="3"/>
        <v>18.7</v>
      </c>
      <c r="N65" s="212">
        <f t="shared" si="4"/>
        <v>16</v>
      </c>
      <c r="O65" s="212">
        <f t="shared" si="5"/>
        <v>18.8</v>
      </c>
      <c r="P65" s="212">
        <f t="shared" si="6"/>
        <v>73.333333333333343</v>
      </c>
      <c r="Q65" s="212">
        <f t="shared" si="7"/>
        <v>8</v>
      </c>
      <c r="R65" s="212">
        <f t="shared" si="8"/>
        <v>116.13333333333334</v>
      </c>
      <c r="S65" s="202" t="s">
        <v>879</v>
      </c>
      <c r="T65" s="208" t="s">
        <v>891</v>
      </c>
      <c r="U65" s="202">
        <v>20</v>
      </c>
      <c r="V65" s="202">
        <v>21</v>
      </c>
      <c r="W65" s="204">
        <v>43868</v>
      </c>
      <c r="X65" s="205">
        <v>43905</v>
      </c>
      <c r="Y65" s="205">
        <v>44043</v>
      </c>
      <c r="Z65" s="311">
        <f t="shared" si="0"/>
        <v>2020</v>
      </c>
      <c r="AA65" s="311">
        <f t="shared" si="1"/>
        <v>7</v>
      </c>
      <c r="AB65" s="211" t="s">
        <v>920</v>
      </c>
      <c r="AC65" s="217" t="s">
        <v>422</v>
      </c>
      <c r="AD65" s="217" t="s">
        <v>422</v>
      </c>
      <c r="AE65" s="217" t="s">
        <v>422</v>
      </c>
      <c r="AF65" s="217" t="s">
        <v>422</v>
      </c>
      <c r="AG65" s="217" t="s">
        <v>422</v>
      </c>
      <c r="AH65" s="217" t="s">
        <v>422</v>
      </c>
      <c r="AI65" s="217" t="s">
        <v>423</v>
      </c>
      <c r="AJ65" s="217" t="s">
        <v>423</v>
      </c>
      <c r="AK65" s="222" t="s">
        <v>1040</v>
      </c>
      <c r="AL65" s="209"/>
      <c r="AM65" s="209"/>
    </row>
    <row r="66" spans="1:39" x14ac:dyDescent="0.3">
      <c r="A66" s="185">
        <v>72</v>
      </c>
      <c r="B66" s="212" t="s">
        <v>842</v>
      </c>
      <c r="C66" s="212" t="s">
        <v>1618</v>
      </c>
      <c r="D66" s="201" t="s">
        <v>1848</v>
      </c>
      <c r="E66" s="212"/>
      <c r="F66" s="212"/>
      <c r="G66" s="212" t="s">
        <v>1939</v>
      </c>
      <c r="H66" s="212" t="s">
        <v>1040</v>
      </c>
      <c r="I66" s="357">
        <v>2</v>
      </c>
      <c r="J66" s="212">
        <v>2.5</v>
      </c>
      <c r="K66" s="212">
        <v>6</v>
      </c>
      <c r="L66" s="212">
        <v>0.5</v>
      </c>
      <c r="M66" s="212">
        <f t="shared" si="3"/>
        <v>11</v>
      </c>
      <c r="N66" s="212">
        <f t="shared" si="4"/>
        <v>16</v>
      </c>
      <c r="O66" s="212">
        <f t="shared" si="5"/>
        <v>10</v>
      </c>
      <c r="P66" s="212">
        <f t="shared" si="6"/>
        <v>40</v>
      </c>
      <c r="Q66" s="212">
        <f t="shared" si="7"/>
        <v>4</v>
      </c>
      <c r="R66" s="212">
        <f t="shared" si="8"/>
        <v>70</v>
      </c>
      <c r="S66" s="202" t="s">
        <v>880</v>
      </c>
      <c r="T66" s="208" t="s">
        <v>892</v>
      </c>
      <c r="U66" s="202">
        <v>20</v>
      </c>
      <c r="V66" s="202">
        <v>21</v>
      </c>
      <c r="W66" s="204">
        <v>43868</v>
      </c>
      <c r="X66" s="205">
        <v>43905</v>
      </c>
      <c r="Y66" s="205">
        <v>44043</v>
      </c>
      <c r="Z66" s="311">
        <f t="shared" si="0"/>
        <v>2020</v>
      </c>
      <c r="AA66" s="311">
        <f t="shared" si="1"/>
        <v>7</v>
      </c>
      <c r="AB66" s="211" t="s">
        <v>920</v>
      </c>
      <c r="AC66" s="217" t="s">
        <v>422</v>
      </c>
      <c r="AD66" s="217" t="s">
        <v>422</v>
      </c>
      <c r="AE66" s="217" t="s">
        <v>422</v>
      </c>
      <c r="AF66" s="217" t="s">
        <v>422</v>
      </c>
      <c r="AG66" s="217" t="s">
        <v>422</v>
      </c>
      <c r="AH66" s="217" t="s">
        <v>422</v>
      </c>
      <c r="AI66" s="217" t="s">
        <v>423</v>
      </c>
      <c r="AJ66" s="217" t="s">
        <v>423</v>
      </c>
      <c r="AK66" s="222" t="s">
        <v>1040</v>
      </c>
      <c r="AL66" s="209"/>
      <c r="AM66" s="209"/>
    </row>
    <row r="67" spans="1:39" x14ac:dyDescent="0.3">
      <c r="A67" s="185">
        <v>73</v>
      </c>
      <c r="B67" s="212" t="s">
        <v>843</v>
      </c>
      <c r="C67" s="212" t="s">
        <v>1618</v>
      </c>
      <c r="D67" s="201" t="s">
        <v>1848</v>
      </c>
      <c r="E67" s="212"/>
      <c r="F67" s="212"/>
      <c r="G67" s="212" t="s">
        <v>1953</v>
      </c>
      <c r="H67" s="212" t="s">
        <v>1040</v>
      </c>
      <c r="I67" s="357">
        <v>2</v>
      </c>
      <c r="J67" s="212">
        <v>2.5</v>
      </c>
      <c r="K67" s="357">
        <v>6</v>
      </c>
      <c r="L67" s="212">
        <v>0.5</v>
      </c>
      <c r="M67" s="212">
        <f t="shared" si="3"/>
        <v>11</v>
      </c>
      <c r="N67" s="212">
        <f t="shared" si="4"/>
        <v>16</v>
      </c>
      <c r="O67" s="212">
        <f t="shared" si="5"/>
        <v>10</v>
      </c>
      <c r="P67" s="212">
        <f t="shared" si="6"/>
        <v>40</v>
      </c>
      <c r="Q67" s="212">
        <f t="shared" si="7"/>
        <v>4</v>
      </c>
      <c r="R67" s="212">
        <f t="shared" si="8"/>
        <v>70</v>
      </c>
      <c r="S67" s="202" t="s">
        <v>880</v>
      </c>
      <c r="T67" s="208" t="s">
        <v>893</v>
      </c>
      <c r="U67" s="202">
        <v>20</v>
      </c>
      <c r="V67" s="202">
        <v>21</v>
      </c>
      <c r="W67" s="204">
        <v>43868</v>
      </c>
      <c r="X67" s="205">
        <v>43905</v>
      </c>
      <c r="Y67" s="205">
        <v>44043</v>
      </c>
      <c r="Z67" s="311">
        <f t="shared" si="0"/>
        <v>2020</v>
      </c>
      <c r="AA67" s="311">
        <f t="shared" si="1"/>
        <v>7</v>
      </c>
      <c r="AB67" s="211" t="s">
        <v>920</v>
      </c>
      <c r="AC67" s="217" t="s">
        <v>422</v>
      </c>
      <c r="AD67" s="217" t="s">
        <v>422</v>
      </c>
      <c r="AE67" s="217" t="s">
        <v>422</v>
      </c>
      <c r="AF67" s="217" t="s">
        <v>422</v>
      </c>
      <c r="AG67" s="217" t="s">
        <v>422</v>
      </c>
      <c r="AH67" s="217" t="s">
        <v>422</v>
      </c>
      <c r="AI67" s="217" t="s">
        <v>423</v>
      </c>
      <c r="AJ67" s="217" t="s">
        <v>423</v>
      </c>
      <c r="AK67" s="222" t="s">
        <v>1040</v>
      </c>
      <c r="AL67" s="209"/>
      <c r="AM67" s="209"/>
    </row>
    <row r="68" spans="1:39" x14ac:dyDescent="0.3">
      <c r="A68" s="185">
        <v>74</v>
      </c>
      <c r="B68" s="212" t="s">
        <v>881</v>
      </c>
      <c r="C68" s="212" t="s">
        <v>1618</v>
      </c>
      <c r="D68" s="201" t="s">
        <v>1848</v>
      </c>
      <c r="E68" s="212"/>
      <c r="F68" s="212"/>
      <c r="G68" s="212" t="s">
        <v>1953</v>
      </c>
      <c r="H68" s="212" t="s">
        <v>1040</v>
      </c>
      <c r="I68" s="357">
        <v>2</v>
      </c>
      <c r="J68" s="212">
        <v>2.5</v>
      </c>
      <c r="K68" s="357">
        <v>6</v>
      </c>
      <c r="L68" s="212">
        <v>0.5</v>
      </c>
      <c r="M68" s="212">
        <f t="shared" si="3"/>
        <v>11</v>
      </c>
      <c r="N68" s="212">
        <f t="shared" si="4"/>
        <v>16</v>
      </c>
      <c r="O68" s="212">
        <f t="shared" si="5"/>
        <v>10</v>
      </c>
      <c r="P68" s="212">
        <f t="shared" si="6"/>
        <v>40</v>
      </c>
      <c r="Q68" s="212">
        <f t="shared" si="7"/>
        <v>4</v>
      </c>
      <c r="R68" s="212">
        <f t="shared" si="8"/>
        <v>70</v>
      </c>
      <c r="S68" s="202" t="s">
        <v>885</v>
      </c>
      <c r="T68" s="208" t="s">
        <v>894</v>
      </c>
      <c r="U68" s="202">
        <v>20</v>
      </c>
      <c r="V68" s="202">
        <v>21</v>
      </c>
      <c r="W68" s="204">
        <v>43868</v>
      </c>
      <c r="X68" s="205">
        <v>43905</v>
      </c>
      <c r="Y68" s="205">
        <v>44043</v>
      </c>
      <c r="Z68" s="311">
        <f t="shared" ref="Z68:Z131" si="9">IF(YEAR(Y68)&gt;2000,YEAR(Y68),YEAR(X68))</f>
        <v>2020</v>
      </c>
      <c r="AA68" s="311">
        <f t="shared" ref="AA68:AA131" si="10">MONTH(Y68)</f>
        <v>7</v>
      </c>
      <c r="AB68" s="211" t="s">
        <v>920</v>
      </c>
      <c r="AC68" s="217" t="s">
        <v>422</v>
      </c>
      <c r="AD68" s="217" t="s">
        <v>422</v>
      </c>
      <c r="AE68" s="217" t="s">
        <v>422</v>
      </c>
      <c r="AF68" s="217" t="s">
        <v>422</v>
      </c>
      <c r="AG68" s="217" t="s">
        <v>422</v>
      </c>
      <c r="AH68" s="217" t="s">
        <v>422</v>
      </c>
      <c r="AI68" s="217" t="s">
        <v>423</v>
      </c>
      <c r="AJ68" s="217" t="s">
        <v>423</v>
      </c>
      <c r="AK68" s="222" t="s">
        <v>1040</v>
      </c>
      <c r="AL68" s="209"/>
      <c r="AM68" s="209"/>
    </row>
    <row r="69" spans="1:39" x14ac:dyDescent="0.3">
      <c r="A69" s="185">
        <v>75</v>
      </c>
      <c r="B69" s="212" t="s">
        <v>882</v>
      </c>
      <c r="C69" s="212" t="s">
        <v>1618</v>
      </c>
      <c r="D69" s="201" t="s">
        <v>1848</v>
      </c>
      <c r="E69" s="212"/>
      <c r="F69" s="212"/>
      <c r="G69" s="212" t="s">
        <v>1953</v>
      </c>
      <c r="H69" s="212" t="s">
        <v>1040</v>
      </c>
      <c r="I69" s="357">
        <v>2</v>
      </c>
      <c r="J69" s="212">
        <v>2.5</v>
      </c>
      <c r="K69" s="357">
        <v>6</v>
      </c>
      <c r="L69" s="212">
        <v>0.5</v>
      </c>
      <c r="M69" s="212">
        <f t="shared" si="3"/>
        <v>11</v>
      </c>
      <c r="N69" s="212">
        <f t="shared" si="4"/>
        <v>16</v>
      </c>
      <c r="O69" s="212">
        <f t="shared" si="5"/>
        <v>10</v>
      </c>
      <c r="P69" s="212">
        <f t="shared" si="6"/>
        <v>40</v>
      </c>
      <c r="Q69" s="212">
        <f t="shared" si="7"/>
        <v>4</v>
      </c>
      <c r="R69" s="212">
        <f t="shared" si="8"/>
        <v>70</v>
      </c>
      <c r="S69" s="202" t="s">
        <v>885</v>
      </c>
      <c r="T69" s="208" t="s">
        <v>895</v>
      </c>
      <c r="U69" s="202">
        <v>20</v>
      </c>
      <c r="V69" s="202">
        <v>21</v>
      </c>
      <c r="W69" s="204">
        <v>43868</v>
      </c>
      <c r="X69" s="205">
        <v>43905</v>
      </c>
      <c r="Y69" s="205">
        <v>44043</v>
      </c>
      <c r="Z69" s="311">
        <f t="shared" si="9"/>
        <v>2020</v>
      </c>
      <c r="AA69" s="311">
        <f t="shared" si="10"/>
        <v>7</v>
      </c>
      <c r="AB69" s="211" t="s">
        <v>920</v>
      </c>
      <c r="AC69" s="217" t="s">
        <v>422</v>
      </c>
      <c r="AD69" s="217" t="s">
        <v>422</v>
      </c>
      <c r="AE69" s="217" t="s">
        <v>422</v>
      </c>
      <c r="AF69" s="217" t="s">
        <v>422</v>
      </c>
      <c r="AG69" s="217" t="s">
        <v>422</v>
      </c>
      <c r="AH69" s="217" t="s">
        <v>422</v>
      </c>
      <c r="AI69" s="217" t="s">
        <v>423</v>
      </c>
      <c r="AJ69" s="217" t="s">
        <v>423</v>
      </c>
      <c r="AK69" s="222" t="s">
        <v>1040</v>
      </c>
      <c r="AL69" s="209"/>
      <c r="AM69" s="209"/>
    </row>
    <row r="70" spans="1:39" x14ac:dyDescent="0.3">
      <c r="A70" s="185">
        <v>76</v>
      </c>
      <c r="B70" s="212" t="s">
        <v>883</v>
      </c>
      <c r="C70" s="212" t="s">
        <v>1618</v>
      </c>
      <c r="D70" s="201" t="s">
        <v>1848</v>
      </c>
      <c r="E70" s="212"/>
      <c r="F70" s="212"/>
      <c r="G70" s="212" t="s">
        <v>1939</v>
      </c>
      <c r="H70" s="212" t="s">
        <v>1040</v>
      </c>
      <c r="I70" s="357">
        <v>2</v>
      </c>
      <c r="J70" s="212">
        <v>9</v>
      </c>
      <c r="K70" s="212">
        <v>9</v>
      </c>
      <c r="L70" s="212">
        <v>1</v>
      </c>
      <c r="M70" s="212">
        <f t="shared" si="3"/>
        <v>21</v>
      </c>
      <c r="N70" s="212">
        <f t="shared" si="4"/>
        <v>16</v>
      </c>
      <c r="O70" s="212">
        <f t="shared" si="5"/>
        <v>36</v>
      </c>
      <c r="P70" s="212">
        <f t="shared" si="6"/>
        <v>60</v>
      </c>
      <c r="Q70" s="212">
        <f t="shared" si="7"/>
        <v>8</v>
      </c>
      <c r="R70" s="212">
        <f t="shared" si="8"/>
        <v>120</v>
      </c>
      <c r="S70" s="202" t="s">
        <v>865</v>
      </c>
      <c r="T70" s="208" t="s">
        <v>896</v>
      </c>
      <c r="U70" s="202">
        <v>30</v>
      </c>
      <c r="V70" s="202">
        <v>30</v>
      </c>
      <c r="W70" s="204">
        <v>43868</v>
      </c>
      <c r="X70" s="205">
        <v>43905</v>
      </c>
      <c r="Y70" s="205">
        <v>44043</v>
      </c>
      <c r="Z70" s="311">
        <f t="shared" si="9"/>
        <v>2020</v>
      </c>
      <c r="AA70" s="311">
        <f t="shared" si="10"/>
        <v>7</v>
      </c>
      <c r="AB70" s="211" t="s">
        <v>920</v>
      </c>
      <c r="AC70" s="217" t="s">
        <v>422</v>
      </c>
      <c r="AD70" s="217" t="s">
        <v>422</v>
      </c>
      <c r="AE70" s="217" t="s">
        <v>422</v>
      </c>
      <c r="AF70" s="217" t="s">
        <v>422</v>
      </c>
      <c r="AG70" s="217" t="s">
        <v>422</v>
      </c>
      <c r="AH70" s="217" t="s">
        <v>422</v>
      </c>
      <c r="AI70" s="217" t="s">
        <v>423</v>
      </c>
      <c r="AJ70" s="217" t="s">
        <v>423</v>
      </c>
      <c r="AK70" s="222" t="s">
        <v>1040</v>
      </c>
      <c r="AL70" s="209"/>
      <c r="AM70" s="209"/>
    </row>
    <row r="71" spans="1:39" x14ac:dyDescent="0.3">
      <c r="A71" s="185">
        <v>77</v>
      </c>
      <c r="B71" s="212" t="s">
        <v>884</v>
      </c>
      <c r="C71" s="212" t="s">
        <v>1618</v>
      </c>
      <c r="D71" s="201" t="s">
        <v>1848</v>
      </c>
      <c r="E71" s="212"/>
      <c r="F71" s="212"/>
      <c r="G71" s="212" t="s">
        <v>1939</v>
      </c>
      <c r="H71" s="212" t="s">
        <v>1040</v>
      </c>
      <c r="I71" s="357">
        <v>2</v>
      </c>
      <c r="J71" s="212">
        <v>9</v>
      </c>
      <c r="K71" s="212">
        <v>9</v>
      </c>
      <c r="L71" s="212">
        <v>1</v>
      </c>
      <c r="M71" s="212">
        <f t="shared" ref="M71:M134" si="11">SUM((I71:L71))</f>
        <v>21</v>
      </c>
      <c r="N71" s="212">
        <f t="shared" ref="N71:N134" si="12">+I71/0.125</f>
        <v>16</v>
      </c>
      <c r="O71" s="212">
        <f t="shared" ref="O71:O134" si="13">+J71/0.25</f>
        <v>36</v>
      </c>
      <c r="P71" s="212">
        <f t="shared" ref="P71:P134" si="14">+K71/0.15</f>
        <v>60</v>
      </c>
      <c r="Q71" s="212">
        <f t="shared" ref="Q71:Q134" si="15">+L71/0.125</f>
        <v>8</v>
      </c>
      <c r="R71" s="212">
        <f t="shared" ref="R71:R134" si="16">SUM(N71:Q71)</f>
        <v>120</v>
      </c>
      <c r="S71" s="202" t="s">
        <v>865</v>
      </c>
      <c r="T71" s="208" t="s">
        <v>897</v>
      </c>
      <c r="U71" s="202">
        <v>30</v>
      </c>
      <c r="V71" s="202">
        <v>30</v>
      </c>
      <c r="W71" s="204">
        <v>43868</v>
      </c>
      <c r="X71" s="205">
        <v>43905</v>
      </c>
      <c r="Y71" s="205">
        <v>44043</v>
      </c>
      <c r="Z71" s="311">
        <f t="shared" si="9"/>
        <v>2020</v>
      </c>
      <c r="AA71" s="311">
        <f t="shared" si="10"/>
        <v>7</v>
      </c>
      <c r="AB71" s="211" t="s">
        <v>920</v>
      </c>
      <c r="AC71" s="217" t="s">
        <v>422</v>
      </c>
      <c r="AD71" s="217" t="s">
        <v>422</v>
      </c>
      <c r="AE71" s="217" t="s">
        <v>422</v>
      </c>
      <c r="AF71" s="217" t="s">
        <v>422</v>
      </c>
      <c r="AG71" s="217" t="s">
        <v>422</v>
      </c>
      <c r="AH71" s="217" t="s">
        <v>422</v>
      </c>
      <c r="AI71" s="217" t="s">
        <v>423</v>
      </c>
      <c r="AJ71" s="217" t="s">
        <v>423</v>
      </c>
      <c r="AK71" s="222" t="s">
        <v>1040</v>
      </c>
      <c r="AL71" s="209"/>
      <c r="AM71" s="209"/>
    </row>
    <row r="72" spans="1:39" x14ac:dyDescent="0.3">
      <c r="A72" s="185">
        <v>78</v>
      </c>
      <c r="B72" s="212" t="s">
        <v>886</v>
      </c>
      <c r="C72" s="212" t="s">
        <v>1618</v>
      </c>
      <c r="D72" s="201" t="s">
        <v>1848</v>
      </c>
      <c r="E72" s="212"/>
      <c r="F72" s="212"/>
      <c r="G72" s="212" t="s">
        <v>1939</v>
      </c>
      <c r="H72" s="212" t="s">
        <v>1040</v>
      </c>
      <c r="I72" s="357">
        <v>2</v>
      </c>
      <c r="J72" s="212">
        <v>8</v>
      </c>
      <c r="K72" s="212">
        <v>9</v>
      </c>
      <c r="L72" s="212">
        <v>1</v>
      </c>
      <c r="M72" s="212">
        <f t="shared" si="11"/>
        <v>20</v>
      </c>
      <c r="N72" s="212">
        <f t="shared" si="12"/>
        <v>16</v>
      </c>
      <c r="O72" s="212">
        <f t="shared" si="13"/>
        <v>32</v>
      </c>
      <c r="P72" s="212">
        <f t="shared" si="14"/>
        <v>60</v>
      </c>
      <c r="Q72" s="212">
        <f t="shared" si="15"/>
        <v>8</v>
      </c>
      <c r="R72" s="212">
        <f t="shared" si="16"/>
        <v>116</v>
      </c>
      <c r="S72" s="202" t="s">
        <v>889</v>
      </c>
      <c r="T72" s="208" t="s">
        <v>898</v>
      </c>
      <c r="U72" s="202">
        <v>30</v>
      </c>
      <c r="V72" s="202">
        <v>31</v>
      </c>
      <c r="W72" s="204">
        <v>43868</v>
      </c>
      <c r="X72" s="205">
        <v>43905</v>
      </c>
      <c r="Y72" s="205">
        <v>44043</v>
      </c>
      <c r="Z72" s="311">
        <f t="shared" si="9"/>
        <v>2020</v>
      </c>
      <c r="AA72" s="311">
        <f t="shared" si="10"/>
        <v>7</v>
      </c>
      <c r="AB72" s="211" t="s">
        <v>920</v>
      </c>
      <c r="AC72" s="217" t="s">
        <v>422</v>
      </c>
      <c r="AD72" s="217" t="s">
        <v>422</v>
      </c>
      <c r="AE72" s="217" t="s">
        <v>422</v>
      </c>
      <c r="AF72" s="217" t="s">
        <v>422</v>
      </c>
      <c r="AG72" s="217" t="s">
        <v>422</v>
      </c>
      <c r="AH72" s="217" t="s">
        <v>422</v>
      </c>
      <c r="AI72" s="217" t="s">
        <v>423</v>
      </c>
      <c r="AJ72" s="217" t="s">
        <v>423</v>
      </c>
      <c r="AK72" s="222" t="s">
        <v>1040</v>
      </c>
      <c r="AL72" s="209"/>
      <c r="AM72" s="209"/>
    </row>
    <row r="73" spans="1:39" x14ac:dyDescent="0.3">
      <c r="A73" s="185">
        <v>79</v>
      </c>
      <c r="B73" s="212" t="s">
        <v>887</v>
      </c>
      <c r="C73" s="212" t="s">
        <v>1618</v>
      </c>
      <c r="D73" s="201" t="s">
        <v>1848</v>
      </c>
      <c r="E73" s="212"/>
      <c r="F73" s="212"/>
      <c r="G73" s="212" t="s">
        <v>1939</v>
      </c>
      <c r="H73" s="212" t="s">
        <v>1040</v>
      </c>
      <c r="I73" s="357">
        <v>2</v>
      </c>
      <c r="J73" s="212">
        <v>8</v>
      </c>
      <c r="K73" s="212">
        <v>9</v>
      </c>
      <c r="L73" s="212">
        <v>1</v>
      </c>
      <c r="M73" s="212">
        <f t="shared" si="11"/>
        <v>20</v>
      </c>
      <c r="N73" s="212">
        <f t="shared" si="12"/>
        <v>16</v>
      </c>
      <c r="O73" s="212">
        <f t="shared" si="13"/>
        <v>32</v>
      </c>
      <c r="P73" s="212">
        <f t="shared" si="14"/>
        <v>60</v>
      </c>
      <c r="Q73" s="212">
        <f t="shared" si="15"/>
        <v>8</v>
      </c>
      <c r="R73" s="212">
        <f t="shared" si="16"/>
        <v>116</v>
      </c>
      <c r="S73" s="202" t="s">
        <v>889</v>
      </c>
      <c r="T73" s="208" t="s">
        <v>899</v>
      </c>
      <c r="U73" s="202">
        <v>30</v>
      </c>
      <c r="V73" s="202">
        <v>31</v>
      </c>
      <c r="W73" s="204">
        <v>43868</v>
      </c>
      <c r="X73" s="205">
        <v>43905</v>
      </c>
      <c r="Y73" s="205">
        <v>44043</v>
      </c>
      <c r="Z73" s="311">
        <f t="shared" si="9"/>
        <v>2020</v>
      </c>
      <c r="AA73" s="311">
        <f t="shared" si="10"/>
        <v>7</v>
      </c>
      <c r="AB73" s="211" t="s">
        <v>920</v>
      </c>
      <c r="AC73" s="217" t="s">
        <v>422</v>
      </c>
      <c r="AD73" s="217" t="s">
        <v>422</v>
      </c>
      <c r="AE73" s="217" t="s">
        <v>422</v>
      </c>
      <c r="AF73" s="217" t="s">
        <v>422</v>
      </c>
      <c r="AG73" s="217" t="s">
        <v>422</v>
      </c>
      <c r="AH73" s="217" t="s">
        <v>422</v>
      </c>
      <c r="AI73" s="217" t="s">
        <v>423</v>
      </c>
      <c r="AJ73" s="217" t="s">
        <v>423</v>
      </c>
      <c r="AK73" s="222" t="s">
        <v>1040</v>
      </c>
      <c r="AL73" s="209"/>
      <c r="AM73" s="209"/>
    </row>
    <row r="74" spans="1:39" ht="15" customHeight="1" x14ac:dyDescent="0.3">
      <c r="A74" s="185">
        <v>81</v>
      </c>
      <c r="B74" s="212" t="s">
        <v>901</v>
      </c>
      <c r="C74" s="212" t="s">
        <v>1615</v>
      </c>
      <c r="D74" s="201" t="s">
        <v>1881</v>
      </c>
      <c r="E74" s="212"/>
      <c r="F74" s="212"/>
      <c r="G74" s="259" t="s">
        <v>1604</v>
      </c>
      <c r="H74" s="212" t="s">
        <v>1428</v>
      </c>
      <c r="I74" s="357">
        <v>2</v>
      </c>
      <c r="J74" s="212">
        <v>11</v>
      </c>
      <c r="K74" s="212">
        <v>0</v>
      </c>
      <c r="L74" s="212">
        <v>1</v>
      </c>
      <c r="M74" s="212">
        <f t="shared" si="11"/>
        <v>14</v>
      </c>
      <c r="N74" s="212">
        <f t="shared" si="12"/>
        <v>16</v>
      </c>
      <c r="O74" s="212">
        <f t="shared" si="13"/>
        <v>44</v>
      </c>
      <c r="P74" s="212">
        <f t="shared" si="14"/>
        <v>0</v>
      </c>
      <c r="Q74" s="212">
        <f t="shared" si="15"/>
        <v>8</v>
      </c>
      <c r="R74" s="212">
        <f t="shared" si="16"/>
        <v>68</v>
      </c>
      <c r="S74" s="213" t="s">
        <v>935</v>
      </c>
      <c r="T74" s="214" t="s">
        <v>940</v>
      </c>
      <c r="U74" s="213">
        <v>72</v>
      </c>
      <c r="V74" s="213">
        <v>74</v>
      </c>
      <c r="W74" s="215">
        <v>43875</v>
      </c>
      <c r="X74" s="216">
        <v>43905</v>
      </c>
      <c r="Y74" s="205">
        <v>44035</v>
      </c>
      <c r="Z74" s="311">
        <f t="shared" si="9"/>
        <v>2020</v>
      </c>
      <c r="AA74" s="311">
        <f t="shared" si="10"/>
        <v>7</v>
      </c>
      <c r="AB74" s="217" t="s">
        <v>920</v>
      </c>
      <c r="AC74" s="217" t="s">
        <v>422</v>
      </c>
      <c r="AD74" s="217" t="s">
        <v>422</v>
      </c>
      <c r="AE74" s="217" t="s">
        <v>422</v>
      </c>
      <c r="AF74" s="217" t="s">
        <v>422</v>
      </c>
      <c r="AG74" s="217" t="s">
        <v>422</v>
      </c>
      <c r="AH74" s="217" t="s">
        <v>423</v>
      </c>
      <c r="AI74" s="217" t="s">
        <v>423</v>
      </c>
      <c r="AJ74" s="217" t="s">
        <v>423</v>
      </c>
      <c r="AK74" s="218" t="s">
        <v>138</v>
      </c>
      <c r="AL74" s="209"/>
      <c r="AM74" s="209"/>
    </row>
    <row r="75" spans="1:39" ht="15" customHeight="1" x14ac:dyDescent="0.3">
      <c r="A75" s="185">
        <v>91</v>
      </c>
      <c r="B75" s="212" t="s">
        <v>911</v>
      </c>
      <c r="C75" s="212" t="s">
        <v>1615</v>
      </c>
      <c r="D75" s="199" t="s">
        <v>1881</v>
      </c>
      <c r="E75" s="212"/>
      <c r="F75" s="212"/>
      <c r="G75" s="259" t="s">
        <v>1604</v>
      </c>
      <c r="H75" s="212" t="s">
        <v>1008</v>
      </c>
      <c r="I75" s="357">
        <v>2</v>
      </c>
      <c r="J75" s="212">
        <v>6</v>
      </c>
      <c r="K75" s="212">
        <v>0</v>
      </c>
      <c r="L75" s="212">
        <v>1</v>
      </c>
      <c r="M75" s="212">
        <f t="shared" si="11"/>
        <v>9</v>
      </c>
      <c r="N75" s="212">
        <f t="shared" si="12"/>
        <v>16</v>
      </c>
      <c r="O75" s="212">
        <f t="shared" si="13"/>
        <v>24</v>
      </c>
      <c r="P75" s="212">
        <f t="shared" si="14"/>
        <v>0</v>
      </c>
      <c r="Q75" s="212">
        <f t="shared" si="15"/>
        <v>8</v>
      </c>
      <c r="R75" s="212">
        <f t="shared" si="16"/>
        <v>48</v>
      </c>
      <c r="S75" s="213" t="s">
        <v>948</v>
      </c>
      <c r="T75" s="214" t="s">
        <v>922</v>
      </c>
      <c r="U75" s="213">
        <v>61</v>
      </c>
      <c r="V75" s="213">
        <v>64</v>
      </c>
      <c r="W75" s="215">
        <v>43875</v>
      </c>
      <c r="X75" s="216">
        <v>43936</v>
      </c>
      <c r="Y75" s="205">
        <v>44035</v>
      </c>
      <c r="Z75" s="311">
        <f t="shared" si="9"/>
        <v>2020</v>
      </c>
      <c r="AA75" s="311">
        <f t="shared" si="10"/>
        <v>7</v>
      </c>
      <c r="AB75" s="217" t="s">
        <v>920</v>
      </c>
      <c r="AC75" s="217" t="s">
        <v>422</v>
      </c>
      <c r="AD75" s="217" t="s">
        <v>422</v>
      </c>
      <c r="AE75" s="217" t="s">
        <v>422</v>
      </c>
      <c r="AF75" s="217" t="s">
        <v>422</v>
      </c>
      <c r="AG75" s="217" t="s">
        <v>422</v>
      </c>
      <c r="AH75" s="217" t="s">
        <v>423</v>
      </c>
      <c r="AI75" s="217" t="s">
        <v>423</v>
      </c>
      <c r="AJ75" s="217" t="s">
        <v>423</v>
      </c>
      <c r="AK75" s="218" t="s">
        <v>888</v>
      </c>
      <c r="AL75" s="209"/>
      <c r="AM75" s="209"/>
    </row>
    <row r="76" spans="1:39" ht="15" customHeight="1" x14ac:dyDescent="0.3">
      <c r="A76" s="185">
        <v>93</v>
      </c>
      <c r="B76" s="212" t="s">
        <v>913</v>
      </c>
      <c r="C76" s="212" t="s">
        <v>1618</v>
      </c>
      <c r="D76" s="201" t="s">
        <v>1881</v>
      </c>
      <c r="E76" s="212"/>
      <c r="F76" s="212" t="s">
        <v>1597</v>
      </c>
      <c r="G76" s="212" t="s">
        <v>1941</v>
      </c>
      <c r="H76" s="212"/>
      <c r="I76" s="212">
        <v>2</v>
      </c>
      <c r="J76" s="357">
        <v>7</v>
      </c>
      <c r="K76" s="212">
        <v>28</v>
      </c>
      <c r="L76" s="212">
        <v>1</v>
      </c>
      <c r="M76" s="212">
        <f t="shared" si="11"/>
        <v>38</v>
      </c>
      <c r="N76" s="212">
        <f t="shared" si="12"/>
        <v>16</v>
      </c>
      <c r="O76" s="212">
        <f t="shared" si="13"/>
        <v>28</v>
      </c>
      <c r="P76" s="212">
        <f t="shared" si="14"/>
        <v>186.66666666666669</v>
      </c>
      <c r="Q76" s="212">
        <f t="shared" si="15"/>
        <v>8</v>
      </c>
      <c r="R76" s="212">
        <f t="shared" si="16"/>
        <v>238.66666666666669</v>
      </c>
      <c r="S76" s="213" t="s">
        <v>917</v>
      </c>
      <c r="T76" s="214" t="s">
        <v>924</v>
      </c>
      <c r="U76" s="213">
        <v>50</v>
      </c>
      <c r="V76" s="213">
        <v>52</v>
      </c>
      <c r="W76" s="215">
        <v>43875</v>
      </c>
      <c r="X76" s="216">
        <v>43905</v>
      </c>
      <c r="Y76" s="205">
        <v>44043</v>
      </c>
      <c r="Z76" s="311">
        <f t="shared" si="9"/>
        <v>2020</v>
      </c>
      <c r="AA76" s="311">
        <f t="shared" si="10"/>
        <v>7</v>
      </c>
      <c r="AB76" s="217" t="s">
        <v>920</v>
      </c>
      <c r="AC76" s="217" t="s">
        <v>422</v>
      </c>
      <c r="AD76" s="217" t="s">
        <v>422</v>
      </c>
      <c r="AE76" s="217" t="s">
        <v>422</v>
      </c>
      <c r="AF76" s="217" t="s">
        <v>422</v>
      </c>
      <c r="AG76" s="217" t="s">
        <v>422</v>
      </c>
      <c r="AH76" s="217" t="s">
        <v>422</v>
      </c>
      <c r="AI76" s="217" t="s">
        <v>423</v>
      </c>
      <c r="AJ76" s="217" t="s">
        <v>423</v>
      </c>
      <c r="AK76" s="218" t="s">
        <v>108</v>
      </c>
      <c r="AL76" s="209"/>
      <c r="AM76" s="209"/>
    </row>
    <row r="77" spans="1:39" ht="15" customHeight="1" x14ac:dyDescent="0.3">
      <c r="A77" s="185">
        <v>94</v>
      </c>
      <c r="B77" s="212" t="s">
        <v>914</v>
      </c>
      <c r="C77" s="212" t="s">
        <v>1618</v>
      </c>
      <c r="D77" s="201" t="s">
        <v>1881</v>
      </c>
      <c r="E77" s="212"/>
      <c r="F77" s="212" t="s">
        <v>1597</v>
      </c>
      <c r="G77" s="212" t="s">
        <v>1941</v>
      </c>
      <c r="H77" s="212"/>
      <c r="I77" s="212">
        <v>2</v>
      </c>
      <c r="J77" s="357">
        <v>7</v>
      </c>
      <c r="K77" s="212">
        <v>28</v>
      </c>
      <c r="L77" s="212">
        <v>1</v>
      </c>
      <c r="M77" s="212">
        <f t="shared" si="11"/>
        <v>38</v>
      </c>
      <c r="N77" s="212">
        <f t="shared" si="12"/>
        <v>16</v>
      </c>
      <c r="O77" s="212">
        <f t="shared" si="13"/>
        <v>28</v>
      </c>
      <c r="P77" s="212">
        <f t="shared" si="14"/>
        <v>186.66666666666669</v>
      </c>
      <c r="Q77" s="212">
        <f t="shared" si="15"/>
        <v>8</v>
      </c>
      <c r="R77" s="212">
        <f t="shared" si="16"/>
        <v>238.66666666666669</v>
      </c>
      <c r="S77" s="213" t="s">
        <v>918</v>
      </c>
      <c r="T77" s="214" t="s">
        <v>925</v>
      </c>
      <c r="U77" s="213">
        <v>50</v>
      </c>
      <c r="V77" s="213">
        <v>52</v>
      </c>
      <c r="W77" s="215">
        <v>43875</v>
      </c>
      <c r="X77" s="216">
        <v>43905</v>
      </c>
      <c r="Y77" s="205">
        <v>44043</v>
      </c>
      <c r="Z77" s="311">
        <f t="shared" si="9"/>
        <v>2020</v>
      </c>
      <c r="AA77" s="311">
        <f t="shared" si="10"/>
        <v>7</v>
      </c>
      <c r="AB77" s="217" t="s">
        <v>920</v>
      </c>
      <c r="AC77" s="217" t="s">
        <v>422</v>
      </c>
      <c r="AD77" s="217" t="s">
        <v>422</v>
      </c>
      <c r="AE77" s="217" t="s">
        <v>422</v>
      </c>
      <c r="AF77" s="217" t="s">
        <v>422</v>
      </c>
      <c r="AG77" s="217" t="s">
        <v>422</v>
      </c>
      <c r="AH77" s="217" t="s">
        <v>422</v>
      </c>
      <c r="AI77" s="217" t="s">
        <v>423</v>
      </c>
      <c r="AJ77" s="217" t="s">
        <v>423</v>
      </c>
      <c r="AK77" s="218" t="s">
        <v>108</v>
      </c>
      <c r="AL77" s="209"/>
      <c r="AM77" s="209"/>
    </row>
    <row r="78" spans="1:39" ht="15" customHeight="1" x14ac:dyDescent="0.3">
      <c r="A78" s="185">
        <v>97</v>
      </c>
      <c r="B78" s="212" t="s">
        <v>930</v>
      </c>
      <c r="C78" s="212" t="s">
        <v>1615</v>
      </c>
      <c r="D78" s="201" t="s">
        <v>1881</v>
      </c>
      <c r="E78" s="212"/>
      <c r="F78" s="212"/>
      <c r="G78" s="259" t="s">
        <v>1604</v>
      </c>
      <c r="H78" s="212" t="s">
        <v>1008</v>
      </c>
      <c r="I78" s="357">
        <v>2</v>
      </c>
      <c r="J78" s="212">
        <v>12</v>
      </c>
      <c r="K78" s="212">
        <v>0</v>
      </c>
      <c r="L78" s="212">
        <v>1.5</v>
      </c>
      <c r="M78" s="212">
        <f t="shared" si="11"/>
        <v>15.5</v>
      </c>
      <c r="N78" s="212">
        <f t="shared" si="12"/>
        <v>16</v>
      </c>
      <c r="O78" s="212">
        <f t="shared" si="13"/>
        <v>48</v>
      </c>
      <c r="P78" s="212">
        <f t="shared" si="14"/>
        <v>0</v>
      </c>
      <c r="Q78" s="212">
        <f t="shared" si="15"/>
        <v>12</v>
      </c>
      <c r="R78" s="212">
        <f t="shared" si="16"/>
        <v>76</v>
      </c>
      <c r="S78" s="213" t="s">
        <v>933</v>
      </c>
      <c r="T78" s="214" t="s">
        <v>1018</v>
      </c>
      <c r="U78" s="213">
        <v>106</v>
      </c>
      <c r="V78" s="213">
        <v>109</v>
      </c>
      <c r="W78" s="215">
        <v>43875</v>
      </c>
      <c r="X78" s="216">
        <v>43936</v>
      </c>
      <c r="Y78" s="205">
        <v>44035</v>
      </c>
      <c r="Z78" s="311">
        <f t="shared" si="9"/>
        <v>2020</v>
      </c>
      <c r="AA78" s="311">
        <f t="shared" si="10"/>
        <v>7</v>
      </c>
      <c r="AB78" s="217" t="s">
        <v>920</v>
      </c>
      <c r="AC78" s="217" t="s">
        <v>422</v>
      </c>
      <c r="AD78" s="217" t="s">
        <v>422</v>
      </c>
      <c r="AE78" s="217" t="s">
        <v>422</v>
      </c>
      <c r="AF78" s="217" t="s">
        <v>422</v>
      </c>
      <c r="AG78" s="217" t="s">
        <v>422</v>
      </c>
      <c r="AH78" s="217" t="s">
        <v>423</v>
      </c>
      <c r="AI78" s="217" t="s">
        <v>422</v>
      </c>
      <c r="AJ78" s="217" t="s">
        <v>423</v>
      </c>
      <c r="AK78" s="218" t="s">
        <v>888</v>
      </c>
      <c r="AL78" s="209"/>
      <c r="AM78" s="209"/>
    </row>
    <row r="79" spans="1:39" ht="15" customHeight="1" x14ac:dyDescent="0.3">
      <c r="A79" s="185">
        <v>98</v>
      </c>
      <c r="B79" s="212" t="s">
        <v>931</v>
      </c>
      <c r="C79" s="212" t="s">
        <v>1615</v>
      </c>
      <c r="D79" s="201" t="s">
        <v>1881</v>
      </c>
      <c r="E79" s="212"/>
      <c r="F79" s="212"/>
      <c r="G79" s="259" t="s">
        <v>1604</v>
      </c>
      <c r="H79" s="212" t="s">
        <v>1008</v>
      </c>
      <c r="I79" s="357">
        <v>2</v>
      </c>
      <c r="J79" s="212">
        <v>10.5</v>
      </c>
      <c r="K79" s="212">
        <v>0</v>
      </c>
      <c r="L79" s="212">
        <v>1.5</v>
      </c>
      <c r="M79" s="212">
        <f t="shared" si="11"/>
        <v>14</v>
      </c>
      <c r="N79" s="212">
        <f t="shared" si="12"/>
        <v>16</v>
      </c>
      <c r="O79" s="212">
        <f t="shared" si="13"/>
        <v>42</v>
      </c>
      <c r="P79" s="212">
        <f t="shared" si="14"/>
        <v>0</v>
      </c>
      <c r="Q79" s="212">
        <f t="shared" si="15"/>
        <v>12</v>
      </c>
      <c r="R79" s="212">
        <f t="shared" si="16"/>
        <v>70</v>
      </c>
      <c r="S79" s="213" t="s">
        <v>1016</v>
      </c>
      <c r="T79" s="214" t="s">
        <v>1017</v>
      </c>
      <c r="U79" s="213">
        <v>100</v>
      </c>
      <c r="V79" s="213">
        <v>104</v>
      </c>
      <c r="W79" s="215">
        <v>43875</v>
      </c>
      <c r="X79" s="216">
        <v>43936</v>
      </c>
      <c r="Y79" s="205">
        <v>44035</v>
      </c>
      <c r="Z79" s="311">
        <f t="shared" si="9"/>
        <v>2020</v>
      </c>
      <c r="AA79" s="311">
        <f t="shared" si="10"/>
        <v>7</v>
      </c>
      <c r="AB79" s="217" t="s">
        <v>920</v>
      </c>
      <c r="AC79" s="217" t="s">
        <v>422</v>
      </c>
      <c r="AD79" s="217" t="s">
        <v>422</v>
      </c>
      <c r="AE79" s="217" t="s">
        <v>422</v>
      </c>
      <c r="AF79" s="217" t="s">
        <v>422</v>
      </c>
      <c r="AG79" s="217" t="s">
        <v>422</v>
      </c>
      <c r="AH79" s="217" t="s">
        <v>423</v>
      </c>
      <c r="AI79" s="217" t="s">
        <v>422</v>
      </c>
      <c r="AJ79" s="217" t="s">
        <v>423</v>
      </c>
      <c r="AK79" s="218" t="s">
        <v>888</v>
      </c>
      <c r="AL79" s="209"/>
      <c r="AM79" s="209"/>
    </row>
    <row r="80" spans="1:39" ht="15" customHeight="1" x14ac:dyDescent="0.3">
      <c r="A80" s="185">
        <v>99</v>
      </c>
      <c r="B80" s="212" t="s">
        <v>957</v>
      </c>
      <c r="C80" s="212" t="s">
        <v>1616</v>
      </c>
      <c r="D80" s="201" t="s">
        <v>1848</v>
      </c>
      <c r="E80" s="212"/>
      <c r="F80" s="212"/>
      <c r="G80" s="212" t="s">
        <v>1941</v>
      </c>
      <c r="H80" s="212" t="s">
        <v>1041</v>
      </c>
      <c r="I80" s="212">
        <v>2</v>
      </c>
      <c r="J80" s="212">
        <v>14</v>
      </c>
      <c r="K80" s="357">
        <v>9</v>
      </c>
      <c r="L80" s="212">
        <v>1</v>
      </c>
      <c r="M80" s="212">
        <f t="shared" si="11"/>
        <v>26</v>
      </c>
      <c r="N80" s="212">
        <f t="shared" si="12"/>
        <v>16</v>
      </c>
      <c r="O80" s="212">
        <f t="shared" si="13"/>
        <v>56</v>
      </c>
      <c r="P80" s="212">
        <f t="shared" si="14"/>
        <v>60</v>
      </c>
      <c r="Q80" s="212">
        <f t="shared" si="15"/>
        <v>8</v>
      </c>
      <c r="R80" s="212">
        <f t="shared" si="16"/>
        <v>140</v>
      </c>
      <c r="S80" s="219" t="s">
        <v>1011</v>
      </c>
      <c r="T80" s="214" t="s">
        <v>993</v>
      </c>
      <c r="U80" s="213">
        <v>7</v>
      </c>
      <c r="V80" s="213">
        <v>9</v>
      </c>
      <c r="W80" s="215">
        <v>43889</v>
      </c>
      <c r="X80" s="216">
        <v>43917</v>
      </c>
      <c r="Y80" s="205">
        <v>44014</v>
      </c>
      <c r="Z80" s="311">
        <f t="shared" si="9"/>
        <v>2020</v>
      </c>
      <c r="AA80" s="311">
        <f t="shared" si="10"/>
        <v>7</v>
      </c>
      <c r="AB80" s="217" t="s">
        <v>1250</v>
      </c>
      <c r="AC80" s="217" t="s">
        <v>422</v>
      </c>
      <c r="AD80" s="217" t="s">
        <v>422</v>
      </c>
      <c r="AE80" s="217" t="s">
        <v>422</v>
      </c>
      <c r="AF80" s="217" t="s">
        <v>422</v>
      </c>
      <c r="AG80" s="217" t="s">
        <v>422</v>
      </c>
      <c r="AH80" s="217" t="s">
        <v>422</v>
      </c>
      <c r="AI80" s="217" t="s">
        <v>423</v>
      </c>
      <c r="AJ80" s="217" t="s">
        <v>423</v>
      </c>
      <c r="AK80" s="218" t="s">
        <v>698</v>
      </c>
      <c r="AL80" s="209"/>
      <c r="AM80" s="209"/>
    </row>
    <row r="81" spans="1:42" ht="15" customHeight="1" x14ac:dyDescent="0.3">
      <c r="A81" s="185">
        <v>100</v>
      </c>
      <c r="B81" s="212" t="s">
        <v>958</v>
      </c>
      <c r="C81" s="212" t="s">
        <v>1616</v>
      </c>
      <c r="D81" s="201" t="s">
        <v>1848</v>
      </c>
      <c r="E81" s="212"/>
      <c r="F81" s="212" t="s">
        <v>1597</v>
      </c>
      <c r="G81" s="212" t="s">
        <v>1953</v>
      </c>
      <c r="H81" s="212"/>
      <c r="I81" s="212">
        <v>2</v>
      </c>
      <c r="J81" s="212">
        <v>10</v>
      </c>
      <c r="K81" s="357">
        <v>9</v>
      </c>
      <c r="L81" s="212">
        <v>1</v>
      </c>
      <c r="M81" s="212">
        <f t="shared" si="11"/>
        <v>22</v>
      </c>
      <c r="N81" s="212">
        <f t="shared" si="12"/>
        <v>16</v>
      </c>
      <c r="O81" s="212">
        <f t="shared" si="13"/>
        <v>40</v>
      </c>
      <c r="P81" s="212">
        <f t="shared" si="14"/>
        <v>60</v>
      </c>
      <c r="Q81" s="212">
        <f t="shared" si="15"/>
        <v>8</v>
      </c>
      <c r="R81" s="212">
        <f t="shared" si="16"/>
        <v>124</v>
      </c>
      <c r="S81" s="229" t="s">
        <v>963</v>
      </c>
      <c r="T81" s="214" t="s">
        <v>986</v>
      </c>
      <c r="U81" s="213">
        <v>8</v>
      </c>
      <c r="V81" s="213">
        <v>9</v>
      </c>
      <c r="W81" s="215">
        <v>43889</v>
      </c>
      <c r="X81" s="216">
        <v>43917</v>
      </c>
      <c r="Y81" s="205">
        <v>44014</v>
      </c>
      <c r="Z81" s="311">
        <f t="shared" si="9"/>
        <v>2020</v>
      </c>
      <c r="AA81" s="311">
        <f t="shared" si="10"/>
        <v>7</v>
      </c>
      <c r="AB81" s="217" t="s">
        <v>1250</v>
      </c>
      <c r="AC81" s="217" t="s">
        <v>422</v>
      </c>
      <c r="AD81" s="217" t="s">
        <v>422</v>
      </c>
      <c r="AE81" s="217" t="s">
        <v>422</v>
      </c>
      <c r="AF81" s="217" t="s">
        <v>422</v>
      </c>
      <c r="AG81" s="217" t="s">
        <v>422</v>
      </c>
      <c r="AH81" s="217" t="s">
        <v>422</v>
      </c>
      <c r="AI81" s="217" t="s">
        <v>423</v>
      </c>
      <c r="AJ81" s="217" t="s">
        <v>423</v>
      </c>
      <c r="AK81" s="218" t="s">
        <v>108</v>
      </c>
      <c r="AL81" s="209"/>
      <c r="AM81" s="209"/>
    </row>
    <row r="82" spans="1:42" ht="15" customHeight="1" x14ac:dyDescent="0.3">
      <c r="A82" s="185">
        <v>101</v>
      </c>
      <c r="B82" s="212" t="s">
        <v>959</v>
      </c>
      <c r="C82" s="212" t="s">
        <v>1616</v>
      </c>
      <c r="D82" s="201" t="s">
        <v>1848</v>
      </c>
      <c r="E82" s="212"/>
      <c r="F82" s="212"/>
      <c r="G82" s="212" t="s">
        <v>1953</v>
      </c>
      <c r="H82" s="212" t="s">
        <v>1041</v>
      </c>
      <c r="I82" s="212">
        <v>2</v>
      </c>
      <c r="J82" s="212">
        <v>12</v>
      </c>
      <c r="K82" s="357">
        <v>9</v>
      </c>
      <c r="L82" s="212">
        <v>1</v>
      </c>
      <c r="M82" s="212">
        <f t="shared" si="11"/>
        <v>24</v>
      </c>
      <c r="N82" s="212">
        <f t="shared" si="12"/>
        <v>16</v>
      </c>
      <c r="O82" s="212">
        <f t="shared" si="13"/>
        <v>48</v>
      </c>
      <c r="P82" s="212">
        <f t="shared" si="14"/>
        <v>60</v>
      </c>
      <c r="Q82" s="212">
        <f t="shared" si="15"/>
        <v>8</v>
      </c>
      <c r="R82" s="212">
        <f t="shared" si="16"/>
        <v>132</v>
      </c>
      <c r="S82" s="229" t="s">
        <v>964</v>
      </c>
      <c r="T82" s="214" t="s">
        <v>987</v>
      </c>
      <c r="U82" s="213">
        <v>6</v>
      </c>
      <c r="V82" s="213">
        <v>7</v>
      </c>
      <c r="W82" s="215">
        <v>43889</v>
      </c>
      <c r="X82" s="216">
        <v>43917</v>
      </c>
      <c r="Y82" s="205">
        <v>44014</v>
      </c>
      <c r="Z82" s="311">
        <f t="shared" si="9"/>
        <v>2020</v>
      </c>
      <c r="AA82" s="311">
        <f t="shared" si="10"/>
        <v>7</v>
      </c>
      <c r="AB82" s="217" t="s">
        <v>1250</v>
      </c>
      <c r="AC82" s="217" t="s">
        <v>422</v>
      </c>
      <c r="AD82" s="217" t="s">
        <v>422</v>
      </c>
      <c r="AE82" s="217" t="s">
        <v>422</v>
      </c>
      <c r="AF82" s="217" t="s">
        <v>422</v>
      </c>
      <c r="AG82" s="217" t="s">
        <v>422</v>
      </c>
      <c r="AH82" s="217" t="s">
        <v>422</v>
      </c>
      <c r="AI82" s="217" t="s">
        <v>423</v>
      </c>
      <c r="AJ82" s="217" t="s">
        <v>423</v>
      </c>
      <c r="AK82" s="218" t="s">
        <v>698</v>
      </c>
      <c r="AL82" s="209"/>
      <c r="AM82" s="209"/>
    </row>
    <row r="83" spans="1:42" ht="15" x14ac:dyDescent="0.3">
      <c r="A83" s="185">
        <v>102</v>
      </c>
      <c r="B83" s="212" t="s">
        <v>960</v>
      </c>
      <c r="C83" s="212" t="s">
        <v>1616</v>
      </c>
      <c r="D83" s="201" t="s">
        <v>1848</v>
      </c>
      <c r="E83" s="212"/>
      <c r="F83" s="212"/>
      <c r="G83" s="212" t="s">
        <v>1953</v>
      </c>
      <c r="H83" s="212" t="s">
        <v>1010</v>
      </c>
      <c r="I83" s="212">
        <v>2</v>
      </c>
      <c r="J83" s="212">
        <v>19</v>
      </c>
      <c r="K83" s="357">
        <v>9</v>
      </c>
      <c r="L83" s="212">
        <v>1</v>
      </c>
      <c r="M83" s="212">
        <f t="shared" si="11"/>
        <v>31</v>
      </c>
      <c r="N83" s="212">
        <f t="shared" si="12"/>
        <v>16</v>
      </c>
      <c r="O83" s="212">
        <f t="shared" si="13"/>
        <v>76</v>
      </c>
      <c r="P83" s="212">
        <f t="shared" si="14"/>
        <v>60</v>
      </c>
      <c r="Q83" s="212">
        <f t="shared" si="15"/>
        <v>8</v>
      </c>
      <c r="R83" s="212">
        <f t="shared" si="16"/>
        <v>160</v>
      </c>
      <c r="S83" s="229" t="s">
        <v>965</v>
      </c>
      <c r="T83" s="214" t="s">
        <v>988</v>
      </c>
      <c r="U83" s="213">
        <v>6</v>
      </c>
      <c r="V83" s="213">
        <v>7</v>
      </c>
      <c r="W83" s="215">
        <v>43889</v>
      </c>
      <c r="X83" s="216">
        <v>43917</v>
      </c>
      <c r="Y83" s="205">
        <v>44014</v>
      </c>
      <c r="Z83" s="311">
        <f t="shared" si="9"/>
        <v>2020</v>
      </c>
      <c r="AA83" s="311">
        <f t="shared" si="10"/>
        <v>7</v>
      </c>
      <c r="AB83" s="217" t="s">
        <v>1250</v>
      </c>
      <c r="AC83" s="217" t="s">
        <v>422</v>
      </c>
      <c r="AD83" s="217" t="s">
        <v>422</v>
      </c>
      <c r="AE83" s="217" t="s">
        <v>422</v>
      </c>
      <c r="AF83" s="217" t="s">
        <v>422</v>
      </c>
      <c r="AG83" s="217" t="s">
        <v>422</v>
      </c>
      <c r="AH83" s="217" t="s">
        <v>422</v>
      </c>
      <c r="AI83" s="217" t="s">
        <v>423</v>
      </c>
      <c r="AJ83" s="217" t="s">
        <v>423</v>
      </c>
      <c r="AK83" s="218" t="s">
        <v>140</v>
      </c>
      <c r="AL83" s="209"/>
      <c r="AM83" s="209"/>
    </row>
    <row r="84" spans="1:42" ht="15" customHeight="1" x14ac:dyDescent="0.3">
      <c r="A84" s="185">
        <v>103</v>
      </c>
      <c r="B84" s="212" t="s">
        <v>961</v>
      </c>
      <c r="C84" s="212" t="s">
        <v>1616</v>
      </c>
      <c r="D84" s="201" t="s">
        <v>1848</v>
      </c>
      <c r="E84" s="212"/>
      <c r="F84" s="212" t="s">
        <v>1597</v>
      </c>
      <c r="G84" s="212" t="s">
        <v>1953</v>
      </c>
      <c r="H84" s="212"/>
      <c r="I84" s="212">
        <v>2</v>
      </c>
      <c r="J84" s="212">
        <v>5</v>
      </c>
      <c r="K84" s="357">
        <v>6</v>
      </c>
      <c r="L84" s="212">
        <v>1</v>
      </c>
      <c r="M84" s="212">
        <f t="shared" si="11"/>
        <v>14</v>
      </c>
      <c r="N84" s="212">
        <f t="shared" si="12"/>
        <v>16</v>
      </c>
      <c r="O84" s="212">
        <f t="shared" si="13"/>
        <v>20</v>
      </c>
      <c r="P84" s="212">
        <f t="shared" si="14"/>
        <v>40</v>
      </c>
      <c r="Q84" s="212">
        <f t="shared" si="15"/>
        <v>8</v>
      </c>
      <c r="R84" s="212">
        <f t="shared" si="16"/>
        <v>84</v>
      </c>
      <c r="S84" s="229" t="s">
        <v>966</v>
      </c>
      <c r="T84" s="214" t="s">
        <v>989</v>
      </c>
      <c r="U84" s="213">
        <v>6</v>
      </c>
      <c r="V84" s="213">
        <v>7</v>
      </c>
      <c r="W84" s="215">
        <v>43889</v>
      </c>
      <c r="X84" s="216">
        <v>43917</v>
      </c>
      <c r="Y84" s="205">
        <v>44014</v>
      </c>
      <c r="Z84" s="311">
        <f t="shared" si="9"/>
        <v>2020</v>
      </c>
      <c r="AA84" s="311">
        <f t="shared" si="10"/>
        <v>7</v>
      </c>
      <c r="AB84" s="217" t="s">
        <v>1250</v>
      </c>
      <c r="AC84" s="217" t="s">
        <v>422</v>
      </c>
      <c r="AD84" s="217" t="s">
        <v>422</v>
      </c>
      <c r="AE84" s="217" t="s">
        <v>422</v>
      </c>
      <c r="AF84" s="217" t="s">
        <v>422</v>
      </c>
      <c r="AG84" s="217" t="s">
        <v>422</v>
      </c>
      <c r="AH84" s="217" t="s">
        <v>422</v>
      </c>
      <c r="AI84" s="217" t="s">
        <v>423</v>
      </c>
      <c r="AJ84" s="217" t="s">
        <v>423</v>
      </c>
      <c r="AK84" s="218" t="s">
        <v>1009</v>
      </c>
      <c r="AL84" s="209"/>
      <c r="AM84" s="209"/>
    </row>
    <row r="85" spans="1:42" ht="15" customHeight="1" x14ac:dyDescent="0.3">
      <c r="A85" s="185">
        <v>104</v>
      </c>
      <c r="B85" s="212" t="s">
        <v>962</v>
      </c>
      <c r="C85" s="212" t="s">
        <v>1616</v>
      </c>
      <c r="D85" s="201" t="s">
        <v>1848</v>
      </c>
      <c r="E85" s="212"/>
      <c r="F85" s="212" t="s">
        <v>1597</v>
      </c>
      <c r="G85" s="212" t="s">
        <v>1941</v>
      </c>
      <c r="H85" s="212"/>
      <c r="I85" s="212">
        <v>2</v>
      </c>
      <c r="J85" s="212">
        <v>3</v>
      </c>
      <c r="K85" s="212">
        <v>4</v>
      </c>
      <c r="L85" s="212">
        <v>0.5</v>
      </c>
      <c r="M85" s="212">
        <f t="shared" si="11"/>
        <v>9.5</v>
      </c>
      <c r="N85" s="212">
        <f t="shared" si="12"/>
        <v>16</v>
      </c>
      <c r="O85" s="212">
        <f t="shared" si="13"/>
        <v>12</v>
      </c>
      <c r="P85" s="212">
        <f t="shared" si="14"/>
        <v>26.666666666666668</v>
      </c>
      <c r="Q85" s="212">
        <f t="shared" si="15"/>
        <v>4</v>
      </c>
      <c r="R85" s="212">
        <f t="shared" si="16"/>
        <v>58.666666666666671</v>
      </c>
      <c r="S85" s="229" t="s">
        <v>967</v>
      </c>
      <c r="T85" s="225" t="s">
        <v>990</v>
      </c>
      <c r="U85" s="213">
        <v>6</v>
      </c>
      <c r="V85" s="226">
        <v>7</v>
      </c>
      <c r="W85" s="215">
        <v>43889</v>
      </c>
      <c r="X85" s="216">
        <v>43917</v>
      </c>
      <c r="Y85" s="205">
        <v>44014</v>
      </c>
      <c r="Z85" s="311">
        <f t="shared" si="9"/>
        <v>2020</v>
      </c>
      <c r="AA85" s="311">
        <f t="shared" si="10"/>
        <v>7</v>
      </c>
      <c r="AB85" s="217" t="s">
        <v>1250</v>
      </c>
      <c r="AC85" s="217" t="s">
        <v>422</v>
      </c>
      <c r="AD85" s="217" t="s">
        <v>422</v>
      </c>
      <c r="AE85" s="217" t="s">
        <v>422</v>
      </c>
      <c r="AF85" s="217" t="s">
        <v>422</v>
      </c>
      <c r="AG85" s="217" t="s">
        <v>422</v>
      </c>
      <c r="AH85" s="217" t="s">
        <v>422</v>
      </c>
      <c r="AI85" s="217" t="s">
        <v>423</v>
      </c>
      <c r="AJ85" s="217" t="s">
        <v>423</v>
      </c>
      <c r="AK85" s="218" t="s">
        <v>1009</v>
      </c>
      <c r="AL85" s="209"/>
      <c r="AM85" s="209"/>
    </row>
    <row r="86" spans="1:42" ht="15" customHeight="1" x14ac:dyDescent="0.3">
      <c r="A86" s="185">
        <v>105</v>
      </c>
      <c r="B86" s="212" t="s">
        <v>977</v>
      </c>
      <c r="C86" s="212" t="s">
        <v>1616</v>
      </c>
      <c r="D86" s="201" t="s">
        <v>1848</v>
      </c>
      <c r="E86" s="212"/>
      <c r="F86" s="212" t="s">
        <v>1597</v>
      </c>
      <c r="G86" s="212" t="s">
        <v>1953</v>
      </c>
      <c r="H86" s="212"/>
      <c r="I86" s="212">
        <v>2</v>
      </c>
      <c r="J86" s="212">
        <v>3</v>
      </c>
      <c r="K86" s="357">
        <v>4</v>
      </c>
      <c r="L86" s="212">
        <v>0.5</v>
      </c>
      <c r="M86" s="212">
        <f t="shared" si="11"/>
        <v>9.5</v>
      </c>
      <c r="N86" s="212">
        <f t="shared" si="12"/>
        <v>16</v>
      </c>
      <c r="O86" s="212">
        <f t="shared" si="13"/>
        <v>12</v>
      </c>
      <c r="P86" s="212">
        <f t="shared" si="14"/>
        <v>26.666666666666668</v>
      </c>
      <c r="Q86" s="212">
        <f t="shared" si="15"/>
        <v>4</v>
      </c>
      <c r="R86" s="212">
        <f t="shared" si="16"/>
        <v>58.666666666666671</v>
      </c>
      <c r="S86" s="229" t="s">
        <v>968</v>
      </c>
      <c r="T86" s="225" t="s">
        <v>991</v>
      </c>
      <c r="U86" s="213">
        <v>7</v>
      </c>
      <c r="V86" s="226">
        <v>8</v>
      </c>
      <c r="W86" s="215">
        <v>43889</v>
      </c>
      <c r="X86" s="216">
        <v>43917</v>
      </c>
      <c r="Y86" s="205">
        <v>44014</v>
      </c>
      <c r="Z86" s="311">
        <f t="shared" si="9"/>
        <v>2020</v>
      </c>
      <c r="AA86" s="311">
        <f t="shared" si="10"/>
        <v>7</v>
      </c>
      <c r="AB86" s="217" t="s">
        <v>1250</v>
      </c>
      <c r="AC86" s="217" t="s">
        <v>422</v>
      </c>
      <c r="AD86" s="217" t="s">
        <v>422</v>
      </c>
      <c r="AE86" s="217" t="s">
        <v>422</v>
      </c>
      <c r="AF86" s="217" t="s">
        <v>422</v>
      </c>
      <c r="AG86" s="217" t="s">
        <v>422</v>
      </c>
      <c r="AH86" s="217" t="s">
        <v>422</v>
      </c>
      <c r="AI86" s="217" t="s">
        <v>423</v>
      </c>
      <c r="AJ86" s="217" t="s">
        <v>423</v>
      </c>
      <c r="AK86" s="218" t="s">
        <v>1009</v>
      </c>
      <c r="AL86" s="209"/>
      <c r="AM86" s="209"/>
    </row>
    <row r="87" spans="1:42" ht="15" customHeight="1" x14ac:dyDescent="0.3">
      <c r="A87" s="185">
        <v>106</v>
      </c>
      <c r="B87" s="212" t="s">
        <v>978</v>
      </c>
      <c r="C87" s="212" t="s">
        <v>1616</v>
      </c>
      <c r="D87" s="201" t="s">
        <v>1848</v>
      </c>
      <c r="E87" s="212"/>
      <c r="F87" s="212"/>
      <c r="G87" s="212" t="s">
        <v>1941</v>
      </c>
      <c r="H87" s="212" t="s">
        <v>1041</v>
      </c>
      <c r="I87" s="212">
        <v>2</v>
      </c>
      <c r="J87" s="212">
        <v>13</v>
      </c>
      <c r="K87" s="212">
        <v>9</v>
      </c>
      <c r="L87" s="212">
        <v>1</v>
      </c>
      <c r="M87" s="212">
        <f t="shared" si="11"/>
        <v>25</v>
      </c>
      <c r="N87" s="212">
        <f t="shared" si="12"/>
        <v>16</v>
      </c>
      <c r="O87" s="212">
        <f t="shared" si="13"/>
        <v>52</v>
      </c>
      <c r="P87" s="212">
        <f t="shared" si="14"/>
        <v>60</v>
      </c>
      <c r="Q87" s="212">
        <f t="shared" si="15"/>
        <v>8</v>
      </c>
      <c r="R87" s="212">
        <f t="shared" si="16"/>
        <v>136</v>
      </c>
      <c r="S87" s="229" t="s">
        <v>969</v>
      </c>
      <c r="T87" s="225" t="s">
        <v>992</v>
      </c>
      <c r="U87" s="213">
        <v>7</v>
      </c>
      <c r="V87" s="226">
        <v>9</v>
      </c>
      <c r="W87" s="215">
        <v>43889</v>
      </c>
      <c r="X87" s="216">
        <v>43917</v>
      </c>
      <c r="Y87" s="205">
        <v>44014</v>
      </c>
      <c r="Z87" s="311">
        <f t="shared" si="9"/>
        <v>2020</v>
      </c>
      <c r="AA87" s="311">
        <f t="shared" si="10"/>
        <v>7</v>
      </c>
      <c r="AB87" s="217" t="s">
        <v>1250</v>
      </c>
      <c r="AC87" s="217" t="s">
        <v>422</v>
      </c>
      <c r="AD87" s="217" t="s">
        <v>422</v>
      </c>
      <c r="AE87" s="217" t="s">
        <v>422</v>
      </c>
      <c r="AF87" s="217" t="s">
        <v>422</v>
      </c>
      <c r="AG87" s="217" t="s">
        <v>422</v>
      </c>
      <c r="AH87" s="217" t="s">
        <v>422</v>
      </c>
      <c r="AI87" s="217" t="s">
        <v>423</v>
      </c>
      <c r="AJ87" s="217" t="s">
        <v>423</v>
      </c>
      <c r="AK87" s="218" t="s">
        <v>698</v>
      </c>
      <c r="AL87" s="209"/>
      <c r="AM87" s="209"/>
    </row>
    <row r="88" spans="1:42" ht="15" customHeight="1" x14ac:dyDescent="0.3">
      <c r="A88" s="185">
        <v>107</v>
      </c>
      <c r="B88" s="212" t="s">
        <v>979</v>
      </c>
      <c r="C88" s="212" t="s">
        <v>1616</v>
      </c>
      <c r="D88" s="201" t="s">
        <v>1848</v>
      </c>
      <c r="E88" s="212"/>
      <c r="F88" s="212" t="s">
        <v>1597</v>
      </c>
      <c r="G88" s="212" t="s">
        <v>1953</v>
      </c>
      <c r="H88" s="212"/>
      <c r="I88" s="212">
        <v>2</v>
      </c>
      <c r="J88" s="212">
        <v>10</v>
      </c>
      <c r="K88" s="357">
        <v>9</v>
      </c>
      <c r="L88" s="212">
        <v>1</v>
      </c>
      <c r="M88" s="212">
        <f t="shared" si="11"/>
        <v>22</v>
      </c>
      <c r="N88" s="212">
        <f t="shared" si="12"/>
        <v>16</v>
      </c>
      <c r="O88" s="212">
        <f t="shared" si="13"/>
        <v>40</v>
      </c>
      <c r="P88" s="212">
        <f t="shared" si="14"/>
        <v>60</v>
      </c>
      <c r="Q88" s="212">
        <f t="shared" si="15"/>
        <v>8</v>
      </c>
      <c r="R88" s="212">
        <f t="shared" si="16"/>
        <v>124</v>
      </c>
      <c r="S88" s="229" t="s">
        <v>970</v>
      </c>
      <c r="T88" s="225" t="s">
        <v>986</v>
      </c>
      <c r="U88" s="213">
        <v>7</v>
      </c>
      <c r="V88" s="226">
        <v>8</v>
      </c>
      <c r="W88" s="215">
        <v>43889</v>
      </c>
      <c r="X88" s="216">
        <v>43917</v>
      </c>
      <c r="Y88" s="205">
        <v>44014</v>
      </c>
      <c r="Z88" s="311">
        <f t="shared" si="9"/>
        <v>2020</v>
      </c>
      <c r="AA88" s="311">
        <f t="shared" si="10"/>
        <v>7</v>
      </c>
      <c r="AB88" s="217" t="s">
        <v>1250</v>
      </c>
      <c r="AC88" s="217" t="s">
        <v>422</v>
      </c>
      <c r="AD88" s="217" t="s">
        <v>422</v>
      </c>
      <c r="AE88" s="217" t="s">
        <v>422</v>
      </c>
      <c r="AF88" s="217" t="s">
        <v>422</v>
      </c>
      <c r="AG88" s="217" t="s">
        <v>422</v>
      </c>
      <c r="AH88" s="217" t="s">
        <v>422</v>
      </c>
      <c r="AI88" s="217" t="s">
        <v>423</v>
      </c>
      <c r="AJ88" s="217" t="s">
        <v>423</v>
      </c>
      <c r="AK88" s="218" t="s">
        <v>1009</v>
      </c>
      <c r="AL88" s="209"/>
      <c r="AM88" s="209"/>
    </row>
    <row r="89" spans="1:42" ht="15" customHeight="1" x14ac:dyDescent="0.3">
      <c r="A89" s="185">
        <v>108</v>
      </c>
      <c r="B89" s="212" t="s">
        <v>980</v>
      </c>
      <c r="C89" s="212" t="s">
        <v>1616</v>
      </c>
      <c r="D89" s="201" t="s">
        <v>1848</v>
      </c>
      <c r="E89" s="212"/>
      <c r="F89" s="212" t="s">
        <v>1597</v>
      </c>
      <c r="G89" s="212" t="s">
        <v>1953</v>
      </c>
      <c r="H89" s="212"/>
      <c r="I89" s="212">
        <v>2</v>
      </c>
      <c r="J89" s="212">
        <v>10</v>
      </c>
      <c r="K89" s="357">
        <v>9</v>
      </c>
      <c r="L89" s="212">
        <v>1</v>
      </c>
      <c r="M89" s="212">
        <f t="shared" si="11"/>
        <v>22</v>
      </c>
      <c r="N89" s="212">
        <f t="shared" si="12"/>
        <v>16</v>
      </c>
      <c r="O89" s="212">
        <f t="shared" si="13"/>
        <v>40</v>
      </c>
      <c r="P89" s="212">
        <f t="shared" si="14"/>
        <v>60</v>
      </c>
      <c r="Q89" s="212">
        <f t="shared" si="15"/>
        <v>8</v>
      </c>
      <c r="R89" s="212">
        <f t="shared" si="16"/>
        <v>124</v>
      </c>
      <c r="S89" s="229" t="s">
        <v>971</v>
      </c>
      <c r="T89" s="225" t="s">
        <v>994</v>
      </c>
      <c r="U89" s="213">
        <v>6</v>
      </c>
      <c r="V89" s="226">
        <v>7</v>
      </c>
      <c r="W89" s="215">
        <v>43889</v>
      </c>
      <c r="X89" s="216">
        <v>43917</v>
      </c>
      <c r="Y89" s="205">
        <v>44014</v>
      </c>
      <c r="Z89" s="311">
        <f t="shared" si="9"/>
        <v>2020</v>
      </c>
      <c r="AA89" s="311">
        <f t="shared" si="10"/>
        <v>7</v>
      </c>
      <c r="AB89" s="217" t="s">
        <v>1250</v>
      </c>
      <c r="AC89" s="217" t="s">
        <v>422</v>
      </c>
      <c r="AD89" s="217" t="s">
        <v>422</v>
      </c>
      <c r="AE89" s="217" t="s">
        <v>422</v>
      </c>
      <c r="AF89" s="217" t="s">
        <v>422</v>
      </c>
      <c r="AG89" s="217" t="s">
        <v>422</v>
      </c>
      <c r="AH89" s="217" t="s">
        <v>422</v>
      </c>
      <c r="AI89" s="217" t="s">
        <v>423</v>
      </c>
      <c r="AJ89" s="217" t="s">
        <v>423</v>
      </c>
      <c r="AK89" s="218" t="s">
        <v>1009</v>
      </c>
      <c r="AL89" s="209"/>
      <c r="AM89" s="209"/>
    </row>
    <row r="90" spans="1:42" ht="15" customHeight="1" x14ac:dyDescent="0.3">
      <c r="A90" s="185">
        <v>109</v>
      </c>
      <c r="B90" s="212" t="s">
        <v>981</v>
      </c>
      <c r="C90" s="212" t="s">
        <v>1616</v>
      </c>
      <c r="D90" s="335" t="s">
        <v>1848</v>
      </c>
      <c r="E90" s="212"/>
      <c r="F90" s="212" t="s">
        <v>1597</v>
      </c>
      <c r="G90" s="212" t="s">
        <v>1953</v>
      </c>
      <c r="H90" s="212"/>
      <c r="I90" s="212">
        <v>2</v>
      </c>
      <c r="J90" s="212">
        <v>10</v>
      </c>
      <c r="K90" s="357">
        <v>9</v>
      </c>
      <c r="L90" s="212">
        <v>1</v>
      </c>
      <c r="M90" s="212">
        <f t="shared" si="11"/>
        <v>22</v>
      </c>
      <c r="N90" s="212">
        <f t="shared" si="12"/>
        <v>16</v>
      </c>
      <c r="O90" s="212">
        <f t="shared" si="13"/>
        <v>40</v>
      </c>
      <c r="P90" s="212">
        <f t="shared" si="14"/>
        <v>60</v>
      </c>
      <c r="Q90" s="212">
        <f t="shared" si="15"/>
        <v>8</v>
      </c>
      <c r="R90" s="212">
        <f t="shared" si="16"/>
        <v>124</v>
      </c>
      <c r="S90" s="229" t="s">
        <v>972</v>
      </c>
      <c r="T90" s="225" t="s">
        <v>987</v>
      </c>
      <c r="U90" s="213">
        <v>7</v>
      </c>
      <c r="V90" s="226">
        <v>7</v>
      </c>
      <c r="W90" s="215">
        <v>43889</v>
      </c>
      <c r="X90" s="216">
        <v>43917</v>
      </c>
      <c r="Y90" s="205">
        <v>44014</v>
      </c>
      <c r="Z90" s="311">
        <f t="shared" si="9"/>
        <v>2020</v>
      </c>
      <c r="AA90" s="311">
        <f t="shared" si="10"/>
        <v>7</v>
      </c>
      <c r="AB90" s="217" t="s">
        <v>1250</v>
      </c>
      <c r="AC90" s="217" t="s">
        <v>422</v>
      </c>
      <c r="AD90" s="217" t="s">
        <v>422</v>
      </c>
      <c r="AE90" s="217" t="s">
        <v>422</v>
      </c>
      <c r="AF90" s="217" t="s">
        <v>422</v>
      </c>
      <c r="AG90" s="217" t="s">
        <v>422</v>
      </c>
      <c r="AH90" s="217" t="s">
        <v>422</v>
      </c>
      <c r="AI90" s="217" t="s">
        <v>423</v>
      </c>
      <c r="AJ90" s="217" t="s">
        <v>423</v>
      </c>
      <c r="AK90" s="218" t="s">
        <v>1009</v>
      </c>
      <c r="AL90" s="209"/>
      <c r="AM90" s="209"/>
    </row>
    <row r="91" spans="1:42" ht="15" customHeight="1" x14ac:dyDescent="0.3">
      <c r="A91" s="185">
        <v>110</v>
      </c>
      <c r="B91" s="212" t="s">
        <v>982</v>
      </c>
      <c r="C91" s="212" t="s">
        <v>1616</v>
      </c>
      <c r="D91" s="335" t="s">
        <v>1848</v>
      </c>
      <c r="E91" s="212"/>
      <c r="F91" s="212" t="s">
        <v>1597</v>
      </c>
      <c r="G91" s="212" t="s">
        <v>1953</v>
      </c>
      <c r="H91" s="212"/>
      <c r="I91" s="212">
        <v>2</v>
      </c>
      <c r="J91" s="212">
        <v>5</v>
      </c>
      <c r="K91" s="357">
        <v>6</v>
      </c>
      <c r="L91" s="212">
        <v>1</v>
      </c>
      <c r="M91" s="212">
        <f t="shared" si="11"/>
        <v>14</v>
      </c>
      <c r="N91" s="212">
        <f t="shared" si="12"/>
        <v>16</v>
      </c>
      <c r="O91" s="212">
        <f t="shared" si="13"/>
        <v>20</v>
      </c>
      <c r="P91" s="212">
        <f t="shared" si="14"/>
        <v>40</v>
      </c>
      <c r="Q91" s="212">
        <f t="shared" si="15"/>
        <v>8</v>
      </c>
      <c r="R91" s="212">
        <f t="shared" si="16"/>
        <v>84</v>
      </c>
      <c r="S91" s="229" t="s">
        <v>973</v>
      </c>
      <c r="T91" s="225" t="s">
        <v>849</v>
      </c>
      <c r="U91" s="213">
        <v>6</v>
      </c>
      <c r="V91" s="226">
        <v>7</v>
      </c>
      <c r="W91" s="215">
        <v>43889</v>
      </c>
      <c r="X91" s="216">
        <v>43917</v>
      </c>
      <c r="Y91" s="205">
        <v>44014</v>
      </c>
      <c r="Z91" s="311">
        <f t="shared" si="9"/>
        <v>2020</v>
      </c>
      <c r="AA91" s="311">
        <f t="shared" si="10"/>
        <v>7</v>
      </c>
      <c r="AB91" s="217" t="s">
        <v>1250</v>
      </c>
      <c r="AC91" s="217" t="s">
        <v>422</v>
      </c>
      <c r="AD91" s="217" t="s">
        <v>422</v>
      </c>
      <c r="AE91" s="217" t="s">
        <v>422</v>
      </c>
      <c r="AF91" s="217" t="s">
        <v>422</v>
      </c>
      <c r="AG91" s="217" t="s">
        <v>422</v>
      </c>
      <c r="AH91" s="217" t="s">
        <v>422</v>
      </c>
      <c r="AI91" s="217" t="s">
        <v>423</v>
      </c>
      <c r="AJ91" s="217" t="s">
        <v>423</v>
      </c>
      <c r="AK91" s="218" t="s">
        <v>1009</v>
      </c>
      <c r="AL91" s="209"/>
      <c r="AM91" s="209"/>
    </row>
    <row r="92" spans="1:42" ht="15" customHeight="1" x14ac:dyDescent="0.3">
      <c r="A92" s="185">
        <v>111</v>
      </c>
      <c r="B92" s="212" t="s">
        <v>983</v>
      </c>
      <c r="C92" s="212" t="s">
        <v>1616</v>
      </c>
      <c r="D92" s="335" t="s">
        <v>1848</v>
      </c>
      <c r="E92" s="212"/>
      <c r="F92" s="212" t="s">
        <v>1597</v>
      </c>
      <c r="G92" s="212" t="s">
        <v>1953</v>
      </c>
      <c r="H92" s="212"/>
      <c r="I92" s="212">
        <v>2</v>
      </c>
      <c r="J92" s="212">
        <v>3</v>
      </c>
      <c r="K92" s="357">
        <v>4</v>
      </c>
      <c r="L92" s="212">
        <v>0.5</v>
      </c>
      <c r="M92" s="212">
        <f t="shared" si="11"/>
        <v>9.5</v>
      </c>
      <c r="N92" s="212">
        <f t="shared" si="12"/>
        <v>16</v>
      </c>
      <c r="O92" s="212">
        <f t="shared" si="13"/>
        <v>12</v>
      </c>
      <c r="P92" s="212">
        <f t="shared" si="14"/>
        <v>26.666666666666668</v>
      </c>
      <c r="Q92" s="212">
        <f t="shared" si="15"/>
        <v>4</v>
      </c>
      <c r="R92" s="212">
        <f t="shared" si="16"/>
        <v>58.666666666666671</v>
      </c>
      <c r="S92" s="229" t="s">
        <v>974</v>
      </c>
      <c r="T92" s="225" t="s">
        <v>844</v>
      </c>
      <c r="U92" s="213">
        <v>6</v>
      </c>
      <c r="V92" s="226">
        <v>7</v>
      </c>
      <c r="W92" s="215">
        <v>43889</v>
      </c>
      <c r="X92" s="216">
        <v>43917</v>
      </c>
      <c r="Y92" s="205">
        <v>44014</v>
      </c>
      <c r="Z92" s="311">
        <f t="shared" si="9"/>
        <v>2020</v>
      </c>
      <c r="AA92" s="311">
        <f t="shared" si="10"/>
        <v>7</v>
      </c>
      <c r="AB92" s="217" t="s">
        <v>1250</v>
      </c>
      <c r="AC92" s="217" t="s">
        <v>422</v>
      </c>
      <c r="AD92" s="217" t="s">
        <v>422</v>
      </c>
      <c r="AE92" s="217" t="s">
        <v>422</v>
      </c>
      <c r="AF92" s="217" t="s">
        <v>422</v>
      </c>
      <c r="AG92" s="217" t="s">
        <v>422</v>
      </c>
      <c r="AH92" s="217" t="s">
        <v>422</v>
      </c>
      <c r="AI92" s="217" t="s">
        <v>423</v>
      </c>
      <c r="AJ92" s="217" t="s">
        <v>423</v>
      </c>
      <c r="AK92" s="218" t="s">
        <v>1009</v>
      </c>
      <c r="AL92" s="209"/>
      <c r="AM92" s="209"/>
    </row>
    <row r="93" spans="1:42" ht="15" customHeight="1" x14ac:dyDescent="0.3">
      <c r="A93" s="185">
        <v>112</v>
      </c>
      <c r="B93" s="212" t="s">
        <v>984</v>
      </c>
      <c r="C93" s="212" t="s">
        <v>1616</v>
      </c>
      <c r="D93" s="335" t="s">
        <v>1848</v>
      </c>
      <c r="E93" s="212"/>
      <c r="F93" s="212" t="s">
        <v>1597</v>
      </c>
      <c r="G93" s="212" t="s">
        <v>1953</v>
      </c>
      <c r="H93" s="212"/>
      <c r="I93" s="212">
        <v>2</v>
      </c>
      <c r="J93" s="212">
        <v>3</v>
      </c>
      <c r="K93" s="357">
        <v>4</v>
      </c>
      <c r="L93" s="212">
        <v>0.5</v>
      </c>
      <c r="M93" s="212">
        <f t="shared" si="11"/>
        <v>9.5</v>
      </c>
      <c r="N93" s="212">
        <f t="shared" si="12"/>
        <v>16</v>
      </c>
      <c r="O93" s="212">
        <f t="shared" si="13"/>
        <v>12</v>
      </c>
      <c r="P93" s="212">
        <f t="shared" si="14"/>
        <v>26.666666666666668</v>
      </c>
      <c r="Q93" s="212">
        <f t="shared" si="15"/>
        <v>4</v>
      </c>
      <c r="R93" s="212">
        <f t="shared" si="16"/>
        <v>58.666666666666671</v>
      </c>
      <c r="S93" s="229" t="s">
        <v>975</v>
      </c>
      <c r="T93" s="225" t="s">
        <v>846</v>
      </c>
      <c r="U93" s="213">
        <v>7</v>
      </c>
      <c r="V93" s="226">
        <v>8</v>
      </c>
      <c r="W93" s="215">
        <v>43889</v>
      </c>
      <c r="X93" s="216">
        <v>43917</v>
      </c>
      <c r="Y93" s="205">
        <v>44014</v>
      </c>
      <c r="Z93" s="311">
        <f t="shared" si="9"/>
        <v>2020</v>
      </c>
      <c r="AA93" s="311">
        <f t="shared" si="10"/>
        <v>7</v>
      </c>
      <c r="AB93" s="217" t="s">
        <v>1250</v>
      </c>
      <c r="AC93" s="217" t="s">
        <v>422</v>
      </c>
      <c r="AD93" s="217" t="s">
        <v>422</v>
      </c>
      <c r="AE93" s="217" t="s">
        <v>422</v>
      </c>
      <c r="AF93" s="217" t="s">
        <v>422</v>
      </c>
      <c r="AG93" s="217" t="s">
        <v>422</v>
      </c>
      <c r="AH93" s="217" t="s">
        <v>422</v>
      </c>
      <c r="AI93" s="217" t="s">
        <v>423</v>
      </c>
      <c r="AJ93" s="217" t="s">
        <v>423</v>
      </c>
      <c r="AK93" s="218" t="s">
        <v>1009</v>
      </c>
      <c r="AL93" s="209"/>
      <c r="AM93" s="209"/>
    </row>
    <row r="94" spans="1:42" ht="15" customHeight="1" x14ac:dyDescent="0.3">
      <c r="A94" s="185">
        <v>113</v>
      </c>
      <c r="B94" s="212" t="s">
        <v>985</v>
      </c>
      <c r="C94" s="212" t="s">
        <v>1616</v>
      </c>
      <c r="D94" s="335" t="s">
        <v>1848</v>
      </c>
      <c r="E94" s="212"/>
      <c r="F94" s="212" t="s">
        <v>1597</v>
      </c>
      <c r="G94" s="212" t="s">
        <v>1941</v>
      </c>
      <c r="H94" s="212"/>
      <c r="I94" s="212">
        <v>2</v>
      </c>
      <c r="J94" s="212">
        <v>5</v>
      </c>
      <c r="K94" s="212">
        <v>5</v>
      </c>
      <c r="L94" s="212">
        <v>0.8</v>
      </c>
      <c r="M94" s="212">
        <f t="shared" si="11"/>
        <v>12.8</v>
      </c>
      <c r="N94" s="212">
        <f t="shared" si="12"/>
        <v>16</v>
      </c>
      <c r="O94" s="212">
        <f t="shared" si="13"/>
        <v>20</v>
      </c>
      <c r="P94" s="212">
        <f t="shared" si="14"/>
        <v>33.333333333333336</v>
      </c>
      <c r="Q94" s="212">
        <f t="shared" si="15"/>
        <v>6.4</v>
      </c>
      <c r="R94" s="212">
        <f t="shared" si="16"/>
        <v>75.733333333333348</v>
      </c>
      <c r="S94" s="229" t="s">
        <v>976</v>
      </c>
      <c r="T94" s="214" t="s">
        <v>995</v>
      </c>
      <c r="U94" s="213">
        <v>6</v>
      </c>
      <c r="V94" s="213">
        <v>7</v>
      </c>
      <c r="W94" s="215">
        <v>43889</v>
      </c>
      <c r="X94" s="216">
        <v>43917</v>
      </c>
      <c r="Y94" s="205">
        <v>44014</v>
      </c>
      <c r="Z94" s="311">
        <f t="shared" si="9"/>
        <v>2020</v>
      </c>
      <c r="AA94" s="311">
        <f t="shared" si="10"/>
        <v>7</v>
      </c>
      <c r="AB94" s="217" t="s">
        <v>1250</v>
      </c>
      <c r="AC94" s="217" t="s">
        <v>422</v>
      </c>
      <c r="AD94" s="217" t="s">
        <v>422</v>
      </c>
      <c r="AE94" s="217" t="s">
        <v>422</v>
      </c>
      <c r="AF94" s="217" t="s">
        <v>422</v>
      </c>
      <c r="AG94" s="217" t="s">
        <v>422</v>
      </c>
      <c r="AH94" s="217" t="s">
        <v>422</v>
      </c>
      <c r="AI94" s="217" t="s">
        <v>423</v>
      </c>
      <c r="AJ94" s="217" t="s">
        <v>423</v>
      </c>
      <c r="AK94" s="218" t="s">
        <v>1009</v>
      </c>
      <c r="AL94" s="209"/>
      <c r="AM94" s="209"/>
    </row>
    <row r="95" spans="1:42" ht="15" customHeight="1" x14ac:dyDescent="0.3">
      <c r="A95" s="185">
        <v>115</v>
      </c>
      <c r="B95" s="212" t="s">
        <v>1022</v>
      </c>
      <c r="C95" s="212" t="s">
        <v>1621</v>
      </c>
      <c r="D95" s="335" t="s">
        <v>1850</v>
      </c>
      <c r="E95" s="212"/>
      <c r="F95" s="212"/>
      <c r="G95" s="259" t="s">
        <v>1604</v>
      </c>
      <c r="H95" s="212" t="s">
        <v>1944</v>
      </c>
      <c r="I95" s="212">
        <v>2</v>
      </c>
      <c r="J95" s="349">
        <f>4.5+2</f>
        <v>6.5</v>
      </c>
      <c r="K95" s="212">
        <v>0</v>
      </c>
      <c r="L95" s="212">
        <v>1</v>
      </c>
      <c r="M95" s="212">
        <f t="shared" si="11"/>
        <v>9.5</v>
      </c>
      <c r="N95" s="212">
        <f t="shared" si="12"/>
        <v>16</v>
      </c>
      <c r="O95" s="212">
        <f t="shared" si="13"/>
        <v>26</v>
      </c>
      <c r="P95" s="212">
        <f t="shared" si="14"/>
        <v>0</v>
      </c>
      <c r="Q95" s="212">
        <f t="shared" si="15"/>
        <v>8</v>
      </c>
      <c r="R95" s="212">
        <f t="shared" si="16"/>
        <v>50</v>
      </c>
      <c r="S95" s="229" t="s">
        <v>1035</v>
      </c>
      <c r="T95" s="214" t="s">
        <v>1036</v>
      </c>
      <c r="U95" s="213">
        <v>128</v>
      </c>
      <c r="V95" s="213">
        <v>128</v>
      </c>
      <c r="W95" s="215">
        <v>43983</v>
      </c>
      <c r="X95" s="216">
        <v>44027</v>
      </c>
      <c r="Y95" s="205">
        <v>44042</v>
      </c>
      <c r="Z95" s="311">
        <f t="shared" si="9"/>
        <v>2020</v>
      </c>
      <c r="AA95" s="311">
        <f t="shared" si="10"/>
        <v>7</v>
      </c>
      <c r="AB95" s="217" t="s">
        <v>920</v>
      </c>
      <c r="AC95" s="217" t="s">
        <v>422</v>
      </c>
      <c r="AD95" s="217" t="s">
        <v>422</v>
      </c>
      <c r="AE95" s="217" t="s">
        <v>422</v>
      </c>
      <c r="AF95" s="217" t="s">
        <v>422</v>
      </c>
      <c r="AG95" s="217" t="s">
        <v>422</v>
      </c>
      <c r="AH95" s="217" t="s">
        <v>423</v>
      </c>
      <c r="AI95" s="217" t="s">
        <v>423</v>
      </c>
      <c r="AJ95" s="217" t="s">
        <v>423</v>
      </c>
      <c r="AK95" s="218" t="s">
        <v>138</v>
      </c>
      <c r="AL95" s="218"/>
      <c r="AM95" s="218"/>
    </row>
    <row r="96" spans="1:42" ht="15" customHeight="1" x14ac:dyDescent="0.3">
      <c r="A96" s="185">
        <v>116</v>
      </c>
      <c r="B96" s="212" t="s">
        <v>1023</v>
      </c>
      <c r="C96" s="212" t="s">
        <v>1621</v>
      </c>
      <c r="D96" s="201" t="s">
        <v>1850</v>
      </c>
      <c r="E96" s="212"/>
      <c r="F96" s="212" t="s">
        <v>1597</v>
      </c>
      <c r="G96" s="259" t="s">
        <v>1604</v>
      </c>
      <c r="H96" s="212"/>
      <c r="I96" s="212">
        <v>2</v>
      </c>
      <c r="J96" s="349">
        <f t="shared" ref="J96:J98" si="17">4.5+2</f>
        <v>6.5</v>
      </c>
      <c r="K96" s="212">
        <v>0</v>
      </c>
      <c r="L96" s="212">
        <v>1</v>
      </c>
      <c r="M96" s="212">
        <f t="shared" si="11"/>
        <v>9.5</v>
      </c>
      <c r="N96" s="212">
        <f t="shared" si="12"/>
        <v>16</v>
      </c>
      <c r="O96" s="212">
        <f t="shared" si="13"/>
        <v>26</v>
      </c>
      <c r="P96" s="212">
        <f t="shared" si="14"/>
        <v>0</v>
      </c>
      <c r="Q96" s="212">
        <f t="shared" si="15"/>
        <v>8</v>
      </c>
      <c r="R96" s="212">
        <f t="shared" si="16"/>
        <v>50</v>
      </c>
      <c r="S96" s="229" t="s">
        <v>1035</v>
      </c>
      <c r="T96" s="214" t="s">
        <v>1037</v>
      </c>
      <c r="U96" s="213">
        <v>128</v>
      </c>
      <c r="V96" s="213">
        <v>132</v>
      </c>
      <c r="W96" s="215">
        <v>43983</v>
      </c>
      <c r="X96" s="216">
        <v>44027</v>
      </c>
      <c r="Y96" s="205">
        <v>44042</v>
      </c>
      <c r="Z96" s="311">
        <f t="shared" si="9"/>
        <v>2020</v>
      </c>
      <c r="AA96" s="311">
        <f t="shared" si="10"/>
        <v>7</v>
      </c>
      <c r="AB96" s="217" t="s">
        <v>920</v>
      </c>
      <c r="AC96" s="217" t="s">
        <v>422</v>
      </c>
      <c r="AD96" s="217" t="s">
        <v>422</v>
      </c>
      <c r="AE96" s="217" t="s">
        <v>422</v>
      </c>
      <c r="AF96" s="217" t="s">
        <v>422</v>
      </c>
      <c r="AG96" s="217" t="s">
        <v>422</v>
      </c>
      <c r="AH96" s="217" t="s">
        <v>423</v>
      </c>
      <c r="AI96" s="217" t="s">
        <v>423</v>
      </c>
      <c r="AJ96" s="217" t="s">
        <v>423</v>
      </c>
      <c r="AK96" s="218" t="s">
        <v>108</v>
      </c>
      <c r="AL96" s="218"/>
      <c r="AM96" s="218"/>
      <c r="AN96" s="188"/>
      <c r="AO96" s="188"/>
      <c r="AP96" s="188"/>
    </row>
    <row r="97" spans="1:42" ht="15" customHeight="1" x14ac:dyDescent="0.3">
      <c r="A97" s="185">
        <v>117</v>
      </c>
      <c r="B97" s="212" t="s">
        <v>1024</v>
      </c>
      <c r="C97" s="212" t="s">
        <v>1621</v>
      </c>
      <c r="D97" s="201" t="s">
        <v>1850</v>
      </c>
      <c r="E97" s="212"/>
      <c r="F97" s="212" t="s">
        <v>1597</v>
      </c>
      <c r="G97" s="259" t="s">
        <v>1604</v>
      </c>
      <c r="H97" s="212"/>
      <c r="I97" s="212">
        <v>2</v>
      </c>
      <c r="J97" s="349">
        <f t="shared" si="17"/>
        <v>6.5</v>
      </c>
      <c r="K97" s="212">
        <v>0</v>
      </c>
      <c r="L97" s="212">
        <v>1.5</v>
      </c>
      <c r="M97" s="212">
        <f t="shared" si="11"/>
        <v>10</v>
      </c>
      <c r="N97" s="212">
        <f t="shared" si="12"/>
        <v>16</v>
      </c>
      <c r="O97" s="212">
        <f t="shared" si="13"/>
        <v>26</v>
      </c>
      <c r="P97" s="212">
        <f t="shared" si="14"/>
        <v>0</v>
      </c>
      <c r="Q97" s="212">
        <f t="shared" si="15"/>
        <v>12</v>
      </c>
      <c r="R97" s="212">
        <f t="shared" si="16"/>
        <v>54</v>
      </c>
      <c r="S97" s="229" t="s">
        <v>1035</v>
      </c>
      <c r="T97" s="214" t="s">
        <v>1038</v>
      </c>
      <c r="U97" s="213">
        <v>9</v>
      </c>
      <c r="V97" s="213">
        <v>9</v>
      </c>
      <c r="W97" s="215">
        <v>43983</v>
      </c>
      <c r="X97" s="216">
        <v>44027</v>
      </c>
      <c r="Y97" s="205">
        <v>44042</v>
      </c>
      <c r="Z97" s="311">
        <f t="shared" si="9"/>
        <v>2020</v>
      </c>
      <c r="AA97" s="311">
        <f t="shared" si="10"/>
        <v>7</v>
      </c>
      <c r="AB97" s="217" t="s">
        <v>920</v>
      </c>
      <c r="AC97" s="217" t="s">
        <v>422</v>
      </c>
      <c r="AD97" s="217" t="s">
        <v>422</v>
      </c>
      <c r="AE97" s="217" t="s">
        <v>422</v>
      </c>
      <c r="AF97" s="217" t="s">
        <v>422</v>
      </c>
      <c r="AG97" s="217" t="s">
        <v>422</v>
      </c>
      <c r="AH97" s="217" t="s">
        <v>423</v>
      </c>
      <c r="AI97" s="217" t="s">
        <v>423</v>
      </c>
      <c r="AJ97" s="217" t="s">
        <v>423</v>
      </c>
      <c r="AK97" s="218" t="s">
        <v>108</v>
      </c>
      <c r="AL97" s="218"/>
      <c r="AM97" s="218"/>
      <c r="AN97" s="188"/>
      <c r="AO97" s="188"/>
      <c r="AP97" s="188"/>
    </row>
    <row r="98" spans="1:42" ht="15" customHeight="1" x14ac:dyDescent="0.3">
      <c r="A98" s="185">
        <v>118</v>
      </c>
      <c r="B98" s="212" t="s">
        <v>1025</v>
      </c>
      <c r="C98" s="212" t="s">
        <v>1621</v>
      </c>
      <c r="D98" s="201" t="s">
        <v>1850</v>
      </c>
      <c r="E98" s="212"/>
      <c r="F98" s="212" t="s">
        <v>1597</v>
      </c>
      <c r="G98" s="259" t="s">
        <v>1604</v>
      </c>
      <c r="H98" s="212"/>
      <c r="I98" s="212">
        <v>2</v>
      </c>
      <c r="J98" s="349">
        <f t="shared" si="17"/>
        <v>6.5</v>
      </c>
      <c r="K98" s="212">
        <v>0</v>
      </c>
      <c r="L98" s="212">
        <v>1.5</v>
      </c>
      <c r="M98" s="212">
        <f t="shared" si="11"/>
        <v>10</v>
      </c>
      <c r="N98" s="212">
        <f t="shared" si="12"/>
        <v>16</v>
      </c>
      <c r="O98" s="212">
        <f t="shared" si="13"/>
        <v>26</v>
      </c>
      <c r="P98" s="212">
        <f t="shared" si="14"/>
        <v>0</v>
      </c>
      <c r="Q98" s="212">
        <f t="shared" si="15"/>
        <v>12</v>
      </c>
      <c r="R98" s="212">
        <f t="shared" si="16"/>
        <v>54</v>
      </c>
      <c r="S98" s="229" t="s">
        <v>1035</v>
      </c>
      <c r="T98" s="214" t="s">
        <v>1039</v>
      </c>
      <c r="U98" s="213">
        <v>6</v>
      </c>
      <c r="V98" s="213">
        <v>6</v>
      </c>
      <c r="W98" s="215">
        <v>43983</v>
      </c>
      <c r="X98" s="216">
        <v>44027</v>
      </c>
      <c r="Y98" s="205">
        <v>44042</v>
      </c>
      <c r="Z98" s="311">
        <f t="shared" si="9"/>
        <v>2020</v>
      </c>
      <c r="AA98" s="311">
        <f t="shared" si="10"/>
        <v>7</v>
      </c>
      <c r="AB98" s="217" t="s">
        <v>920</v>
      </c>
      <c r="AC98" s="217" t="s">
        <v>422</v>
      </c>
      <c r="AD98" s="217" t="s">
        <v>422</v>
      </c>
      <c r="AE98" s="217" t="s">
        <v>422</v>
      </c>
      <c r="AF98" s="217" t="s">
        <v>422</v>
      </c>
      <c r="AG98" s="217" t="s">
        <v>422</v>
      </c>
      <c r="AH98" s="217" t="s">
        <v>423</v>
      </c>
      <c r="AI98" s="217" t="s">
        <v>423</v>
      </c>
      <c r="AJ98" s="217" t="s">
        <v>423</v>
      </c>
      <c r="AK98" s="218" t="s">
        <v>108</v>
      </c>
      <c r="AL98" s="218"/>
      <c r="AM98" s="218"/>
      <c r="AN98" s="188"/>
      <c r="AO98" s="188"/>
      <c r="AP98" s="188"/>
    </row>
    <row r="99" spans="1:42" ht="15" customHeight="1" x14ac:dyDescent="0.3">
      <c r="A99" s="185">
        <v>124</v>
      </c>
      <c r="B99" s="247" t="s">
        <v>1262</v>
      </c>
      <c r="C99" s="247" t="s">
        <v>1618</v>
      </c>
      <c r="D99" s="201" t="s">
        <v>1881</v>
      </c>
      <c r="E99" s="247"/>
      <c r="F99" s="247"/>
      <c r="G99" s="259" t="s">
        <v>1604</v>
      </c>
      <c r="H99" s="248" t="s">
        <v>1008</v>
      </c>
      <c r="I99" s="248">
        <v>2</v>
      </c>
      <c r="J99" s="248">
        <v>7.5</v>
      </c>
      <c r="K99" s="248">
        <v>0</v>
      </c>
      <c r="L99" s="212">
        <v>1.5</v>
      </c>
      <c r="M99" s="212">
        <f t="shared" si="11"/>
        <v>11</v>
      </c>
      <c r="N99" s="212">
        <f t="shared" si="12"/>
        <v>16</v>
      </c>
      <c r="O99" s="212">
        <f t="shared" si="13"/>
        <v>30</v>
      </c>
      <c r="P99" s="212">
        <f t="shared" si="14"/>
        <v>0</v>
      </c>
      <c r="Q99" s="212">
        <f t="shared" si="15"/>
        <v>12</v>
      </c>
      <c r="R99" s="212">
        <f t="shared" si="16"/>
        <v>58</v>
      </c>
      <c r="S99" s="260" t="s">
        <v>1043</v>
      </c>
      <c r="T99" s="261" t="s">
        <v>1044</v>
      </c>
      <c r="U99" s="272">
        <v>132</v>
      </c>
      <c r="V99" s="272">
        <v>132</v>
      </c>
      <c r="W99" s="245">
        <v>44029</v>
      </c>
      <c r="X99" s="262">
        <v>44039</v>
      </c>
      <c r="Y99" s="186">
        <v>44043</v>
      </c>
      <c r="Z99" s="311">
        <f t="shared" si="9"/>
        <v>2020</v>
      </c>
      <c r="AA99" s="311">
        <f t="shared" si="10"/>
        <v>7</v>
      </c>
      <c r="AB99" s="243" t="s">
        <v>920</v>
      </c>
      <c r="AC99" s="243" t="s">
        <v>422</v>
      </c>
      <c r="AD99" s="243" t="s">
        <v>422</v>
      </c>
      <c r="AE99" s="243" t="s">
        <v>422</v>
      </c>
      <c r="AF99" s="243" t="s">
        <v>422</v>
      </c>
      <c r="AG99" s="243" t="s">
        <v>422</v>
      </c>
      <c r="AH99" s="243" t="s">
        <v>423</v>
      </c>
      <c r="AI99" s="243" t="s">
        <v>423</v>
      </c>
      <c r="AJ99" s="243" t="s">
        <v>423</v>
      </c>
      <c r="AK99" s="244" t="s">
        <v>888</v>
      </c>
      <c r="AL99" s="244"/>
      <c r="AM99" s="244"/>
    </row>
    <row r="100" spans="1:42" ht="15" customHeight="1" x14ac:dyDescent="0.3">
      <c r="A100" s="185">
        <v>126</v>
      </c>
      <c r="B100" s="247" t="s">
        <v>1046</v>
      </c>
      <c r="C100" s="212" t="s">
        <v>108</v>
      </c>
      <c r="D100" s="199" t="s">
        <v>1849</v>
      </c>
      <c r="E100" s="247"/>
      <c r="F100" s="247" t="s">
        <v>1597</v>
      </c>
      <c r="G100" s="259" t="s">
        <v>1604</v>
      </c>
      <c r="H100" s="248"/>
      <c r="I100" s="248">
        <v>0.5</v>
      </c>
      <c r="J100" s="248">
        <v>2</v>
      </c>
      <c r="K100" s="248">
        <v>0</v>
      </c>
      <c r="L100" s="212">
        <v>0.3</v>
      </c>
      <c r="M100" s="212">
        <f t="shared" si="11"/>
        <v>2.8</v>
      </c>
      <c r="N100" s="212">
        <f t="shared" si="12"/>
        <v>4</v>
      </c>
      <c r="O100" s="212">
        <f t="shared" si="13"/>
        <v>8</v>
      </c>
      <c r="P100" s="212">
        <f t="shared" si="14"/>
        <v>0</v>
      </c>
      <c r="Q100" s="212">
        <f t="shared" si="15"/>
        <v>2.4</v>
      </c>
      <c r="R100" s="212">
        <f t="shared" si="16"/>
        <v>14.4</v>
      </c>
      <c r="S100" s="260" t="s">
        <v>1047</v>
      </c>
      <c r="T100" s="261" t="s">
        <v>1049</v>
      </c>
      <c r="U100" s="272">
        <v>40</v>
      </c>
      <c r="V100" s="272">
        <v>40</v>
      </c>
      <c r="W100" s="245">
        <v>43981</v>
      </c>
      <c r="X100" s="262">
        <v>44042</v>
      </c>
      <c r="Y100" s="186">
        <v>44042</v>
      </c>
      <c r="Z100" s="311">
        <f t="shared" si="9"/>
        <v>2020</v>
      </c>
      <c r="AA100" s="311">
        <f t="shared" si="10"/>
        <v>7</v>
      </c>
      <c r="AB100" s="243" t="s">
        <v>920</v>
      </c>
      <c r="AC100" s="243" t="s">
        <v>422</v>
      </c>
      <c r="AD100" s="243" t="s">
        <v>422</v>
      </c>
      <c r="AE100" s="243" t="s">
        <v>422</v>
      </c>
      <c r="AF100" s="243" t="s">
        <v>422</v>
      </c>
      <c r="AG100" s="243" t="s">
        <v>422</v>
      </c>
      <c r="AH100" s="243" t="s">
        <v>423</v>
      </c>
      <c r="AI100" s="243" t="s">
        <v>423</v>
      </c>
      <c r="AJ100" s="243" t="s">
        <v>423</v>
      </c>
      <c r="AK100" s="244" t="s">
        <v>108</v>
      </c>
      <c r="AL100" s="244"/>
      <c r="AM100" s="244"/>
    </row>
    <row r="101" spans="1:42" ht="15" customHeight="1" x14ac:dyDescent="0.3">
      <c r="A101" s="185">
        <v>51</v>
      </c>
      <c r="B101" s="212" t="s">
        <v>821</v>
      </c>
      <c r="C101" s="247" t="s">
        <v>1616</v>
      </c>
      <c r="D101" s="201" t="s">
        <v>1848</v>
      </c>
      <c r="E101" s="212"/>
      <c r="F101" s="212"/>
      <c r="G101" s="212" t="s">
        <v>1954</v>
      </c>
      <c r="H101" s="212" t="s">
        <v>1040</v>
      </c>
      <c r="I101" s="357">
        <v>1</v>
      </c>
      <c r="J101" s="212">
        <v>2.5</v>
      </c>
      <c r="K101" s="212">
        <f>3.5+3.8</f>
        <v>7.3</v>
      </c>
      <c r="L101" s="212">
        <v>0.5</v>
      </c>
      <c r="M101" s="212">
        <f t="shared" si="11"/>
        <v>11.3</v>
      </c>
      <c r="N101" s="212">
        <f t="shared" si="12"/>
        <v>8</v>
      </c>
      <c r="O101" s="212">
        <f t="shared" si="13"/>
        <v>10</v>
      </c>
      <c r="P101" s="212">
        <f t="shared" si="14"/>
        <v>48.666666666666664</v>
      </c>
      <c r="Q101" s="212">
        <f t="shared" si="15"/>
        <v>4</v>
      </c>
      <c r="R101" s="212">
        <f t="shared" si="16"/>
        <v>70.666666666666657</v>
      </c>
      <c r="S101" s="202" t="s">
        <v>845</v>
      </c>
      <c r="T101" s="208" t="s">
        <v>844</v>
      </c>
      <c r="U101" s="202">
        <v>24</v>
      </c>
      <c r="V101" s="202">
        <v>25</v>
      </c>
      <c r="W101" s="204">
        <v>43866</v>
      </c>
      <c r="X101" s="205">
        <v>43956</v>
      </c>
      <c r="Y101" s="205">
        <v>44072</v>
      </c>
      <c r="Z101" s="311">
        <f t="shared" si="9"/>
        <v>2020</v>
      </c>
      <c r="AA101" s="311">
        <f t="shared" si="10"/>
        <v>8</v>
      </c>
      <c r="AB101" s="211" t="s">
        <v>920</v>
      </c>
      <c r="AC101" s="217" t="s">
        <v>422</v>
      </c>
      <c r="AD101" s="217" t="s">
        <v>422</v>
      </c>
      <c r="AE101" s="217" t="s">
        <v>422</v>
      </c>
      <c r="AF101" s="217" t="s">
        <v>422</v>
      </c>
      <c r="AG101" s="217" t="s">
        <v>422</v>
      </c>
      <c r="AH101" s="217" t="s">
        <v>422</v>
      </c>
      <c r="AI101" s="217" t="s">
        <v>423</v>
      </c>
      <c r="AJ101" s="217" t="s">
        <v>423</v>
      </c>
      <c r="AK101" s="222" t="s">
        <v>254</v>
      </c>
      <c r="AL101" s="209"/>
      <c r="AM101" s="209"/>
    </row>
    <row r="102" spans="1:42" ht="15" customHeight="1" x14ac:dyDescent="0.3">
      <c r="A102" s="185">
        <v>52</v>
      </c>
      <c r="B102" s="212" t="s">
        <v>822</v>
      </c>
      <c r="C102" s="247" t="s">
        <v>1616</v>
      </c>
      <c r="D102" s="201" t="s">
        <v>1848</v>
      </c>
      <c r="E102" s="212"/>
      <c r="F102" s="212"/>
      <c r="G102" s="212" t="s">
        <v>1941</v>
      </c>
      <c r="H102" s="212" t="s">
        <v>1040</v>
      </c>
      <c r="I102" s="357">
        <v>1</v>
      </c>
      <c r="J102" s="212">
        <v>2.5</v>
      </c>
      <c r="K102" s="212">
        <f>2.5+2.8</f>
        <v>5.3</v>
      </c>
      <c r="L102" s="212">
        <v>0.5</v>
      </c>
      <c r="M102" s="212">
        <f t="shared" si="11"/>
        <v>9.3000000000000007</v>
      </c>
      <c r="N102" s="212">
        <f t="shared" si="12"/>
        <v>8</v>
      </c>
      <c r="O102" s="212">
        <f t="shared" si="13"/>
        <v>10</v>
      </c>
      <c r="P102" s="212">
        <f t="shared" si="14"/>
        <v>35.333333333333336</v>
      </c>
      <c r="Q102" s="212">
        <f t="shared" si="15"/>
        <v>4</v>
      </c>
      <c r="R102" s="212">
        <f t="shared" si="16"/>
        <v>57.333333333333336</v>
      </c>
      <c r="S102" s="202" t="s">
        <v>847</v>
      </c>
      <c r="T102" s="208" t="s">
        <v>846</v>
      </c>
      <c r="U102" s="202">
        <v>84</v>
      </c>
      <c r="V102" s="202">
        <v>86</v>
      </c>
      <c r="W102" s="204">
        <v>43866</v>
      </c>
      <c r="X102" s="205">
        <v>43956</v>
      </c>
      <c r="Y102" s="205">
        <v>44072</v>
      </c>
      <c r="Z102" s="311">
        <f t="shared" si="9"/>
        <v>2020</v>
      </c>
      <c r="AA102" s="311">
        <f t="shared" si="10"/>
        <v>8</v>
      </c>
      <c r="AB102" s="211" t="s">
        <v>920</v>
      </c>
      <c r="AC102" s="217" t="s">
        <v>422</v>
      </c>
      <c r="AD102" s="217" t="s">
        <v>422</v>
      </c>
      <c r="AE102" s="217" t="s">
        <v>422</v>
      </c>
      <c r="AF102" s="217" t="s">
        <v>422</v>
      </c>
      <c r="AG102" s="217" t="s">
        <v>422</v>
      </c>
      <c r="AH102" s="217" t="s">
        <v>422</v>
      </c>
      <c r="AI102" s="217" t="s">
        <v>423</v>
      </c>
      <c r="AJ102" s="217" t="s">
        <v>423</v>
      </c>
      <c r="AK102" s="222" t="s">
        <v>254</v>
      </c>
      <c r="AL102" s="209"/>
      <c r="AM102" s="209"/>
    </row>
    <row r="103" spans="1:42" ht="15" customHeight="1" x14ac:dyDescent="0.3">
      <c r="A103" s="185">
        <v>53</v>
      </c>
      <c r="B103" s="212" t="s">
        <v>823</v>
      </c>
      <c r="C103" s="247" t="s">
        <v>1616</v>
      </c>
      <c r="D103" s="201" t="s">
        <v>1848</v>
      </c>
      <c r="E103" s="212"/>
      <c r="F103" s="212"/>
      <c r="G103" s="212" t="s">
        <v>1941</v>
      </c>
      <c r="H103" s="212" t="s">
        <v>1040</v>
      </c>
      <c r="I103" s="357">
        <v>2</v>
      </c>
      <c r="J103" s="212">
        <v>4.7</v>
      </c>
      <c r="K103" s="212">
        <f>4.5+5.5</f>
        <v>10</v>
      </c>
      <c r="L103" s="212">
        <v>1</v>
      </c>
      <c r="M103" s="212">
        <f t="shared" si="11"/>
        <v>17.7</v>
      </c>
      <c r="N103" s="212">
        <f t="shared" si="12"/>
        <v>16</v>
      </c>
      <c r="O103" s="212">
        <f t="shared" si="13"/>
        <v>18.8</v>
      </c>
      <c r="P103" s="212">
        <f t="shared" si="14"/>
        <v>66.666666666666671</v>
      </c>
      <c r="Q103" s="212">
        <f t="shared" si="15"/>
        <v>8</v>
      </c>
      <c r="R103" s="212">
        <f t="shared" si="16"/>
        <v>109.46666666666667</v>
      </c>
      <c r="S103" s="202" t="s">
        <v>848</v>
      </c>
      <c r="T103" s="208" t="s">
        <v>849</v>
      </c>
      <c r="U103" s="202">
        <v>58</v>
      </c>
      <c r="V103" s="202">
        <v>59</v>
      </c>
      <c r="W103" s="204">
        <v>43866</v>
      </c>
      <c r="X103" s="205">
        <v>43956</v>
      </c>
      <c r="Y103" s="205">
        <v>44072</v>
      </c>
      <c r="Z103" s="311">
        <f t="shared" si="9"/>
        <v>2020</v>
      </c>
      <c r="AA103" s="311">
        <f t="shared" si="10"/>
        <v>8</v>
      </c>
      <c r="AB103" s="211" t="s">
        <v>920</v>
      </c>
      <c r="AC103" s="217" t="s">
        <v>422</v>
      </c>
      <c r="AD103" s="217" t="s">
        <v>422</v>
      </c>
      <c r="AE103" s="217" t="s">
        <v>422</v>
      </c>
      <c r="AF103" s="217" t="s">
        <v>422</v>
      </c>
      <c r="AG103" s="217" t="s">
        <v>422</v>
      </c>
      <c r="AH103" s="217" t="s">
        <v>422</v>
      </c>
      <c r="AI103" s="217" t="s">
        <v>423</v>
      </c>
      <c r="AJ103" s="217" t="s">
        <v>423</v>
      </c>
      <c r="AK103" s="222" t="s">
        <v>254</v>
      </c>
      <c r="AL103" s="209"/>
      <c r="AM103" s="209"/>
    </row>
    <row r="104" spans="1:42" ht="15" customHeight="1" x14ac:dyDescent="0.3">
      <c r="A104" s="185">
        <v>54</v>
      </c>
      <c r="B104" s="212" t="s">
        <v>824</v>
      </c>
      <c r="C104" s="247" t="s">
        <v>1616</v>
      </c>
      <c r="D104" s="201" t="s">
        <v>1848</v>
      </c>
      <c r="E104" s="212"/>
      <c r="F104" s="212" t="s">
        <v>1597</v>
      </c>
      <c r="G104" s="212" t="s">
        <v>1941</v>
      </c>
      <c r="H104" s="212"/>
      <c r="I104" s="212">
        <v>2</v>
      </c>
      <c r="J104" s="212">
        <v>9</v>
      </c>
      <c r="K104" s="212">
        <f>11+5.5</f>
        <v>16.5</v>
      </c>
      <c r="L104" s="212">
        <v>1</v>
      </c>
      <c r="M104" s="212">
        <f t="shared" si="11"/>
        <v>28.5</v>
      </c>
      <c r="N104" s="212">
        <f t="shared" si="12"/>
        <v>16</v>
      </c>
      <c r="O104" s="212">
        <f t="shared" si="13"/>
        <v>36</v>
      </c>
      <c r="P104" s="212">
        <f t="shared" si="14"/>
        <v>110</v>
      </c>
      <c r="Q104" s="212">
        <f t="shared" si="15"/>
        <v>8</v>
      </c>
      <c r="R104" s="212">
        <f t="shared" si="16"/>
        <v>170</v>
      </c>
      <c r="S104" s="202" t="s">
        <v>851</v>
      </c>
      <c r="T104" s="208" t="s">
        <v>850</v>
      </c>
      <c r="U104" s="202">
        <v>88</v>
      </c>
      <c r="V104" s="202">
        <v>93</v>
      </c>
      <c r="W104" s="204">
        <v>43866</v>
      </c>
      <c r="X104" s="205">
        <v>43956</v>
      </c>
      <c r="Y104" s="205">
        <v>44072</v>
      </c>
      <c r="Z104" s="311">
        <f t="shared" si="9"/>
        <v>2020</v>
      </c>
      <c r="AA104" s="311">
        <f t="shared" si="10"/>
        <v>8</v>
      </c>
      <c r="AB104" s="211" t="s">
        <v>920</v>
      </c>
      <c r="AC104" s="217" t="s">
        <v>422</v>
      </c>
      <c r="AD104" s="217" t="s">
        <v>422</v>
      </c>
      <c r="AE104" s="217" t="s">
        <v>422</v>
      </c>
      <c r="AF104" s="217" t="s">
        <v>422</v>
      </c>
      <c r="AG104" s="217" t="s">
        <v>422</v>
      </c>
      <c r="AH104" s="217" t="s">
        <v>422</v>
      </c>
      <c r="AI104" s="217" t="s">
        <v>423</v>
      </c>
      <c r="AJ104" s="217" t="s">
        <v>423</v>
      </c>
      <c r="AK104" s="222" t="s">
        <v>108</v>
      </c>
      <c r="AL104" s="209"/>
      <c r="AM104" s="209"/>
    </row>
    <row r="105" spans="1:42" ht="15" customHeight="1" x14ac:dyDescent="0.3">
      <c r="A105" s="185">
        <v>55</v>
      </c>
      <c r="B105" s="212" t="s">
        <v>825</v>
      </c>
      <c r="C105" s="247" t="s">
        <v>1616</v>
      </c>
      <c r="D105" s="201" t="s">
        <v>1848</v>
      </c>
      <c r="E105" s="212"/>
      <c r="F105" s="212"/>
      <c r="G105" s="212" t="s">
        <v>1941</v>
      </c>
      <c r="H105" s="212" t="s">
        <v>1040</v>
      </c>
      <c r="I105" s="357">
        <v>2</v>
      </c>
      <c r="J105" s="212">
        <v>9</v>
      </c>
      <c r="K105" s="212">
        <f>5.5+5.5</f>
        <v>11</v>
      </c>
      <c r="L105" s="212">
        <v>1</v>
      </c>
      <c r="M105" s="212">
        <f t="shared" si="11"/>
        <v>23</v>
      </c>
      <c r="N105" s="212">
        <f t="shared" si="12"/>
        <v>16</v>
      </c>
      <c r="O105" s="212">
        <f t="shared" si="13"/>
        <v>36</v>
      </c>
      <c r="P105" s="212">
        <f t="shared" si="14"/>
        <v>73.333333333333343</v>
      </c>
      <c r="Q105" s="212">
        <f t="shared" si="15"/>
        <v>8</v>
      </c>
      <c r="R105" s="212">
        <f t="shared" si="16"/>
        <v>133.33333333333334</v>
      </c>
      <c r="S105" s="202" t="s">
        <v>845</v>
      </c>
      <c r="T105" s="208" t="s">
        <v>852</v>
      </c>
      <c r="U105" s="202">
        <v>142</v>
      </c>
      <c r="V105" s="202">
        <v>147</v>
      </c>
      <c r="W105" s="204">
        <v>43866</v>
      </c>
      <c r="X105" s="205">
        <v>43956</v>
      </c>
      <c r="Y105" s="205">
        <v>44072</v>
      </c>
      <c r="Z105" s="311">
        <f t="shared" si="9"/>
        <v>2020</v>
      </c>
      <c r="AA105" s="311">
        <f t="shared" si="10"/>
        <v>8</v>
      </c>
      <c r="AB105" s="211" t="s">
        <v>920</v>
      </c>
      <c r="AC105" s="217" t="s">
        <v>422</v>
      </c>
      <c r="AD105" s="217" t="s">
        <v>422</v>
      </c>
      <c r="AE105" s="217" t="s">
        <v>422</v>
      </c>
      <c r="AF105" s="217" t="s">
        <v>422</v>
      </c>
      <c r="AG105" s="217" t="s">
        <v>422</v>
      </c>
      <c r="AH105" s="217" t="s">
        <v>422</v>
      </c>
      <c r="AI105" s="217" t="s">
        <v>423</v>
      </c>
      <c r="AJ105" s="217" t="s">
        <v>423</v>
      </c>
      <c r="AK105" s="222" t="s">
        <v>254</v>
      </c>
      <c r="AL105" s="209"/>
      <c r="AM105" s="209"/>
    </row>
    <row r="106" spans="1:42" ht="15" customHeight="1" x14ac:dyDescent="0.3">
      <c r="A106" s="185">
        <v>56</v>
      </c>
      <c r="B106" s="212" t="s">
        <v>826</v>
      </c>
      <c r="C106" s="247" t="s">
        <v>1616</v>
      </c>
      <c r="D106" s="201" t="s">
        <v>1848</v>
      </c>
      <c r="E106" s="212"/>
      <c r="F106" s="212" t="s">
        <v>1597</v>
      </c>
      <c r="G106" s="212" t="s">
        <v>1941</v>
      </c>
      <c r="H106" s="212"/>
      <c r="I106" s="212">
        <v>2</v>
      </c>
      <c r="J106" s="212">
        <v>10</v>
      </c>
      <c r="K106" s="212">
        <f>11+5.5</f>
        <v>16.5</v>
      </c>
      <c r="L106" s="212">
        <v>1</v>
      </c>
      <c r="M106" s="212">
        <f t="shared" si="11"/>
        <v>29.5</v>
      </c>
      <c r="N106" s="212">
        <f t="shared" si="12"/>
        <v>16</v>
      </c>
      <c r="O106" s="212">
        <f t="shared" si="13"/>
        <v>40</v>
      </c>
      <c r="P106" s="212">
        <f t="shared" si="14"/>
        <v>110</v>
      </c>
      <c r="Q106" s="212">
        <f t="shared" si="15"/>
        <v>8</v>
      </c>
      <c r="R106" s="212">
        <f t="shared" si="16"/>
        <v>174</v>
      </c>
      <c r="S106" s="202" t="s">
        <v>854</v>
      </c>
      <c r="T106" s="208" t="s">
        <v>853</v>
      </c>
      <c r="U106" s="202">
        <v>38</v>
      </c>
      <c r="V106" s="202">
        <f>42+3</f>
        <v>45</v>
      </c>
      <c r="W106" s="204">
        <v>43866</v>
      </c>
      <c r="X106" s="205">
        <v>43956</v>
      </c>
      <c r="Y106" s="205">
        <v>44072</v>
      </c>
      <c r="Z106" s="311">
        <f t="shared" si="9"/>
        <v>2020</v>
      </c>
      <c r="AA106" s="311">
        <f t="shared" si="10"/>
        <v>8</v>
      </c>
      <c r="AB106" s="211" t="s">
        <v>920</v>
      </c>
      <c r="AC106" s="217" t="s">
        <v>422</v>
      </c>
      <c r="AD106" s="217" t="s">
        <v>422</v>
      </c>
      <c r="AE106" s="217" t="s">
        <v>422</v>
      </c>
      <c r="AF106" s="217" t="s">
        <v>422</v>
      </c>
      <c r="AG106" s="217" t="s">
        <v>422</v>
      </c>
      <c r="AH106" s="217" t="s">
        <v>422</v>
      </c>
      <c r="AI106" s="217" t="s">
        <v>423</v>
      </c>
      <c r="AJ106" s="217" t="s">
        <v>423</v>
      </c>
      <c r="AK106" s="222" t="s">
        <v>108</v>
      </c>
      <c r="AL106" s="209"/>
      <c r="AM106" s="209"/>
    </row>
    <row r="107" spans="1:42" ht="15" customHeight="1" x14ac:dyDescent="0.3">
      <c r="A107" s="185">
        <v>57</v>
      </c>
      <c r="B107" s="212" t="s">
        <v>827</v>
      </c>
      <c r="C107" s="247" t="s">
        <v>1616</v>
      </c>
      <c r="D107" s="201" t="s">
        <v>1848</v>
      </c>
      <c r="E107" s="212"/>
      <c r="F107" s="212"/>
      <c r="G107" s="212" t="s">
        <v>1941</v>
      </c>
      <c r="H107" s="212" t="s">
        <v>1041</v>
      </c>
      <c r="I107" s="357">
        <v>2</v>
      </c>
      <c r="J107" s="212">
        <v>8</v>
      </c>
      <c r="K107" s="212">
        <f>11+5.5</f>
        <v>16.5</v>
      </c>
      <c r="L107" s="212">
        <v>1</v>
      </c>
      <c r="M107" s="212">
        <f t="shared" si="11"/>
        <v>27.5</v>
      </c>
      <c r="N107" s="212">
        <f t="shared" si="12"/>
        <v>16</v>
      </c>
      <c r="O107" s="212">
        <f t="shared" si="13"/>
        <v>32</v>
      </c>
      <c r="P107" s="212">
        <f t="shared" si="14"/>
        <v>110</v>
      </c>
      <c r="Q107" s="212">
        <f t="shared" si="15"/>
        <v>8</v>
      </c>
      <c r="R107" s="212">
        <f t="shared" si="16"/>
        <v>166</v>
      </c>
      <c r="S107" s="202" t="s">
        <v>856</v>
      </c>
      <c r="T107" s="208" t="s">
        <v>855</v>
      </c>
      <c r="U107" s="202">
        <v>52</v>
      </c>
      <c r="V107" s="202">
        <v>55</v>
      </c>
      <c r="W107" s="204">
        <v>43866</v>
      </c>
      <c r="X107" s="205">
        <v>43956</v>
      </c>
      <c r="Y107" s="205">
        <v>44072</v>
      </c>
      <c r="Z107" s="311">
        <f t="shared" si="9"/>
        <v>2020</v>
      </c>
      <c r="AA107" s="311">
        <f t="shared" si="10"/>
        <v>8</v>
      </c>
      <c r="AB107" s="211" t="s">
        <v>920</v>
      </c>
      <c r="AC107" s="217" t="s">
        <v>422</v>
      </c>
      <c r="AD107" s="217" t="s">
        <v>422</v>
      </c>
      <c r="AE107" s="217" t="s">
        <v>422</v>
      </c>
      <c r="AF107" s="217" t="s">
        <v>422</v>
      </c>
      <c r="AG107" s="217" t="s">
        <v>422</v>
      </c>
      <c r="AH107" s="217" t="s">
        <v>422</v>
      </c>
      <c r="AI107" s="217" t="s">
        <v>423</v>
      </c>
      <c r="AJ107" s="217" t="s">
        <v>423</v>
      </c>
      <c r="AK107" s="222" t="s">
        <v>698</v>
      </c>
      <c r="AL107" s="209"/>
      <c r="AM107" s="209"/>
    </row>
    <row r="108" spans="1:42" ht="15" customHeight="1" x14ac:dyDescent="0.3">
      <c r="A108" s="185">
        <v>58</v>
      </c>
      <c r="B108" s="212" t="s">
        <v>828</v>
      </c>
      <c r="C108" s="247" t="s">
        <v>1616</v>
      </c>
      <c r="D108" s="201" t="s">
        <v>1848</v>
      </c>
      <c r="E108" s="212"/>
      <c r="F108" s="212"/>
      <c r="G108" s="212" t="s">
        <v>1941</v>
      </c>
      <c r="H108" s="212" t="s">
        <v>1040</v>
      </c>
      <c r="I108" s="357">
        <v>1</v>
      </c>
      <c r="J108" s="212">
        <v>2.5</v>
      </c>
      <c r="K108" s="212">
        <f>3.5+3.8</f>
        <v>7.3</v>
      </c>
      <c r="L108" s="212">
        <v>0.5</v>
      </c>
      <c r="M108" s="212">
        <f t="shared" si="11"/>
        <v>11.3</v>
      </c>
      <c r="N108" s="212">
        <f t="shared" si="12"/>
        <v>8</v>
      </c>
      <c r="O108" s="212">
        <f t="shared" si="13"/>
        <v>10</v>
      </c>
      <c r="P108" s="212">
        <f t="shared" si="14"/>
        <v>48.666666666666664</v>
      </c>
      <c r="Q108" s="212">
        <f t="shared" si="15"/>
        <v>4</v>
      </c>
      <c r="R108" s="212">
        <f t="shared" si="16"/>
        <v>70.666666666666657</v>
      </c>
      <c r="S108" s="202" t="s">
        <v>860</v>
      </c>
      <c r="T108" s="208" t="s">
        <v>857</v>
      </c>
      <c r="U108" s="202">
        <v>24</v>
      </c>
      <c r="V108" s="202">
        <v>25</v>
      </c>
      <c r="W108" s="204">
        <v>43866</v>
      </c>
      <c r="X108" s="205">
        <v>43956</v>
      </c>
      <c r="Y108" s="205">
        <v>44072</v>
      </c>
      <c r="Z108" s="311">
        <f t="shared" si="9"/>
        <v>2020</v>
      </c>
      <c r="AA108" s="311">
        <f t="shared" si="10"/>
        <v>8</v>
      </c>
      <c r="AB108" s="211" t="s">
        <v>920</v>
      </c>
      <c r="AC108" s="217" t="s">
        <v>422</v>
      </c>
      <c r="AD108" s="217" t="s">
        <v>422</v>
      </c>
      <c r="AE108" s="217" t="s">
        <v>422</v>
      </c>
      <c r="AF108" s="217" t="s">
        <v>422</v>
      </c>
      <c r="AG108" s="217" t="s">
        <v>422</v>
      </c>
      <c r="AH108" s="217" t="s">
        <v>422</v>
      </c>
      <c r="AI108" s="217" t="s">
        <v>423</v>
      </c>
      <c r="AJ108" s="217" t="s">
        <v>423</v>
      </c>
      <c r="AK108" s="222" t="s">
        <v>254</v>
      </c>
      <c r="AL108" s="209"/>
      <c r="AM108" s="209"/>
    </row>
    <row r="109" spans="1:42" ht="15" customHeight="1" x14ac:dyDescent="0.3">
      <c r="A109" s="185">
        <v>59</v>
      </c>
      <c r="B109" s="212" t="s">
        <v>829</v>
      </c>
      <c r="C109" s="247" t="s">
        <v>1616</v>
      </c>
      <c r="D109" s="201" t="s">
        <v>1848</v>
      </c>
      <c r="E109" s="212"/>
      <c r="F109" s="212"/>
      <c r="G109" s="212" t="s">
        <v>1941</v>
      </c>
      <c r="H109" s="212" t="s">
        <v>1040</v>
      </c>
      <c r="I109" s="357">
        <v>1</v>
      </c>
      <c r="J109" s="212">
        <v>2.5</v>
      </c>
      <c r="K109" s="212">
        <f>2.5+3.5</f>
        <v>6</v>
      </c>
      <c r="L109" s="212">
        <v>5</v>
      </c>
      <c r="M109" s="212">
        <f t="shared" si="11"/>
        <v>14.5</v>
      </c>
      <c r="N109" s="212">
        <f t="shared" si="12"/>
        <v>8</v>
      </c>
      <c r="O109" s="212">
        <f t="shared" si="13"/>
        <v>10</v>
      </c>
      <c r="P109" s="212">
        <f t="shared" si="14"/>
        <v>40</v>
      </c>
      <c r="Q109" s="212">
        <f t="shared" si="15"/>
        <v>40</v>
      </c>
      <c r="R109" s="212">
        <f t="shared" si="16"/>
        <v>98</v>
      </c>
      <c r="S109" s="202" t="s">
        <v>861</v>
      </c>
      <c r="T109" s="208" t="s">
        <v>858</v>
      </c>
      <c r="U109" s="202">
        <v>104</v>
      </c>
      <c r="V109" s="202">
        <v>106</v>
      </c>
      <c r="W109" s="204">
        <v>43866</v>
      </c>
      <c r="X109" s="205">
        <v>43956</v>
      </c>
      <c r="Y109" s="205">
        <v>44072</v>
      </c>
      <c r="Z109" s="311">
        <f t="shared" si="9"/>
        <v>2020</v>
      </c>
      <c r="AA109" s="311">
        <f t="shared" si="10"/>
        <v>8</v>
      </c>
      <c r="AB109" s="211" t="s">
        <v>920</v>
      </c>
      <c r="AC109" s="217" t="s">
        <v>422</v>
      </c>
      <c r="AD109" s="217" t="s">
        <v>422</v>
      </c>
      <c r="AE109" s="217" t="s">
        <v>422</v>
      </c>
      <c r="AF109" s="217" t="s">
        <v>422</v>
      </c>
      <c r="AG109" s="217" t="s">
        <v>422</v>
      </c>
      <c r="AH109" s="217" t="s">
        <v>422</v>
      </c>
      <c r="AI109" s="217" t="s">
        <v>423</v>
      </c>
      <c r="AJ109" s="217" t="s">
        <v>423</v>
      </c>
      <c r="AK109" s="222" t="s">
        <v>254</v>
      </c>
      <c r="AL109" s="209"/>
      <c r="AM109" s="209"/>
    </row>
    <row r="110" spans="1:42" ht="15" customHeight="1" x14ac:dyDescent="0.3">
      <c r="A110" s="185">
        <v>60</v>
      </c>
      <c r="B110" s="212" t="s">
        <v>830</v>
      </c>
      <c r="C110" s="247" t="s">
        <v>1616</v>
      </c>
      <c r="D110" s="201" t="s">
        <v>1848</v>
      </c>
      <c r="E110" s="212"/>
      <c r="F110" s="212"/>
      <c r="G110" s="212" t="s">
        <v>1941</v>
      </c>
      <c r="H110" s="212" t="s">
        <v>1040</v>
      </c>
      <c r="I110" s="357">
        <v>2</v>
      </c>
      <c r="J110" s="212">
        <v>4.7</v>
      </c>
      <c r="K110" s="212">
        <f>4.5+7.5</f>
        <v>12</v>
      </c>
      <c r="L110" s="212">
        <v>1</v>
      </c>
      <c r="M110" s="212">
        <f t="shared" si="11"/>
        <v>19.7</v>
      </c>
      <c r="N110" s="212">
        <f t="shared" si="12"/>
        <v>16</v>
      </c>
      <c r="O110" s="212">
        <f t="shared" si="13"/>
        <v>18.8</v>
      </c>
      <c r="P110" s="212">
        <f t="shared" si="14"/>
        <v>80</v>
      </c>
      <c r="Q110" s="212">
        <f t="shared" si="15"/>
        <v>8</v>
      </c>
      <c r="R110" s="212">
        <f t="shared" si="16"/>
        <v>122.8</v>
      </c>
      <c r="S110" s="202" t="s">
        <v>862</v>
      </c>
      <c r="T110" s="208" t="s">
        <v>859</v>
      </c>
      <c r="U110" s="202">
        <v>80</v>
      </c>
      <c r="V110" s="202">
        <v>81</v>
      </c>
      <c r="W110" s="204">
        <v>43866</v>
      </c>
      <c r="X110" s="205">
        <v>43956</v>
      </c>
      <c r="Y110" s="205">
        <v>44072</v>
      </c>
      <c r="Z110" s="311">
        <f t="shared" si="9"/>
        <v>2020</v>
      </c>
      <c r="AA110" s="311">
        <f t="shared" si="10"/>
        <v>8</v>
      </c>
      <c r="AB110" s="211" t="s">
        <v>920</v>
      </c>
      <c r="AC110" s="217" t="s">
        <v>422</v>
      </c>
      <c r="AD110" s="217" t="s">
        <v>422</v>
      </c>
      <c r="AE110" s="217" t="s">
        <v>422</v>
      </c>
      <c r="AF110" s="217" t="s">
        <v>422</v>
      </c>
      <c r="AG110" s="217" t="s">
        <v>422</v>
      </c>
      <c r="AH110" s="217" t="s">
        <v>422</v>
      </c>
      <c r="AI110" s="217" t="s">
        <v>423</v>
      </c>
      <c r="AJ110" s="217" t="s">
        <v>423</v>
      </c>
      <c r="AK110" s="222" t="s">
        <v>254</v>
      </c>
      <c r="AL110" s="209"/>
      <c r="AM110" s="209"/>
    </row>
    <row r="111" spans="1:42" ht="15" customHeight="1" x14ac:dyDescent="0.3">
      <c r="A111" s="185">
        <v>61</v>
      </c>
      <c r="B111" s="212" t="s">
        <v>831</v>
      </c>
      <c r="C111" s="247" t="s">
        <v>1616</v>
      </c>
      <c r="D111" s="201" t="s">
        <v>1848</v>
      </c>
      <c r="E111" s="212"/>
      <c r="F111" s="212"/>
      <c r="G111" s="212" t="s">
        <v>1941</v>
      </c>
      <c r="H111" s="212" t="s">
        <v>1041</v>
      </c>
      <c r="I111" s="357">
        <v>2</v>
      </c>
      <c r="J111" s="212">
        <v>9</v>
      </c>
      <c r="K111" s="212">
        <f>5.5+7.5</f>
        <v>13</v>
      </c>
      <c r="L111" s="212">
        <v>1</v>
      </c>
      <c r="M111" s="212">
        <f t="shared" si="11"/>
        <v>25</v>
      </c>
      <c r="N111" s="212">
        <f t="shared" si="12"/>
        <v>16</v>
      </c>
      <c r="O111" s="212">
        <f t="shared" si="13"/>
        <v>36</v>
      </c>
      <c r="P111" s="212">
        <f t="shared" si="14"/>
        <v>86.666666666666671</v>
      </c>
      <c r="Q111" s="212">
        <f t="shared" si="15"/>
        <v>8</v>
      </c>
      <c r="R111" s="212">
        <f t="shared" si="16"/>
        <v>146.66666666666669</v>
      </c>
      <c r="S111" s="202" t="s">
        <v>864</v>
      </c>
      <c r="T111" s="208" t="s">
        <v>863</v>
      </c>
      <c r="U111" s="202">
        <v>104</v>
      </c>
      <c r="V111" s="202">
        <v>110</v>
      </c>
      <c r="W111" s="204">
        <v>43866</v>
      </c>
      <c r="X111" s="205">
        <v>43956</v>
      </c>
      <c r="Y111" s="205">
        <v>44072</v>
      </c>
      <c r="Z111" s="311">
        <f t="shared" si="9"/>
        <v>2020</v>
      </c>
      <c r="AA111" s="311">
        <f t="shared" si="10"/>
        <v>8</v>
      </c>
      <c r="AB111" s="211" t="s">
        <v>920</v>
      </c>
      <c r="AC111" s="217" t="s">
        <v>422</v>
      </c>
      <c r="AD111" s="217" t="s">
        <v>422</v>
      </c>
      <c r="AE111" s="217" t="s">
        <v>422</v>
      </c>
      <c r="AF111" s="217" t="s">
        <v>422</v>
      </c>
      <c r="AG111" s="217" t="s">
        <v>422</v>
      </c>
      <c r="AH111" s="217" t="s">
        <v>422</v>
      </c>
      <c r="AI111" s="217" t="s">
        <v>423</v>
      </c>
      <c r="AJ111" s="217" t="s">
        <v>423</v>
      </c>
      <c r="AK111" s="222" t="s">
        <v>698</v>
      </c>
      <c r="AL111" s="209"/>
      <c r="AM111" s="209"/>
    </row>
    <row r="112" spans="1:42" ht="15" customHeight="1" x14ac:dyDescent="0.3">
      <c r="A112" s="185">
        <v>62</v>
      </c>
      <c r="B112" s="212" t="s">
        <v>832</v>
      </c>
      <c r="C112" s="247" t="s">
        <v>1616</v>
      </c>
      <c r="D112" s="201" t="s">
        <v>1848</v>
      </c>
      <c r="E112" s="212"/>
      <c r="F112" s="212"/>
      <c r="G112" s="212" t="s">
        <v>1941</v>
      </c>
      <c r="H112" s="212" t="s">
        <v>1010</v>
      </c>
      <c r="I112" s="357">
        <v>2</v>
      </c>
      <c r="J112" s="212">
        <v>8.5</v>
      </c>
      <c r="K112" s="212">
        <f>11+7.5</f>
        <v>18.5</v>
      </c>
      <c r="L112" s="212">
        <v>1</v>
      </c>
      <c r="M112" s="212">
        <f t="shared" si="11"/>
        <v>30</v>
      </c>
      <c r="N112" s="212">
        <f t="shared" si="12"/>
        <v>16</v>
      </c>
      <c r="O112" s="212">
        <f t="shared" si="13"/>
        <v>34</v>
      </c>
      <c r="P112" s="212">
        <f t="shared" si="14"/>
        <v>123.33333333333334</v>
      </c>
      <c r="Q112" s="212">
        <f t="shared" si="15"/>
        <v>8</v>
      </c>
      <c r="R112" s="212">
        <f t="shared" si="16"/>
        <v>181.33333333333334</v>
      </c>
      <c r="S112" s="202" t="s">
        <v>866</v>
      </c>
      <c r="T112" s="208" t="s">
        <v>870</v>
      </c>
      <c r="U112" s="202">
        <v>78</v>
      </c>
      <c r="V112" s="202">
        <v>82</v>
      </c>
      <c r="W112" s="204">
        <v>43866</v>
      </c>
      <c r="X112" s="205">
        <v>43956</v>
      </c>
      <c r="Y112" s="205">
        <v>44072</v>
      </c>
      <c r="Z112" s="311">
        <f t="shared" si="9"/>
        <v>2020</v>
      </c>
      <c r="AA112" s="311">
        <f t="shared" si="10"/>
        <v>8</v>
      </c>
      <c r="AB112" s="211" t="s">
        <v>920</v>
      </c>
      <c r="AC112" s="217" t="s">
        <v>422</v>
      </c>
      <c r="AD112" s="217" t="s">
        <v>422</v>
      </c>
      <c r="AE112" s="217" t="s">
        <v>422</v>
      </c>
      <c r="AF112" s="217" t="s">
        <v>422</v>
      </c>
      <c r="AG112" s="217" t="s">
        <v>422</v>
      </c>
      <c r="AH112" s="217" t="s">
        <v>422</v>
      </c>
      <c r="AI112" s="217" t="s">
        <v>423</v>
      </c>
      <c r="AJ112" s="217" t="s">
        <v>423</v>
      </c>
      <c r="AK112" s="222" t="s">
        <v>140</v>
      </c>
      <c r="AL112" s="209"/>
      <c r="AM112" s="209"/>
    </row>
    <row r="113" spans="1:39" ht="15" customHeight="1" x14ac:dyDescent="0.3">
      <c r="A113" s="185">
        <v>63</v>
      </c>
      <c r="B113" s="212" t="s">
        <v>833</v>
      </c>
      <c r="C113" s="247" t="s">
        <v>1616</v>
      </c>
      <c r="D113" s="201" t="s">
        <v>1848</v>
      </c>
      <c r="E113" s="212"/>
      <c r="F113" s="212"/>
      <c r="G113" s="212" t="s">
        <v>1953</v>
      </c>
      <c r="H113" s="212" t="s">
        <v>1010</v>
      </c>
      <c r="I113" s="357">
        <v>2</v>
      </c>
      <c r="J113" s="212">
        <v>9</v>
      </c>
      <c r="K113" s="212">
        <f>5.5+7.5</f>
        <v>13</v>
      </c>
      <c r="L113" s="212">
        <v>1</v>
      </c>
      <c r="M113" s="212">
        <f t="shared" si="11"/>
        <v>25</v>
      </c>
      <c r="N113" s="212">
        <f t="shared" si="12"/>
        <v>16</v>
      </c>
      <c r="O113" s="212">
        <f t="shared" si="13"/>
        <v>36</v>
      </c>
      <c r="P113" s="212">
        <f t="shared" si="14"/>
        <v>86.666666666666671</v>
      </c>
      <c r="Q113" s="212">
        <f t="shared" si="15"/>
        <v>8</v>
      </c>
      <c r="R113" s="212">
        <f t="shared" si="16"/>
        <v>146.66666666666669</v>
      </c>
      <c r="S113" s="202" t="s">
        <v>867</v>
      </c>
      <c r="T113" s="208" t="s">
        <v>871</v>
      </c>
      <c r="U113" s="202">
        <v>179</v>
      </c>
      <c r="V113" s="202">
        <v>183</v>
      </c>
      <c r="W113" s="204">
        <v>43866</v>
      </c>
      <c r="X113" s="205">
        <v>43956</v>
      </c>
      <c r="Y113" s="205">
        <v>44072</v>
      </c>
      <c r="Z113" s="311">
        <f t="shared" si="9"/>
        <v>2020</v>
      </c>
      <c r="AA113" s="311">
        <f t="shared" si="10"/>
        <v>8</v>
      </c>
      <c r="AB113" s="211" t="s">
        <v>920</v>
      </c>
      <c r="AC113" s="217" t="s">
        <v>422</v>
      </c>
      <c r="AD113" s="217" t="s">
        <v>422</v>
      </c>
      <c r="AE113" s="217" t="s">
        <v>422</v>
      </c>
      <c r="AF113" s="217" t="s">
        <v>422</v>
      </c>
      <c r="AG113" s="217" t="s">
        <v>422</v>
      </c>
      <c r="AH113" s="217" t="s">
        <v>422</v>
      </c>
      <c r="AI113" s="217" t="s">
        <v>423</v>
      </c>
      <c r="AJ113" s="217" t="s">
        <v>423</v>
      </c>
      <c r="AK113" s="222" t="s">
        <v>140</v>
      </c>
      <c r="AL113" s="209"/>
      <c r="AM113" s="209"/>
    </row>
    <row r="114" spans="1:39" ht="15" customHeight="1" x14ac:dyDescent="0.3">
      <c r="A114" s="185">
        <v>64</v>
      </c>
      <c r="B114" s="212" t="s">
        <v>834</v>
      </c>
      <c r="C114" s="247" t="s">
        <v>1616</v>
      </c>
      <c r="D114" s="201" t="s">
        <v>1848</v>
      </c>
      <c r="E114" s="212"/>
      <c r="F114" s="212"/>
      <c r="G114" s="212" t="s">
        <v>1941</v>
      </c>
      <c r="H114" s="212"/>
      <c r="I114" s="357">
        <v>2</v>
      </c>
      <c r="J114" s="357">
        <v>9</v>
      </c>
      <c r="K114" s="212">
        <f>11+7.5</f>
        <v>18.5</v>
      </c>
      <c r="L114" s="212">
        <v>1</v>
      </c>
      <c r="M114" s="212">
        <f t="shared" si="11"/>
        <v>30.5</v>
      </c>
      <c r="N114" s="212">
        <f t="shared" si="12"/>
        <v>16</v>
      </c>
      <c r="O114" s="212">
        <f t="shared" si="13"/>
        <v>36</v>
      </c>
      <c r="P114" s="212">
        <f t="shared" si="14"/>
        <v>123.33333333333334</v>
      </c>
      <c r="Q114" s="212">
        <f t="shared" si="15"/>
        <v>8</v>
      </c>
      <c r="R114" s="212">
        <f t="shared" si="16"/>
        <v>183.33333333333334</v>
      </c>
      <c r="S114" s="202" t="s">
        <v>868</v>
      </c>
      <c r="T114" s="208" t="s">
        <v>869</v>
      </c>
      <c r="U114" s="202">
        <v>82</v>
      </c>
      <c r="V114" s="202">
        <v>84</v>
      </c>
      <c r="W114" s="204">
        <v>43866</v>
      </c>
      <c r="X114" s="205">
        <v>43956</v>
      </c>
      <c r="Y114" s="205">
        <v>44072</v>
      </c>
      <c r="Z114" s="311">
        <f t="shared" si="9"/>
        <v>2020</v>
      </c>
      <c r="AA114" s="311">
        <f t="shared" si="10"/>
        <v>8</v>
      </c>
      <c r="AB114" s="211" t="s">
        <v>920</v>
      </c>
      <c r="AC114" s="217" t="s">
        <v>422</v>
      </c>
      <c r="AD114" s="217" t="s">
        <v>422</v>
      </c>
      <c r="AE114" s="217" t="s">
        <v>422</v>
      </c>
      <c r="AF114" s="217" t="s">
        <v>422</v>
      </c>
      <c r="AG114" s="217" t="s">
        <v>422</v>
      </c>
      <c r="AH114" s="217" t="s">
        <v>422</v>
      </c>
      <c r="AI114" s="217" t="s">
        <v>423</v>
      </c>
      <c r="AJ114" s="217" t="s">
        <v>423</v>
      </c>
      <c r="AK114" s="222" t="s">
        <v>698</v>
      </c>
      <c r="AL114" s="209"/>
      <c r="AM114" s="209"/>
    </row>
    <row r="115" spans="1:39" ht="15" customHeight="1" x14ac:dyDescent="0.3">
      <c r="A115" s="185">
        <v>65</v>
      </c>
      <c r="B115" s="212" t="s">
        <v>835</v>
      </c>
      <c r="C115" s="247" t="s">
        <v>1616</v>
      </c>
      <c r="D115" s="201" t="s">
        <v>1848</v>
      </c>
      <c r="E115" s="212"/>
      <c r="F115" s="212"/>
      <c r="G115" s="212" t="s">
        <v>1941</v>
      </c>
      <c r="H115" s="212"/>
      <c r="I115" s="357">
        <v>2</v>
      </c>
      <c r="J115" s="357">
        <v>12</v>
      </c>
      <c r="K115" s="212">
        <f>11+7.5+2.5+3.5</f>
        <v>24.5</v>
      </c>
      <c r="L115" s="212">
        <v>1.2</v>
      </c>
      <c r="M115" s="212">
        <f t="shared" si="11"/>
        <v>39.700000000000003</v>
      </c>
      <c r="N115" s="212">
        <f t="shared" si="12"/>
        <v>16</v>
      </c>
      <c r="O115" s="212">
        <f t="shared" si="13"/>
        <v>48</v>
      </c>
      <c r="P115" s="212">
        <f t="shared" si="14"/>
        <v>163.33333333333334</v>
      </c>
      <c r="Q115" s="212">
        <f t="shared" si="15"/>
        <v>9.6</v>
      </c>
      <c r="R115" s="212">
        <f t="shared" si="16"/>
        <v>236.93333333333334</v>
      </c>
      <c r="S115" s="202" t="s">
        <v>866</v>
      </c>
      <c r="T115" s="208" t="s">
        <v>872</v>
      </c>
      <c r="U115" s="202">
        <v>72</v>
      </c>
      <c r="V115" s="202">
        <v>75</v>
      </c>
      <c r="W115" s="204">
        <v>43866</v>
      </c>
      <c r="X115" s="205">
        <v>43956</v>
      </c>
      <c r="Y115" s="205">
        <v>44072</v>
      </c>
      <c r="Z115" s="311">
        <f t="shared" si="9"/>
        <v>2020</v>
      </c>
      <c r="AA115" s="311">
        <f t="shared" si="10"/>
        <v>8</v>
      </c>
      <c r="AB115" s="211" t="s">
        <v>920</v>
      </c>
      <c r="AC115" s="217" t="s">
        <v>422</v>
      </c>
      <c r="AD115" s="217" t="s">
        <v>422</v>
      </c>
      <c r="AE115" s="217" t="s">
        <v>422</v>
      </c>
      <c r="AF115" s="217" t="s">
        <v>422</v>
      </c>
      <c r="AG115" s="217" t="s">
        <v>422</v>
      </c>
      <c r="AH115" s="217" t="s">
        <v>422</v>
      </c>
      <c r="AI115" s="217" t="s">
        <v>423</v>
      </c>
      <c r="AJ115" s="217" t="s">
        <v>423</v>
      </c>
      <c r="AK115" s="222" t="s">
        <v>1196</v>
      </c>
      <c r="AL115" s="209"/>
      <c r="AM115" s="224" t="s">
        <v>1197</v>
      </c>
    </row>
    <row r="116" spans="1:39" ht="15" customHeight="1" x14ac:dyDescent="0.3">
      <c r="A116" s="185">
        <v>14</v>
      </c>
      <c r="B116" s="247" t="s">
        <v>762</v>
      </c>
      <c r="C116" s="247" t="s">
        <v>1615</v>
      </c>
      <c r="D116" s="199" t="s">
        <v>1881</v>
      </c>
      <c r="E116" s="247"/>
      <c r="F116" s="247"/>
      <c r="G116" s="259" t="s">
        <v>1604</v>
      </c>
      <c r="H116" s="247" t="s">
        <v>1428</v>
      </c>
      <c r="I116" s="357">
        <v>2</v>
      </c>
      <c r="J116" s="247">
        <v>7</v>
      </c>
      <c r="K116" s="247">
        <v>0</v>
      </c>
      <c r="L116" s="212">
        <v>1.5</v>
      </c>
      <c r="M116" s="212">
        <f t="shared" si="11"/>
        <v>10.5</v>
      </c>
      <c r="N116" s="212">
        <f t="shared" si="12"/>
        <v>16</v>
      </c>
      <c r="O116" s="212">
        <f t="shared" si="13"/>
        <v>28</v>
      </c>
      <c r="P116" s="212">
        <f t="shared" si="14"/>
        <v>0</v>
      </c>
      <c r="Q116" s="212">
        <f t="shared" si="15"/>
        <v>12</v>
      </c>
      <c r="R116" s="212">
        <f t="shared" si="16"/>
        <v>56</v>
      </c>
      <c r="S116" s="311" t="s">
        <v>778</v>
      </c>
      <c r="T116" s="261" t="s">
        <v>761</v>
      </c>
      <c r="U116" s="311">
        <v>62</v>
      </c>
      <c r="V116" s="311">
        <f>36+26</f>
        <v>62</v>
      </c>
      <c r="W116" s="245">
        <v>43713</v>
      </c>
      <c r="X116" s="262">
        <v>43862</v>
      </c>
      <c r="Y116" s="186">
        <v>44082</v>
      </c>
      <c r="Z116" s="311">
        <f t="shared" si="9"/>
        <v>2020</v>
      </c>
      <c r="AA116" s="311">
        <f t="shared" si="10"/>
        <v>9</v>
      </c>
      <c r="AB116" s="217" t="s">
        <v>920</v>
      </c>
      <c r="AC116" s="217" t="s">
        <v>422</v>
      </c>
      <c r="AD116" s="217" t="s">
        <v>422</v>
      </c>
      <c r="AE116" s="211" t="s">
        <v>422</v>
      </c>
      <c r="AF116" s="211" t="s">
        <v>422</v>
      </c>
      <c r="AG116" s="211" t="s">
        <v>422</v>
      </c>
      <c r="AH116" s="217" t="s">
        <v>423</v>
      </c>
      <c r="AI116" s="217" t="s">
        <v>422</v>
      </c>
      <c r="AJ116" s="217" t="s">
        <v>423</v>
      </c>
      <c r="AK116" s="210" t="s">
        <v>138</v>
      </c>
      <c r="AL116" s="218"/>
      <c r="AM116" s="209"/>
    </row>
    <row r="117" spans="1:39" ht="15" customHeight="1" x14ac:dyDescent="0.3">
      <c r="A117" s="185">
        <v>16</v>
      </c>
      <c r="B117" s="247" t="s">
        <v>766</v>
      </c>
      <c r="C117" s="247" t="s">
        <v>1615</v>
      </c>
      <c r="D117" s="199" t="s">
        <v>1881</v>
      </c>
      <c r="E117" s="247"/>
      <c r="F117" s="247"/>
      <c r="G117" s="259" t="s">
        <v>1604</v>
      </c>
      <c r="H117" s="247" t="s">
        <v>1428</v>
      </c>
      <c r="I117" s="357">
        <v>2</v>
      </c>
      <c r="J117" s="247">
        <v>4.5</v>
      </c>
      <c r="K117" s="247">
        <v>0</v>
      </c>
      <c r="L117" s="212">
        <v>1</v>
      </c>
      <c r="M117" s="212">
        <f t="shared" si="11"/>
        <v>7.5</v>
      </c>
      <c r="N117" s="212">
        <f t="shared" si="12"/>
        <v>16</v>
      </c>
      <c r="O117" s="212">
        <f t="shared" si="13"/>
        <v>18</v>
      </c>
      <c r="P117" s="212">
        <f t="shared" si="14"/>
        <v>0</v>
      </c>
      <c r="Q117" s="212">
        <f t="shared" si="15"/>
        <v>8</v>
      </c>
      <c r="R117" s="212">
        <f t="shared" si="16"/>
        <v>42</v>
      </c>
      <c r="S117" s="311" t="s">
        <v>779</v>
      </c>
      <c r="T117" s="261" t="s">
        <v>765</v>
      </c>
      <c r="U117" s="311">
        <v>30</v>
      </c>
      <c r="V117" s="311">
        <v>16</v>
      </c>
      <c r="W117" s="245">
        <v>43713</v>
      </c>
      <c r="X117" s="262">
        <v>43800</v>
      </c>
      <c r="Y117" s="186">
        <v>44082</v>
      </c>
      <c r="Z117" s="311">
        <f t="shared" si="9"/>
        <v>2020</v>
      </c>
      <c r="AA117" s="311">
        <f t="shared" si="10"/>
        <v>9</v>
      </c>
      <c r="AB117" s="217" t="s">
        <v>920</v>
      </c>
      <c r="AC117" s="217" t="s">
        <v>422</v>
      </c>
      <c r="AD117" s="217" t="s">
        <v>422</v>
      </c>
      <c r="AE117" s="217" t="s">
        <v>422</v>
      </c>
      <c r="AF117" s="217" t="s">
        <v>422</v>
      </c>
      <c r="AG117" s="217" t="s">
        <v>422</v>
      </c>
      <c r="AH117" s="217" t="s">
        <v>423</v>
      </c>
      <c r="AI117" s="217" t="s">
        <v>422</v>
      </c>
      <c r="AJ117" s="217" t="s">
        <v>423</v>
      </c>
      <c r="AK117" s="210" t="s">
        <v>138</v>
      </c>
      <c r="AL117" s="218"/>
      <c r="AM117" s="209"/>
    </row>
    <row r="118" spans="1:39" ht="15" customHeight="1" x14ac:dyDescent="0.3">
      <c r="A118" s="185">
        <v>17</v>
      </c>
      <c r="B118" s="247" t="s">
        <v>768</v>
      </c>
      <c r="C118" s="247" t="s">
        <v>1615</v>
      </c>
      <c r="D118" s="199" t="s">
        <v>1881</v>
      </c>
      <c r="E118" s="247"/>
      <c r="F118" s="247"/>
      <c r="G118" s="259" t="s">
        <v>1604</v>
      </c>
      <c r="H118" s="247" t="s">
        <v>1428</v>
      </c>
      <c r="I118" s="357">
        <v>2</v>
      </c>
      <c r="J118" s="247">
        <v>11</v>
      </c>
      <c r="K118" s="247">
        <v>0</v>
      </c>
      <c r="L118" s="212">
        <v>1</v>
      </c>
      <c r="M118" s="212">
        <f t="shared" si="11"/>
        <v>14</v>
      </c>
      <c r="N118" s="212">
        <f t="shared" si="12"/>
        <v>16</v>
      </c>
      <c r="O118" s="212">
        <f t="shared" si="13"/>
        <v>44</v>
      </c>
      <c r="P118" s="212">
        <f t="shared" si="14"/>
        <v>0</v>
      </c>
      <c r="Q118" s="212">
        <f t="shared" si="15"/>
        <v>8</v>
      </c>
      <c r="R118" s="212">
        <f t="shared" si="16"/>
        <v>68</v>
      </c>
      <c r="S118" s="311" t="s">
        <v>780</v>
      </c>
      <c r="T118" s="261" t="s">
        <v>767</v>
      </c>
      <c r="U118" s="311">
        <v>30</v>
      </c>
      <c r="V118" s="311">
        <v>17</v>
      </c>
      <c r="W118" s="245">
        <v>43713</v>
      </c>
      <c r="X118" s="262">
        <v>43800</v>
      </c>
      <c r="Y118" s="186">
        <v>44082</v>
      </c>
      <c r="Z118" s="311">
        <f t="shared" si="9"/>
        <v>2020</v>
      </c>
      <c r="AA118" s="311">
        <f t="shared" si="10"/>
        <v>9</v>
      </c>
      <c r="AB118" s="217" t="s">
        <v>920</v>
      </c>
      <c r="AC118" s="217" t="s">
        <v>422</v>
      </c>
      <c r="AD118" s="217" t="s">
        <v>422</v>
      </c>
      <c r="AE118" s="217" t="s">
        <v>422</v>
      </c>
      <c r="AF118" s="217" t="s">
        <v>422</v>
      </c>
      <c r="AG118" s="217" t="s">
        <v>422</v>
      </c>
      <c r="AH118" s="217" t="s">
        <v>423</v>
      </c>
      <c r="AI118" s="217" t="s">
        <v>422</v>
      </c>
      <c r="AJ118" s="217" t="s">
        <v>423</v>
      </c>
      <c r="AK118" s="210" t="s">
        <v>138</v>
      </c>
      <c r="AL118" s="218"/>
      <c r="AM118" s="209"/>
    </row>
    <row r="119" spans="1:39" ht="15" customHeight="1" x14ac:dyDescent="0.3">
      <c r="A119" s="185">
        <v>41</v>
      </c>
      <c r="B119" s="247" t="s">
        <v>997</v>
      </c>
      <c r="C119" s="247" t="s">
        <v>1615</v>
      </c>
      <c r="D119" s="199" t="s">
        <v>1881</v>
      </c>
      <c r="E119" s="247"/>
      <c r="F119" s="247"/>
      <c r="G119" s="247" t="s">
        <v>1941</v>
      </c>
      <c r="H119" s="247" t="s">
        <v>1040</v>
      </c>
      <c r="I119" s="357">
        <v>2</v>
      </c>
      <c r="J119" s="247">
        <v>6</v>
      </c>
      <c r="K119" s="247">
        <v>5</v>
      </c>
      <c r="L119" s="212">
        <v>1</v>
      </c>
      <c r="M119" s="212">
        <f t="shared" si="11"/>
        <v>14</v>
      </c>
      <c r="N119" s="212">
        <f t="shared" si="12"/>
        <v>16</v>
      </c>
      <c r="O119" s="212">
        <f t="shared" si="13"/>
        <v>24</v>
      </c>
      <c r="P119" s="212">
        <f t="shared" si="14"/>
        <v>33.333333333333336</v>
      </c>
      <c r="Q119" s="212">
        <f t="shared" si="15"/>
        <v>8</v>
      </c>
      <c r="R119" s="212">
        <f t="shared" si="16"/>
        <v>81.333333333333343</v>
      </c>
      <c r="S119" s="196" t="s">
        <v>1001</v>
      </c>
      <c r="T119" s="195" t="s">
        <v>1005</v>
      </c>
      <c r="U119" s="196">
        <v>45</v>
      </c>
      <c r="V119" s="196">
        <v>46</v>
      </c>
      <c r="W119" s="189">
        <v>43781</v>
      </c>
      <c r="X119" s="186">
        <v>43905</v>
      </c>
      <c r="Y119" s="186">
        <v>44097</v>
      </c>
      <c r="Z119" s="311">
        <f t="shared" si="9"/>
        <v>2020</v>
      </c>
      <c r="AA119" s="311">
        <f t="shared" si="10"/>
        <v>9</v>
      </c>
      <c r="AB119" s="211" t="s">
        <v>920</v>
      </c>
      <c r="AC119" s="217" t="s">
        <v>422</v>
      </c>
      <c r="AD119" s="217" t="s">
        <v>422</v>
      </c>
      <c r="AE119" s="217" t="s">
        <v>422</v>
      </c>
      <c r="AF119" s="217" t="s">
        <v>422</v>
      </c>
      <c r="AG119" s="217" t="s">
        <v>423</v>
      </c>
      <c r="AH119" s="217" t="s">
        <v>422</v>
      </c>
      <c r="AI119" s="217" t="s">
        <v>423</v>
      </c>
      <c r="AJ119" s="217" t="s">
        <v>423</v>
      </c>
      <c r="AK119" s="222" t="s">
        <v>254</v>
      </c>
      <c r="AL119" s="209"/>
      <c r="AM119" s="209"/>
    </row>
    <row r="120" spans="1:39" ht="15" customHeight="1" x14ac:dyDescent="0.3">
      <c r="A120" s="185">
        <v>87</v>
      </c>
      <c r="B120" s="247" t="s">
        <v>907</v>
      </c>
      <c r="C120" s="247" t="s">
        <v>1615</v>
      </c>
      <c r="D120" s="199" t="s">
        <v>1881</v>
      </c>
      <c r="E120" s="247"/>
      <c r="F120" s="247" t="s">
        <v>1597</v>
      </c>
      <c r="G120" s="259" t="s">
        <v>1604</v>
      </c>
      <c r="H120" s="247"/>
      <c r="I120" s="247">
        <v>2</v>
      </c>
      <c r="J120" s="358"/>
      <c r="K120" s="247">
        <v>0</v>
      </c>
      <c r="L120" s="212">
        <v>1</v>
      </c>
      <c r="M120" s="212">
        <f t="shared" si="11"/>
        <v>3</v>
      </c>
      <c r="N120" s="212">
        <f t="shared" si="12"/>
        <v>16</v>
      </c>
      <c r="O120" s="212">
        <f t="shared" si="13"/>
        <v>0</v>
      </c>
      <c r="P120" s="212">
        <f t="shared" si="14"/>
        <v>0</v>
      </c>
      <c r="Q120" s="212">
        <f t="shared" si="15"/>
        <v>8</v>
      </c>
      <c r="R120" s="212">
        <f t="shared" si="16"/>
        <v>24</v>
      </c>
      <c r="S120" s="311" t="s">
        <v>941</v>
      </c>
      <c r="T120" s="261" t="s">
        <v>926</v>
      </c>
      <c r="U120" s="311">
        <v>24</v>
      </c>
      <c r="V120" s="311">
        <v>25</v>
      </c>
      <c r="W120" s="245">
        <v>43875</v>
      </c>
      <c r="X120" s="262">
        <v>43905</v>
      </c>
      <c r="Y120" s="186">
        <v>44082</v>
      </c>
      <c r="Z120" s="311">
        <f t="shared" si="9"/>
        <v>2020</v>
      </c>
      <c r="AA120" s="311">
        <f t="shared" si="10"/>
        <v>9</v>
      </c>
      <c r="AB120" s="217" t="s">
        <v>920</v>
      </c>
      <c r="AC120" s="217" t="s">
        <v>422</v>
      </c>
      <c r="AD120" s="217" t="s">
        <v>422</v>
      </c>
      <c r="AE120" s="217" t="s">
        <v>422</v>
      </c>
      <c r="AF120" s="217" t="s">
        <v>422</v>
      </c>
      <c r="AG120" s="217" t="s">
        <v>422</v>
      </c>
      <c r="AH120" s="217" t="s">
        <v>422</v>
      </c>
      <c r="AI120" s="190" t="s">
        <v>423</v>
      </c>
      <c r="AJ120" s="190" t="s">
        <v>423</v>
      </c>
      <c r="AK120" s="192" t="s">
        <v>108</v>
      </c>
      <c r="AL120" s="241"/>
      <c r="AM120" s="241"/>
    </row>
    <row r="121" spans="1:39" ht="15" customHeight="1" x14ac:dyDescent="0.3">
      <c r="A121" s="185">
        <v>92</v>
      </c>
      <c r="B121" s="247" t="s">
        <v>912</v>
      </c>
      <c r="C121" s="247" t="s">
        <v>1615</v>
      </c>
      <c r="D121" s="199" t="s">
        <v>1881</v>
      </c>
      <c r="E121" s="247"/>
      <c r="F121" s="247" t="s">
        <v>1597</v>
      </c>
      <c r="G121" s="247" t="s">
        <v>1940</v>
      </c>
      <c r="H121" s="247"/>
      <c r="I121" s="247">
        <v>2</v>
      </c>
      <c r="J121" s="358"/>
      <c r="K121" s="247">
        <v>9</v>
      </c>
      <c r="L121" s="212">
        <v>1</v>
      </c>
      <c r="M121" s="212">
        <f t="shared" si="11"/>
        <v>12</v>
      </c>
      <c r="N121" s="212">
        <f t="shared" si="12"/>
        <v>16</v>
      </c>
      <c r="O121" s="212">
        <f t="shared" si="13"/>
        <v>0</v>
      </c>
      <c r="P121" s="212">
        <f t="shared" si="14"/>
        <v>60</v>
      </c>
      <c r="Q121" s="212">
        <f t="shared" si="15"/>
        <v>8</v>
      </c>
      <c r="R121" s="212">
        <f t="shared" si="16"/>
        <v>84</v>
      </c>
      <c r="S121" s="311" t="s">
        <v>928</v>
      </c>
      <c r="T121" s="261" t="s">
        <v>923</v>
      </c>
      <c r="U121" s="311">
        <v>69</v>
      </c>
      <c r="V121" s="311">
        <v>72</v>
      </c>
      <c r="W121" s="245">
        <v>43875</v>
      </c>
      <c r="X121" s="262">
        <v>43936</v>
      </c>
      <c r="Y121" s="186">
        <v>44097</v>
      </c>
      <c r="Z121" s="311">
        <f t="shared" si="9"/>
        <v>2020</v>
      </c>
      <c r="AA121" s="311">
        <f t="shared" si="10"/>
        <v>9</v>
      </c>
      <c r="AB121" s="217" t="s">
        <v>920</v>
      </c>
      <c r="AC121" s="217" t="s">
        <v>422</v>
      </c>
      <c r="AD121" s="217" t="s">
        <v>422</v>
      </c>
      <c r="AE121" s="217" t="s">
        <v>422</v>
      </c>
      <c r="AF121" s="217" t="s">
        <v>422</v>
      </c>
      <c r="AG121" s="217" t="s">
        <v>422</v>
      </c>
      <c r="AH121" s="217" t="s">
        <v>449</v>
      </c>
      <c r="AI121" s="217" t="s">
        <v>423</v>
      </c>
      <c r="AJ121" s="217" t="s">
        <v>423</v>
      </c>
      <c r="AK121" s="218" t="s">
        <v>139</v>
      </c>
      <c r="AL121" s="209"/>
      <c r="AM121" s="209"/>
    </row>
    <row r="122" spans="1:39" ht="15" customHeight="1" x14ac:dyDescent="0.3">
      <c r="A122" s="185">
        <v>119</v>
      </c>
      <c r="B122" s="247" t="s">
        <v>1026</v>
      </c>
      <c r="C122" s="247" t="s">
        <v>1615</v>
      </c>
      <c r="D122" s="200" t="s">
        <v>1881</v>
      </c>
      <c r="E122" s="247"/>
      <c r="F122" s="247" t="s">
        <v>1598</v>
      </c>
      <c r="G122" s="259" t="s">
        <v>1604</v>
      </c>
      <c r="H122" s="247" t="s">
        <v>1956</v>
      </c>
      <c r="I122" s="247">
        <v>1.5</v>
      </c>
      <c r="J122" s="247">
        <v>6.3</v>
      </c>
      <c r="K122" s="247">
        <v>0</v>
      </c>
      <c r="L122" s="212">
        <v>1</v>
      </c>
      <c r="M122" s="212">
        <f t="shared" si="11"/>
        <v>8.8000000000000007</v>
      </c>
      <c r="N122" s="212">
        <f t="shared" si="12"/>
        <v>12</v>
      </c>
      <c r="O122" s="212">
        <f t="shared" si="13"/>
        <v>25.2</v>
      </c>
      <c r="P122" s="212">
        <f t="shared" si="14"/>
        <v>0</v>
      </c>
      <c r="Q122" s="212">
        <f t="shared" si="15"/>
        <v>8</v>
      </c>
      <c r="R122" s="212">
        <f t="shared" si="16"/>
        <v>45.2</v>
      </c>
      <c r="S122" s="260" t="s">
        <v>1031</v>
      </c>
      <c r="T122" s="261" t="s">
        <v>1034</v>
      </c>
      <c r="U122" s="311">
        <v>179</v>
      </c>
      <c r="V122" s="311">
        <v>179</v>
      </c>
      <c r="W122" s="245">
        <v>44022</v>
      </c>
      <c r="X122" s="262">
        <v>44042</v>
      </c>
      <c r="Y122" s="186">
        <v>44082</v>
      </c>
      <c r="Z122" s="311">
        <f t="shared" si="9"/>
        <v>2020</v>
      </c>
      <c r="AA122" s="311">
        <f t="shared" si="10"/>
        <v>9</v>
      </c>
      <c r="AB122" s="243" t="s">
        <v>920</v>
      </c>
      <c r="AC122" s="243" t="s">
        <v>422</v>
      </c>
      <c r="AD122" s="243" t="s">
        <v>422</v>
      </c>
      <c r="AE122" s="243" t="s">
        <v>422</v>
      </c>
      <c r="AF122" s="243" t="s">
        <v>422</v>
      </c>
      <c r="AG122" s="243" t="s">
        <v>422</v>
      </c>
      <c r="AH122" s="243" t="s">
        <v>423</v>
      </c>
      <c r="AI122" s="243" t="s">
        <v>423</v>
      </c>
      <c r="AJ122" s="243" t="s">
        <v>423</v>
      </c>
      <c r="AK122" s="244" t="s">
        <v>138</v>
      </c>
      <c r="AL122" s="218"/>
      <c r="AM122" s="218"/>
    </row>
    <row r="123" spans="1:39" ht="15" customHeight="1" x14ac:dyDescent="0.3">
      <c r="A123" s="185">
        <v>120</v>
      </c>
      <c r="B123" s="247" t="s">
        <v>1027</v>
      </c>
      <c r="C123" s="247" t="s">
        <v>1615</v>
      </c>
      <c r="D123" s="200" t="s">
        <v>1881</v>
      </c>
      <c r="E123" s="247"/>
      <c r="F123" s="247"/>
      <c r="G123" s="247" t="s">
        <v>1008</v>
      </c>
      <c r="H123" s="247"/>
      <c r="I123" s="357">
        <v>2</v>
      </c>
      <c r="J123" s="247">
        <v>7</v>
      </c>
      <c r="K123" s="247">
        <v>0</v>
      </c>
      <c r="L123" s="212">
        <v>1</v>
      </c>
      <c r="M123" s="212">
        <f t="shared" si="11"/>
        <v>10</v>
      </c>
      <c r="N123" s="212">
        <f t="shared" si="12"/>
        <v>16</v>
      </c>
      <c r="O123" s="212">
        <f t="shared" si="13"/>
        <v>28</v>
      </c>
      <c r="P123" s="212">
        <f t="shared" si="14"/>
        <v>0</v>
      </c>
      <c r="Q123" s="212">
        <f t="shared" si="15"/>
        <v>8</v>
      </c>
      <c r="R123" s="212">
        <f t="shared" si="16"/>
        <v>52</v>
      </c>
      <c r="S123" s="260" t="s">
        <v>1030</v>
      </c>
      <c r="T123" s="261" t="s">
        <v>1033</v>
      </c>
      <c r="U123" s="311">
        <v>126</v>
      </c>
      <c r="V123" s="311">
        <v>132</v>
      </c>
      <c r="W123" s="245">
        <v>44022</v>
      </c>
      <c r="X123" s="262">
        <v>44042</v>
      </c>
      <c r="Y123" s="186">
        <v>44082</v>
      </c>
      <c r="Z123" s="311">
        <f t="shared" si="9"/>
        <v>2020</v>
      </c>
      <c r="AA123" s="311">
        <f t="shared" si="10"/>
        <v>9</v>
      </c>
      <c r="AB123" s="243" t="s">
        <v>920</v>
      </c>
      <c r="AC123" s="243" t="s">
        <v>422</v>
      </c>
      <c r="AD123" s="243" t="s">
        <v>422</v>
      </c>
      <c r="AE123" s="243" t="s">
        <v>422</v>
      </c>
      <c r="AF123" s="243" t="s">
        <v>422</v>
      </c>
      <c r="AG123" s="243" t="s">
        <v>422</v>
      </c>
      <c r="AH123" s="243" t="s">
        <v>423</v>
      </c>
      <c r="AI123" s="243" t="s">
        <v>423</v>
      </c>
      <c r="AJ123" s="243" t="s">
        <v>423</v>
      </c>
      <c r="AK123" s="244" t="s">
        <v>888</v>
      </c>
      <c r="AL123" s="218"/>
      <c r="AM123" s="218"/>
    </row>
    <row r="124" spans="1:39" ht="15" customHeight="1" x14ac:dyDescent="0.3">
      <c r="A124" s="185">
        <v>121</v>
      </c>
      <c r="B124" s="212" t="s">
        <v>1028</v>
      </c>
      <c r="C124" s="247" t="s">
        <v>1615</v>
      </c>
      <c r="D124" s="201" t="s">
        <v>1881</v>
      </c>
      <c r="E124" s="212"/>
      <c r="F124" s="212" t="s">
        <v>1598</v>
      </c>
      <c r="G124" s="259" t="s">
        <v>1604</v>
      </c>
      <c r="H124" s="247" t="s">
        <v>1428</v>
      </c>
      <c r="I124" s="212">
        <v>1.8</v>
      </c>
      <c r="J124" s="212">
        <v>10</v>
      </c>
      <c r="K124" s="247">
        <v>0</v>
      </c>
      <c r="L124" s="212">
        <v>1.5</v>
      </c>
      <c r="M124" s="212">
        <f t="shared" si="11"/>
        <v>13.3</v>
      </c>
      <c r="N124" s="212">
        <f t="shared" si="12"/>
        <v>14.4</v>
      </c>
      <c r="O124" s="212">
        <f t="shared" si="13"/>
        <v>40</v>
      </c>
      <c r="P124" s="212">
        <f t="shared" si="14"/>
        <v>0</v>
      </c>
      <c r="Q124" s="212">
        <f t="shared" si="15"/>
        <v>12</v>
      </c>
      <c r="R124" s="212">
        <f t="shared" si="16"/>
        <v>66.400000000000006</v>
      </c>
      <c r="S124" s="229" t="s">
        <v>1029</v>
      </c>
      <c r="T124" s="214" t="s">
        <v>1032</v>
      </c>
      <c r="U124" s="213">
        <f>213-57</f>
        <v>156</v>
      </c>
      <c r="V124" s="213">
        <v>159</v>
      </c>
      <c r="W124" s="215">
        <v>44026</v>
      </c>
      <c r="X124" s="216">
        <v>44042</v>
      </c>
      <c r="Y124" s="205">
        <v>44082</v>
      </c>
      <c r="Z124" s="311">
        <f t="shared" si="9"/>
        <v>2020</v>
      </c>
      <c r="AA124" s="311">
        <f t="shared" si="10"/>
        <v>9</v>
      </c>
      <c r="AB124" s="217" t="s">
        <v>920</v>
      </c>
      <c r="AC124" s="217" t="s">
        <v>422</v>
      </c>
      <c r="AD124" s="217" t="s">
        <v>422</v>
      </c>
      <c r="AE124" s="243" t="s">
        <v>422</v>
      </c>
      <c r="AF124" s="243" t="s">
        <v>422</v>
      </c>
      <c r="AG124" s="243" t="s">
        <v>422</v>
      </c>
      <c r="AH124" s="217" t="s">
        <v>423</v>
      </c>
      <c r="AI124" s="217" t="s">
        <v>423</v>
      </c>
      <c r="AJ124" s="217" t="s">
        <v>423</v>
      </c>
      <c r="AK124" s="218" t="s">
        <v>138</v>
      </c>
      <c r="AL124" s="218"/>
      <c r="AM124" s="218"/>
    </row>
    <row r="125" spans="1:39" ht="15" customHeight="1" x14ac:dyDescent="0.3">
      <c r="A125" s="185">
        <v>127</v>
      </c>
      <c r="B125" s="247" t="s">
        <v>1055</v>
      </c>
      <c r="C125" s="247" t="s">
        <v>1615</v>
      </c>
      <c r="D125" s="199" t="s">
        <v>1881</v>
      </c>
      <c r="E125" s="247"/>
      <c r="F125" s="247"/>
      <c r="G125" s="259" t="s">
        <v>1604</v>
      </c>
      <c r="H125" s="248" t="s">
        <v>1040</v>
      </c>
      <c r="I125" s="357">
        <v>2</v>
      </c>
      <c r="J125" s="248">
        <v>5</v>
      </c>
      <c r="K125" s="247">
        <v>0</v>
      </c>
      <c r="L125" s="212">
        <v>1</v>
      </c>
      <c r="M125" s="212">
        <f t="shared" si="11"/>
        <v>8</v>
      </c>
      <c r="N125" s="212">
        <f t="shared" si="12"/>
        <v>16</v>
      </c>
      <c r="O125" s="212">
        <f t="shared" si="13"/>
        <v>20</v>
      </c>
      <c r="P125" s="212">
        <f t="shared" si="14"/>
        <v>0</v>
      </c>
      <c r="Q125" s="212">
        <f t="shared" si="15"/>
        <v>8</v>
      </c>
      <c r="R125" s="212">
        <f t="shared" si="16"/>
        <v>44</v>
      </c>
      <c r="S125" s="260" t="s">
        <v>1064</v>
      </c>
      <c r="T125" s="261" t="s">
        <v>1078</v>
      </c>
      <c r="U125" s="272">
        <v>45</v>
      </c>
      <c r="V125" s="272">
        <v>48</v>
      </c>
      <c r="W125" s="245">
        <v>44039</v>
      </c>
      <c r="X125" s="262">
        <v>44075</v>
      </c>
      <c r="Y125" s="186">
        <v>44082</v>
      </c>
      <c r="Z125" s="311">
        <f t="shared" si="9"/>
        <v>2020</v>
      </c>
      <c r="AA125" s="311">
        <f t="shared" si="10"/>
        <v>9</v>
      </c>
      <c r="AB125" s="243" t="s">
        <v>920</v>
      </c>
      <c r="AC125" s="243" t="s">
        <v>422</v>
      </c>
      <c r="AD125" s="243" t="s">
        <v>422</v>
      </c>
      <c r="AE125" s="243" t="s">
        <v>422</v>
      </c>
      <c r="AF125" s="243" t="s">
        <v>422</v>
      </c>
      <c r="AG125" s="243" t="s">
        <v>422</v>
      </c>
      <c r="AH125" s="243" t="s">
        <v>423</v>
      </c>
      <c r="AI125" s="243" t="s">
        <v>423</v>
      </c>
      <c r="AJ125" s="243" t="s">
        <v>423</v>
      </c>
      <c r="AK125" s="244" t="s">
        <v>254</v>
      </c>
      <c r="AL125" s="241"/>
      <c r="AM125" s="241"/>
    </row>
    <row r="126" spans="1:39" ht="15" customHeight="1" x14ac:dyDescent="0.3">
      <c r="A126" s="185">
        <v>128</v>
      </c>
      <c r="B126" s="247" t="s">
        <v>1054</v>
      </c>
      <c r="C126" s="247" t="s">
        <v>1615</v>
      </c>
      <c r="D126" s="199" t="s">
        <v>1881</v>
      </c>
      <c r="E126" s="247"/>
      <c r="F126" s="247"/>
      <c r="G126" s="259" t="s">
        <v>1604</v>
      </c>
      <c r="H126" s="248" t="s">
        <v>1010</v>
      </c>
      <c r="I126" s="357">
        <v>2</v>
      </c>
      <c r="J126" s="248">
        <v>13.5</v>
      </c>
      <c r="K126" s="247">
        <v>0</v>
      </c>
      <c r="L126" s="212">
        <v>1.5</v>
      </c>
      <c r="M126" s="212">
        <f t="shared" si="11"/>
        <v>17</v>
      </c>
      <c r="N126" s="212">
        <f t="shared" si="12"/>
        <v>16</v>
      </c>
      <c r="O126" s="212">
        <f t="shared" si="13"/>
        <v>54</v>
      </c>
      <c r="P126" s="212">
        <f t="shared" si="14"/>
        <v>0</v>
      </c>
      <c r="Q126" s="212">
        <f t="shared" si="15"/>
        <v>12</v>
      </c>
      <c r="R126" s="212">
        <f t="shared" si="16"/>
        <v>82</v>
      </c>
      <c r="S126" s="260" t="s">
        <v>1065</v>
      </c>
      <c r="T126" s="261" t="s">
        <v>1077</v>
      </c>
      <c r="U126" s="272">
        <v>158</v>
      </c>
      <c r="V126" s="272">
        <v>160</v>
      </c>
      <c r="W126" s="245">
        <v>44039</v>
      </c>
      <c r="X126" s="262">
        <v>44075</v>
      </c>
      <c r="Y126" s="186">
        <v>44097</v>
      </c>
      <c r="Z126" s="311">
        <f t="shared" si="9"/>
        <v>2020</v>
      </c>
      <c r="AA126" s="311">
        <f t="shared" si="10"/>
        <v>9</v>
      </c>
      <c r="AB126" s="243" t="s">
        <v>920</v>
      </c>
      <c r="AC126" s="243" t="s">
        <v>422</v>
      </c>
      <c r="AD126" s="243" t="s">
        <v>422</v>
      </c>
      <c r="AE126" s="243" t="s">
        <v>422</v>
      </c>
      <c r="AF126" s="243" t="s">
        <v>422</v>
      </c>
      <c r="AG126" s="243" t="s">
        <v>422</v>
      </c>
      <c r="AH126" s="243" t="s">
        <v>423</v>
      </c>
      <c r="AI126" s="243" t="s">
        <v>423</v>
      </c>
      <c r="AJ126" s="243" t="s">
        <v>423</v>
      </c>
      <c r="AK126" s="244" t="s">
        <v>140</v>
      </c>
      <c r="AL126" s="241"/>
      <c r="AM126" s="241"/>
    </row>
    <row r="127" spans="1:39" ht="15" customHeight="1" x14ac:dyDescent="0.3">
      <c r="A127" s="185">
        <v>130</v>
      </c>
      <c r="B127" s="247" t="s">
        <v>1052</v>
      </c>
      <c r="C127" s="247" t="s">
        <v>1615</v>
      </c>
      <c r="D127" s="199" t="s">
        <v>1881</v>
      </c>
      <c r="E127" s="247"/>
      <c r="F127" s="247"/>
      <c r="G127" s="259" t="s">
        <v>1604</v>
      </c>
      <c r="H127" s="248" t="s">
        <v>1956</v>
      </c>
      <c r="I127" s="357">
        <v>2</v>
      </c>
      <c r="J127" s="248">
        <v>7</v>
      </c>
      <c r="K127" s="247">
        <v>0</v>
      </c>
      <c r="L127" s="212">
        <v>1</v>
      </c>
      <c r="M127" s="212">
        <f t="shared" si="11"/>
        <v>10</v>
      </c>
      <c r="N127" s="212">
        <f t="shared" si="12"/>
        <v>16</v>
      </c>
      <c r="O127" s="212">
        <f t="shared" si="13"/>
        <v>28</v>
      </c>
      <c r="P127" s="212">
        <f t="shared" si="14"/>
        <v>0</v>
      </c>
      <c r="Q127" s="212">
        <f t="shared" si="15"/>
        <v>8</v>
      </c>
      <c r="R127" s="212">
        <f t="shared" si="16"/>
        <v>52</v>
      </c>
      <c r="S127" s="260" t="s">
        <v>1067</v>
      </c>
      <c r="T127" s="261" t="s">
        <v>1080</v>
      </c>
      <c r="U127" s="272">
        <v>137</v>
      </c>
      <c r="V127" s="272">
        <f>113+24</f>
        <v>137</v>
      </c>
      <c r="W127" s="245">
        <v>44039</v>
      </c>
      <c r="X127" s="262">
        <v>44075</v>
      </c>
      <c r="Y127" s="262">
        <v>44097</v>
      </c>
      <c r="Z127" s="311">
        <f t="shared" si="9"/>
        <v>2020</v>
      </c>
      <c r="AA127" s="311">
        <f t="shared" si="10"/>
        <v>9</v>
      </c>
      <c r="AB127" s="243" t="s">
        <v>920</v>
      </c>
      <c r="AC127" s="243" t="s">
        <v>422</v>
      </c>
      <c r="AD127" s="243" t="s">
        <v>422</v>
      </c>
      <c r="AE127" s="243" t="s">
        <v>422</v>
      </c>
      <c r="AF127" s="243" t="s">
        <v>422</v>
      </c>
      <c r="AG127" s="243" t="s">
        <v>422</v>
      </c>
      <c r="AH127" s="243" t="s">
        <v>423</v>
      </c>
      <c r="AI127" s="243" t="s">
        <v>423</v>
      </c>
      <c r="AJ127" s="243" t="s">
        <v>423</v>
      </c>
      <c r="AK127" s="244" t="s">
        <v>1240</v>
      </c>
      <c r="AL127" s="241"/>
      <c r="AM127" s="241"/>
    </row>
    <row r="128" spans="1:39" ht="15" customHeight="1" x14ac:dyDescent="0.3">
      <c r="A128" s="185">
        <v>140</v>
      </c>
      <c r="B128" s="247" t="s">
        <v>1090</v>
      </c>
      <c r="C128" s="247" t="s">
        <v>1615</v>
      </c>
      <c r="D128" s="199" t="s">
        <v>1881</v>
      </c>
      <c r="E128" s="247"/>
      <c r="F128" s="247"/>
      <c r="G128" s="259" t="s">
        <v>1604</v>
      </c>
      <c r="H128" s="247" t="s">
        <v>1942</v>
      </c>
      <c r="I128" s="357">
        <v>2</v>
      </c>
      <c r="J128" s="247">
        <v>11.5</v>
      </c>
      <c r="K128" s="247">
        <v>0</v>
      </c>
      <c r="L128" s="212">
        <v>1.5</v>
      </c>
      <c r="M128" s="212">
        <f t="shared" si="11"/>
        <v>15</v>
      </c>
      <c r="N128" s="212">
        <f t="shared" si="12"/>
        <v>16</v>
      </c>
      <c r="O128" s="212">
        <f t="shared" si="13"/>
        <v>46</v>
      </c>
      <c r="P128" s="212">
        <f t="shared" si="14"/>
        <v>0</v>
      </c>
      <c r="Q128" s="212">
        <f t="shared" si="15"/>
        <v>12</v>
      </c>
      <c r="R128" s="212">
        <f t="shared" si="16"/>
        <v>74</v>
      </c>
      <c r="S128" s="260" t="s">
        <v>1127</v>
      </c>
      <c r="T128" s="261" t="s">
        <v>1018</v>
      </c>
      <c r="U128" s="272">
        <v>122</v>
      </c>
      <c r="V128" s="272">
        <v>125</v>
      </c>
      <c r="W128" s="245">
        <v>44050</v>
      </c>
      <c r="X128" s="262">
        <v>44119</v>
      </c>
      <c r="Y128" s="262">
        <v>44097</v>
      </c>
      <c r="Z128" s="311">
        <f t="shared" si="9"/>
        <v>2020</v>
      </c>
      <c r="AA128" s="311">
        <f t="shared" si="10"/>
        <v>9</v>
      </c>
      <c r="AB128" s="243" t="s">
        <v>920</v>
      </c>
      <c r="AC128" s="243" t="s">
        <v>422</v>
      </c>
      <c r="AD128" s="243" t="s">
        <v>422</v>
      </c>
      <c r="AE128" s="243" t="s">
        <v>422</v>
      </c>
      <c r="AF128" s="243" t="s">
        <v>422</v>
      </c>
      <c r="AG128" s="243" t="s">
        <v>422</v>
      </c>
      <c r="AH128" s="243" t="s">
        <v>423</v>
      </c>
      <c r="AI128" s="243" t="s">
        <v>422</v>
      </c>
      <c r="AJ128" s="243" t="s">
        <v>423</v>
      </c>
      <c r="AK128" s="244" t="s">
        <v>546</v>
      </c>
      <c r="AL128" s="241"/>
      <c r="AM128" s="241"/>
    </row>
    <row r="129" spans="1:39" ht="15" customHeight="1" x14ac:dyDescent="0.3">
      <c r="A129" s="185">
        <v>141</v>
      </c>
      <c r="B129" s="247" t="s">
        <v>1091</v>
      </c>
      <c r="C129" s="247" t="s">
        <v>1615</v>
      </c>
      <c r="D129" s="199" t="s">
        <v>1881</v>
      </c>
      <c r="E129" s="247"/>
      <c r="F129" s="247"/>
      <c r="G129" s="259" t="s">
        <v>1604</v>
      </c>
      <c r="H129" s="247" t="s">
        <v>1942</v>
      </c>
      <c r="I129" s="357">
        <v>2</v>
      </c>
      <c r="J129" s="247">
        <v>10.3</v>
      </c>
      <c r="K129" s="247">
        <v>0</v>
      </c>
      <c r="L129" s="212">
        <v>1</v>
      </c>
      <c r="M129" s="212">
        <f t="shared" si="11"/>
        <v>13.3</v>
      </c>
      <c r="N129" s="212">
        <f t="shared" si="12"/>
        <v>16</v>
      </c>
      <c r="O129" s="212">
        <f t="shared" si="13"/>
        <v>41.2</v>
      </c>
      <c r="P129" s="212">
        <f t="shared" si="14"/>
        <v>0</v>
      </c>
      <c r="Q129" s="212">
        <f t="shared" si="15"/>
        <v>8</v>
      </c>
      <c r="R129" s="212">
        <f t="shared" si="16"/>
        <v>65.2</v>
      </c>
      <c r="S129" s="260" t="s">
        <v>1126</v>
      </c>
      <c r="T129" s="261" t="s">
        <v>1017</v>
      </c>
      <c r="U129" s="272">
        <v>72</v>
      </c>
      <c r="V129" s="272">
        <v>74</v>
      </c>
      <c r="W129" s="245">
        <v>44050</v>
      </c>
      <c r="X129" s="262">
        <v>44119</v>
      </c>
      <c r="Y129" s="262">
        <v>44097</v>
      </c>
      <c r="Z129" s="311">
        <f t="shared" si="9"/>
        <v>2020</v>
      </c>
      <c r="AA129" s="311">
        <f t="shared" si="10"/>
        <v>9</v>
      </c>
      <c r="AB129" s="243" t="s">
        <v>920</v>
      </c>
      <c r="AC129" s="243" t="s">
        <v>422</v>
      </c>
      <c r="AD129" s="243" t="s">
        <v>422</v>
      </c>
      <c r="AE129" s="243" t="s">
        <v>422</v>
      </c>
      <c r="AF129" s="243" t="s">
        <v>422</v>
      </c>
      <c r="AG129" s="243" t="s">
        <v>422</v>
      </c>
      <c r="AH129" s="243" t="s">
        <v>423</v>
      </c>
      <c r="AI129" s="243" t="s">
        <v>422</v>
      </c>
      <c r="AJ129" s="243" t="s">
        <v>423</v>
      </c>
      <c r="AK129" s="244" t="s">
        <v>546</v>
      </c>
      <c r="AL129" s="241"/>
      <c r="AM129" s="241"/>
    </row>
    <row r="130" spans="1:39" ht="15" customHeight="1" x14ac:dyDescent="0.3">
      <c r="A130" s="185">
        <v>186</v>
      </c>
      <c r="B130" s="247" t="s">
        <v>1186</v>
      </c>
      <c r="C130" s="247" t="s">
        <v>1615</v>
      </c>
      <c r="D130" s="200" t="s">
        <v>1881</v>
      </c>
      <c r="E130" s="247"/>
      <c r="F130" s="247"/>
      <c r="G130" s="259" t="s">
        <v>1604</v>
      </c>
      <c r="H130" s="247" t="s">
        <v>1942</v>
      </c>
      <c r="I130" s="357">
        <v>2</v>
      </c>
      <c r="J130" s="247">
        <v>103</v>
      </c>
      <c r="K130" s="247">
        <v>0</v>
      </c>
      <c r="L130" s="212">
        <v>1</v>
      </c>
      <c r="M130" s="212">
        <f t="shared" si="11"/>
        <v>106</v>
      </c>
      <c r="N130" s="212">
        <f t="shared" si="12"/>
        <v>16</v>
      </c>
      <c r="O130" s="212">
        <f t="shared" si="13"/>
        <v>412</v>
      </c>
      <c r="P130" s="212">
        <f t="shared" si="14"/>
        <v>0</v>
      </c>
      <c r="Q130" s="212">
        <f t="shared" si="15"/>
        <v>8</v>
      </c>
      <c r="R130" s="212">
        <f t="shared" si="16"/>
        <v>436</v>
      </c>
      <c r="S130" s="260" t="s">
        <v>1193</v>
      </c>
      <c r="T130" s="261" t="s">
        <v>1017</v>
      </c>
      <c r="U130" s="272">
        <v>17</v>
      </c>
      <c r="V130" s="272">
        <v>18</v>
      </c>
      <c r="W130" s="245">
        <v>44085</v>
      </c>
      <c r="X130" s="245">
        <v>44092</v>
      </c>
      <c r="Y130" s="262">
        <v>44094</v>
      </c>
      <c r="Z130" s="311">
        <f t="shared" si="9"/>
        <v>2020</v>
      </c>
      <c r="AA130" s="311">
        <f t="shared" si="10"/>
        <v>9</v>
      </c>
      <c r="AB130" s="243" t="s">
        <v>920</v>
      </c>
      <c r="AC130" s="243" t="s">
        <v>422</v>
      </c>
      <c r="AD130" s="243" t="s">
        <v>423</v>
      </c>
      <c r="AE130" s="243" t="s">
        <v>422</v>
      </c>
      <c r="AF130" s="243" t="s">
        <v>422</v>
      </c>
      <c r="AG130" s="243" t="s">
        <v>423</v>
      </c>
      <c r="AH130" s="243" t="s">
        <v>422</v>
      </c>
      <c r="AI130" s="243" t="s">
        <v>423</v>
      </c>
      <c r="AJ130" s="243" t="s">
        <v>423</v>
      </c>
      <c r="AK130" s="244" t="s">
        <v>546</v>
      </c>
      <c r="AL130" s="241"/>
      <c r="AM130" s="242" t="s">
        <v>1263</v>
      </c>
    </row>
    <row r="131" spans="1:39" ht="15" customHeight="1" x14ac:dyDescent="0.3">
      <c r="A131" s="185">
        <v>42</v>
      </c>
      <c r="B131" s="247" t="s">
        <v>998</v>
      </c>
      <c r="C131" s="247" t="s">
        <v>1615</v>
      </c>
      <c r="D131" s="200" t="s">
        <v>1881</v>
      </c>
      <c r="E131" s="247"/>
      <c r="F131" s="247"/>
      <c r="G131" s="247" t="s">
        <v>1940</v>
      </c>
      <c r="H131" s="247" t="s">
        <v>1957</v>
      </c>
      <c r="I131" s="357">
        <v>2</v>
      </c>
      <c r="J131" s="247">
        <v>5.5</v>
      </c>
      <c r="K131" s="247">
        <v>8</v>
      </c>
      <c r="L131" s="212">
        <v>1</v>
      </c>
      <c r="M131" s="212">
        <f t="shared" si="11"/>
        <v>16.5</v>
      </c>
      <c r="N131" s="212">
        <f t="shared" si="12"/>
        <v>16</v>
      </c>
      <c r="O131" s="212">
        <f t="shared" si="13"/>
        <v>22</v>
      </c>
      <c r="P131" s="212">
        <f t="shared" si="14"/>
        <v>53.333333333333336</v>
      </c>
      <c r="Q131" s="212">
        <f t="shared" si="15"/>
        <v>8</v>
      </c>
      <c r="R131" s="212">
        <f t="shared" si="16"/>
        <v>99.333333333333343</v>
      </c>
      <c r="S131" s="196" t="s">
        <v>1002</v>
      </c>
      <c r="T131" s="195" t="s">
        <v>1006</v>
      </c>
      <c r="U131" s="196">
        <v>28</v>
      </c>
      <c r="V131" s="196">
        <v>29</v>
      </c>
      <c r="W131" s="189">
        <v>43781</v>
      </c>
      <c r="X131" s="186">
        <v>43905</v>
      </c>
      <c r="Y131" s="186">
        <v>44134</v>
      </c>
      <c r="Z131" s="311">
        <f t="shared" si="9"/>
        <v>2020</v>
      </c>
      <c r="AA131" s="311">
        <f t="shared" si="10"/>
        <v>10</v>
      </c>
      <c r="AB131" s="211" t="s">
        <v>920</v>
      </c>
      <c r="AC131" s="194" t="s">
        <v>422</v>
      </c>
      <c r="AD131" s="194" t="s">
        <v>422</v>
      </c>
      <c r="AE131" s="194" t="s">
        <v>422</v>
      </c>
      <c r="AF131" s="194" t="s">
        <v>422</v>
      </c>
      <c r="AG131" s="194" t="s">
        <v>423</v>
      </c>
      <c r="AH131" s="194" t="s">
        <v>422</v>
      </c>
      <c r="AI131" s="194" t="s">
        <v>423</v>
      </c>
      <c r="AJ131" s="194" t="s">
        <v>423</v>
      </c>
      <c r="AK131" s="232" t="s">
        <v>1249</v>
      </c>
      <c r="AL131" s="209"/>
      <c r="AM131" s="209"/>
    </row>
    <row r="132" spans="1:39" ht="15" customHeight="1" x14ac:dyDescent="0.3">
      <c r="A132" s="185">
        <v>88</v>
      </c>
      <c r="B132" s="247" t="s">
        <v>908</v>
      </c>
      <c r="C132" s="247" t="s">
        <v>1615</v>
      </c>
      <c r="D132" s="200" t="s">
        <v>1881</v>
      </c>
      <c r="E132" s="247"/>
      <c r="F132" s="247"/>
      <c r="G132" s="259" t="s">
        <v>1604</v>
      </c>
      <c r="H132" s="247" t="s">
        <v>1428</v>
      </c>
      <c r="I132" s="357">
        <v>2</v>
      </c>
      <c r="J132" s="247">
        <v>6</v>
      </c>
      <c r="K132" s="247">
        <v>0</v>
      </c>
      <c r="L132" s="212">
        <v>1</v>
      </c>
      <c r="M132" s="212">
        <f t="shared" si="11"/>
        <v>9</v>
      </c>
      <c r="N132" s="212">
        <f t="shared" si="12"/>
        <v>16</v>
      </c>
      <c r="O132" s="212">
        <f t="shared" si="13"/>
        <v>24</v>
      </c>
      <c r="P132" s="212">
        <f t="shared" si="14"/>
        <v>0</v>
      </c>
      <c r="Q132" s="212">
        <f t="shared" si="15"/>
        <v>8</v>
      </c>
      <c r="R132" s="212">
        <f t="shared" si="16"/>
        <v>48</v>
      </c>
      <c r="S132" s="311" t="s">
        <v>942</v>
      </c>
      <c r="T132" s="261" t="s">
        <v>946</v>
      </c>
      <c r="U132" s="311">
        <v>50</v>
      </c>
      <c r="V132" s="311">
        <v>52</v>
      </c>
      <c r="W132" s="245">
        <v>43875</v>
      </c>
      <c r="X132" s="262">
        <v>43936</v>
      </c>
      <c r="Y132" s="186">
        <v>44134</v>
      </c>
      <c r="Z132" s="311">
        <f t="shared" ref="Z132:Z195" si="18">IF(YEAR(Y132)&gt;2000,YEAR(Y132),YEAR(X132))</f>
        <v>2020</v>
      </c>
      <c r="AA132" s="311">
        <f t="shared" ref="AA132:AA195" si="19">MONTH(Y132)</f>
        <v>10</v>
      </c>
      <c r="AB132" s="217" t="s">
        <v>920</v>
      </c>
      <c r="AC132" s="194" t="s">
        <v>422</v>
      </c>
      <c r="AD132" s="194" t="s">
        <v>422</v>
      </c>
      <c r="AE132" s="194" t="s">
        <v>422</v>
      </c>
      <c r="AF132" s="194" t="s">
        <v>422</v>
      </c>
      <c r="AG132" s="194" t="s">
        <v>422</v>
      </c>
      <c r="AH132" s="194" t="s">
        <v>422</v>
      </c>
      <c r="AI132" s="194" t="s">
        <v>423</v>
      </c>
      <c r="AJ132" s="194" t="s">
        <v>423</v>
      </c>
      <c r="AK132" s="227" t="s">
        <v>138</v>
      </c>
      <c r="AL132" s="223"/>
      <c r="AM132" s="223"/>
    </row>
    <row r="133" spans="1:39" ht="15" customHeight="1" x14ac:dyDescent="0.3">
      <c r="A133" s="185">
        <v>89</v>
      </c>
      <c r="B133" s="247" t="s">
        <v>909</v>
      </c>
      <c r="C133" s="247" t="s">
        <v>1615</v>
      </c>
      <c r="D133" s="200" t="s">
        <v>1881</v>
      </c>
      <c r="E133" s="247"/>
      <c r="F133" s="247"/>
      <c r="G133" s="259" t="s">
        <v>1604</v>
      </c>
      <c r="H133" s="247" t="s">
        <v>1428</v>
      </c>
      <c r="I133" s="357">
        <v>2</v>
      </c>
      <c r="J133" s="247">
        <v>6.4</v>
      </c>
      <c r="K133" s="247">
        <v>0</v>
      </c>
      <c r="L133" s="212">
        <v>1</v>
      </c>
      <c r="M133" s="212">
        <f t="shared" si="11"/>
        <v>9.4</v>
      </c>
      <c r="N133" s="212">
        <f t="shared" si="12"/>
        <v>16</v>
      </c>
      <c r="O133" s="212">
        <f t="shared" si="13"/>
        <v>25.6</v>
      </c>
      <c r="P133" s="212">
        <f t="shared" si="14"/>
        <v>0</v>
      </c>
      <c r="Q133" s="212">
        <f t="shared" si="15"/>
        <v>8</v>
      </c>
      <c r="R133" s="212">
        <f t="shared" si="16"/>
        <v>49.6</v>
      </c>
      <c r="S133" s="311" t="s">
        <v>943</v>
      </c>
      <c r="T133" s="261" t="s">
        <v>945</v>
      </c>
      <c r="U133" s="311">
        <v>72</v>
      </c>
      <c r="V133" s="311">
        <v>74</v>
      </c>
      <c r="W133" s="245">
        <v>43875</v>
      </c>
      <c r="X133" s="262">
        <v>43936</v>
      </c>
      <c r="Y133" s="186">
        <v>44134</v>
      </c>
      <c r="Z133" s="311">
        <f t="shared" si="18"/>
        <v>2020</v>
      </c>
      <c r="AA133" s="311">
        <f t="shared" si="19"/>
        <v>10</v>
      </c>
      <c r="AB133" s="217" t="s">
        <v>920</v>
      </c>
      <c r="AC133" s="194" t="s">
        <v>422</v>
      </c>
      <c r="AD133" s="194" t="s">
        <v>422</v>
      </c>
      <c r="AE133" s="194" t="s">
        <v>422</v>
      </c>
      <c r="AF133" s="194" t="s">
        <v>422</v>
      </c>
      <c r="AG133" s="194" t="s">
        <v>422</v>
      </c>
      <c r="AH133" s="194" t="s">
        <v>422</v>
      </c>
      <c r="AI133" s="194" t="s">
        <v>423</v>
      </c>
      <c r="AJ133" s="194" t="s">
        <v>423</v>
      </c>
      <c r="AK133" s="227" t="s">
        <v>138</v>
      </c>
      <c r="AL133" s="223"/>
      <c r="AM133" s="223"/>
    </row>
    <row r="134" spans="1:39" ht="15" customHeight="1" x14ac:dyDescent="0.3">
      <c r="A134" s="185">
        <v>90</v>
      </c>
      <c r="B134" s="247" t="s">
        <v>910</v>
      </c>
      <c r="C134" s="247" t="s">
        <v>1615</v>
      </c>
      <c r="D134" s="200" t="s">
        <v>1881</v>
      </c>
      <c r="E134" s="247"/>
      <c r="F134" s="247"/>
      <c r="G134" s="247" t="s">
        <v>1940</v>
      </c>
      <c r="H134" s="247"/>
      <c r="I134" s="357">
        <v>2</v>
      </c>
      <c r="J134" s="358">
        <v>8</v>
      </c>
      <c r="K134" s="247">
        <v>32</v>
      </c>
      <c r="L134" s="212">
        <v>1</v>
      </c>
      <c r="M134" s="212">
        <f t="shared" si="11"/>
        <v>43</v>
      </c>
      <c r="N134" s="212">
        <f t="shared" si="12"/>
        <v>16</v>
      </c>
      <c r="O134" s="212">
        <f t="shared" si="13"/>
        <v>32</v>
      </c>
      <c r="P134" s="212">
        <f t="shared" si="14"/>
        <v>213.33333333333334</v>
      </c>
      <c r="Q134" s="212">
        <f t="shared" si="15"/>
        <v>8</v>
      </c>
      <c r="R134" s="212">
        <f t="shared" si="16"/>
        <v>269.33333333333337</v>
      </c>
      <c r="S134" s="311" t="s">
        <v>944</v>
      </c>
      <c r="T134" s="261" t="s">
        <v>947</v>
      </c>
      <c r="U134" s="311">
        <v>24</v>
      </c>
      <c r="V134" s="311">
        <v>26</v>
      </c>
      <c r="W134" s="245">
        <v>43875</v>
      </c>
      <c r="X134" s="262">
        <v>43936</v>
      </c>
      <c r="Y134" s="186">
        <v>44134</v>
      </c>
      <c r="Z134" s="311">
        <f t="shared" si="18"/>
        <v>2020</v>
      </c>
      <c r="AA134" s="311">
        <f t="shared" si="19"/>
        <v>10</v>
      </c>
      <c r="AB134" s="217" t="s">
        <v>920</v>
      </c>
      <c r="AC134" s="194" t="s">
        <v>422</v>
      </c>
      <c r="AD134" s="194" t="s">
        <v>422</v>
      </c>
      <c r="AE134" s="194" t="s">
        <v>422</v>
      </c>
      <c r="AF134" s="194" t="s">
        <v>422</v>
      </c>
      <c r="AG134" s="194" t="s">
        <v>422</v>
      </c>
      <c r="AH134" s="194" t="s">
        <v>422</v>
      </c>
      <c r="AI134" s="194" t="s">
        <v>423</v>
      </c>
      <c r="AJ134" s="194" t="s">
        <v>423</v>
      </c>
      <c r="AK134" s="227" t="s">
        <v>1249</v>
      </c>
      <c r="AL134" s="223"/>
      <c r="AM134" s="223"/>
    </row>
    <row r="135" spans="1:39" ht="15" customHeight="1" x14ac:dyDescent="0.3">
      <c r="A135" s="185">
        <v>125</v>
      </c>
      <c r="B135" s="247" t="s">
        <v>1050</v>
      </c>
      <c r="C135" s="247" t="s">
        <v>1618</v>
      </c>
      <c r="D135" s="200" t="s">
        <v>1849</v>
      </c>
      <c r="E135" s="247"/>
      <c r="F135" s="247" t="s">
        <v>1597</v>
      </c>
      <c r="G135" s="259" t="s">
        <v>1604</v>
      </c>
      <c r="H135" s="248"/>
      <c r="I135" s="248">
        <v>2</v>
      </c>
      <c r="J135" s="248">
        <v>2</v>
      </c>
      <c r="K135" s="248">
        <v>0</v>
      </c>
      <c r="L135" s="212">
        <v>0.3</v>
      </c>
      <c r="M135" s="212">
        <f t="shared" ref="M135:M198" si="20">SUM((I135:L135))</f>
        <v>4.3</v>
      </c>
      <c r="N135" s="212">
        <f t="shared" ref="N135:N198" si="21">+I135/0.125</f>
        <v>16</v>
      </c>
      <c r="O135" s="212">
        <f t="shared" ref="O135:O198" si="22">+J135/0.25</f>
        <v>8</v>
      </c>
      <c r="P135" s="212">
        <f t="shared" ref="P135:P198" si="23">+K135/0.15</f>
        <v>0</v>
      </c>
      <c r="Q135" s="212">
        <f t="shared" ref="Q135:Q198" si="24">+L135/0.125</f>
        <v>2.4</v>
      </c>
      <c r="R135" s="212">
        <f t="shared" ref="R135:R198" si="25">SUM(N135:Q135)</f>
        <v>26.4</v>
      </c>
      <c r="S135" s="260" t="s">
        <v>1047</v>
      </c>
      <c r="T135" s="261" t="s">
        <v>1048</v>
      </c>
      <c r="U135" s="272">
        <v>247</v>
      </c>
      <c r="V135" s="272">
        <v>247</v>
      </c>
      <c r="W135" s="245">
        <v>43981</v>
      </c>
      <c r="X135" s="262">
        <v>44051</v>
      </c>
      <c r="Y135" s="186">
        <v>44111</v>
      </c>
      <c r="Z135" s="311">
        <f t="shared" si="18"/>
        <v>2020</v>
      </c>
      <c r="AA135" s="311">
        <f t="shared" si="19"/>
        <v>10</v>
      </c>
      <c r="AB135" s="243" t="s">
        <v>920</v>
      </c>
      <c r="AC135" s="243" t="s">
        <v>422</v>
      </c>
      <c r="AD135" s="243" t="s">
        <v>422</v>
      </c>
      <c r="AE135" s="243" t="s">
        <v>422</v>
      </c>
      <c r="AF135" s="243" t="s">
        <v>422</v>
      </c>
      <c r="AG135" s="243" t="s">
        <v>422</v>
      </c>
      <c r="AH135" s="243" t="s">
        <v>423</v>
      </c>
      <c r="AI135" s="243" t="s">
        <v>423</v>
      </c>
      <c r="AJ135" s="243" t="s">
        <v>423</v>
      </c>
      <c r="AK135" s="244" t="s">
        <v>108</v>
      </c>
      <c r="AL135" s="244"/>
      <c r="AM135" s="244"/>
    </row>
    <row r="136" spans="1:39" ht="15" customHeight="1" x14ac:dyDescent="0.3">
      <c r="A136" s="185">
        <v>129</v>
      </c>
      <c r="B136" s="247" t="s">
        <v>1053</v>
      </c>
      <c r="C136" s="247" t="s">
        <v>1615</v>
      </c>
      <c r="D136" s="200" t="s">
        <v>1881</v>
      </c>
      <c r="E136" s="247"/>
      <c r="F136" s="247" t="s">
        <v>1597</v>
      </c>
      <c r="G136" s="259" t="s">
        <v>1604</v>
      </c>
      <c r="H136" s="248" t="s">
        <v>1956</v>
      </c>
      <c r="I136" s="359">
        <v>2</v>
      </c>
      <c r="J136" s="248">
        <v>13</v>
      </c>
      <c r="K136" s="248">
        <v>0</v>
      </c>
      <c r="L136" s="212">
        <v>1</v>
      </c>
      <c r="M136" s="212">
        <f t="shared" si="20"/>
        <v>16</v>
      </c>
      <c r="N136" s="212">
        <f t="shared" si="21"/>
        <v>16</v>
      </c>
      <c r="O136" s="212">
        <f t="shared" si="22"/>
        <v>52</v>
      </c>
      <c r="P136" s="212">
        <f t="shared" si="23"/>
        <v>0</v>
      </c>
      <c r="Q136" s="212">
        <f t="shared" si="24"/>
        <v>8</v>
      </c>
      <c r="R136" s="212">
        <f t="shared" si="25"/>
        <v>76</v>
      </c>
      <c r="S136" s="260" t="s">
        <v>1066</v>
      </c>
      <c r="T136" s="261" t="s">
        <v>1079</v>
      </c>
      <c r="U136" s="272">
        <v>137</v>
      </c>
      <c r="V136" s="272">
        <v>139</v>
      </c>
      <c r="W136" s="245">
        <v>44039</v>
      </c>
      <c r="X136" s="262">
        <v>44075</v>
      </c>
      <c r="Y136" s="262">
        <v>44134</v>
      </c>
      <c r="Z136" s="311">
        <f t="shared" si="18"/>
        <v>2020</v>
      </c>
      <c r="AA136" s="311">
        <f t="shared" si="19"/>
        <v>10</v>
      </c>
      <c r="AB136" s="243" t="s">
        <v>920</v>
      </c>
      <c r="AC136" s="243" t="s">
        <v>422</v>
      </c>
      <c r="AD136" s="243" t="s">
        <v>422</v>
      </c>
      <c r="AE136" s="243" t="s">
        <v>422</v>
      </c>
      <c r="AF136" s="243" t="s">
        <v>422</v>
      </c>
      <c r="AG136" s="243" t="s">
        <v>422</v>
      </c>
      <c r="AH136" s="243" t="s">
        <v>423</v>
      </c>
      <c r="AI136" s="243" t="s">
        <v>423</v>
      </c>
      <c r="AJ136" s="243" t="s">
        <v>423</v>
      </c>
      <c r="AK136" s="244" t="s">
        <v>1241</v>
      </c>
      <c r="AL136" s="241"/>
      <c r="AM136" s="241"/>
    </row>
    <row r="137" spans="1:39" ht="15" customHeight="1" x14ac:dyDescent="0.3">
      <c r="A137" s="185">
        <v>131</v>
      </c>
      <c r="B137" s="247" t="s">
        <v>1051</v>
      </c>
      <c r="C137" s="247" t="s">
        <v>1615</v>
      </c>
      <c r="D137" s="200" t="s">
        <v>1881</v>
      </c>
      <c r="E137" s="247"/>
      <c r="F137" s="247"/>
      <c r="G137" s="259" t="s">
        <v>1604</v>
      </c>
      <c r="H137" s="248" t="s">
        <v>1956</v>
      </c>
      <c r="I137" s="359">
        <v>2</v>
      </c>
      <c r="J137" s="248">
        <v>12.5</v>
      </c>
      <c r="K137" s="248">
        <v>0</v>
      </c>
      <c r="L137" s="212">
        <v>1</v>
      </c>
      <c r="M137" s="212">
        <f t="shared" si="20"/>
        <v>15.5</v>
      </c>
      <c r="N137" s="212">
        <f t="shared" si="21"/>
        <v>16</v>
      </c>
      <c r="O137" s="212">
        <f t="shared" si="22"/>
        <v>50</v>
      </c>
      <c r="P137" s="212">
        <f t="shared" si="23"/>
        <v>0</v>
      </c>
      <c r="Q137" s="212">
        <f t="shared" si="24"/>
        <v>8</v>
      </c>
      <c r="R137" s="212">
        <f t="shared" si="25"/>
        <v>74</v>
      </c>
      <c r="S137" s="260" t="s">
        <v>1068</v>
      </c>
      <c r="T137" s="261" t="s">
        <v>1081</v>
      </c>
      <c r="U137" s="272">
        <v>204</v>
      </c>
      <c r="V137" s="272">
        <v>206</v>
      </c>
      <c r="W137" s="245">
        <v>44039</v>
      </c>
      <c r="X137" s="262">
        <v>44075</v>
      </c>
      <c r="Y137" s="262">
        <v>44134</v>
      </c>
      <c r="Z137" s="311">
        <f t="shared" si="18"/>
        <v>2020</v>
      </c>
      <c r="AA137" s="311">
        <f t="shared" si="19"/>
        <v>10</v>
      </c>
      <c r="AB137" s="243" t="s">
        <v>920</v>
      </c>
      <c r="AC137" s="243" t="s">
        <v>422</v>
      </c>
      <c r="AD137" s="243" t="s">
        <v>422</v>
      </c>
      <c r="AE137" s="243" t="s">
        <v>422</v>
      </c>
      <c r="AF137" s="243" t="s">
        <v>422</v>
      </c>
      <c r="AG137" s="243" t="s">
        <v>422</v>
      </c>
      <c r="AH137" s="243" t="s">
        <v>423</v>
      </c>
      <c r="AI137" s="243" t="s">
        <v>423</v>
      </c>
      <c r="AJ137" s="243" t="s">
        <v>423</v>
      </c>
      <c r="AK137" s="244" t="s">
        <v>1242</v>
      </c>
      <c r="AL137" s="241"/>
      <c r="AM137" s="241"/>
    </row>
    <row r="138" spans="1:39" ht="15" customHeight="1" x14ac:dyDescent="0.3">
      <c r="A138" s="185">
        <v>132</v>
      </c>
      <c r="B138" s="247" t="s">
        <v>1056</v>
      </c>
      <c r="C138" s="247" t="s">
        <v>1615</v>
      </c>
      <c r="D138" s="200" t="s">
        <v>1881</v>
      </c>
      <c r="E138" s="247"/>
      <c r="F138" s="247"/>
      <c r="G138" s="259" t="s">
        <v>1604</v>
      </c>
      <c r="H138" s="248" t="s">
        <v>1010</v>
      </c>
      <c r="I138" s="359">
        <v>2</v>
      </c>
      <c r="J138" s="248">
        <v>15</v>
      </c>
      <c r="K138" s="248">
        <v>0</v>
      </c>
      <c r="L138" s="212">
        <v>1</v>
      </c>
      <c r="M138" s="212">
        <f t="shared" si="20"/>
        <v>18</v>
      </c>
      <c r="N138" s="212">
        <f t="shared" si="21"/>
        <v>16</v>
      </c>
      <c r="O138" s="212">
        <f t="shared" si="22"/>
        <v>60</v>
      </c>
      <c r="P138" s="212">
        <f t="shared" si="23"/>
        <v>0</v>
      </c>
      <c r="Q138" s="212">
        <f t="shared" si="24"/>
        <v>8</v>
      </c>
      <c r="R138" s="212">
        <f t="shared" si="25"/>
        <v>84</v>
      </c>
      <c r="S138" s="260" t="s">
        <v>1069</v>
      </c>
      <c r="T138" s="261" t="s">
        <v>1082</v>
      </c>
      <c r="U138" s="272">
        <v>86</v>
      </c>
      <c r="V138" s="272">
        <v>88</v>
      </c>
      <c r="W138" s="245">
        <v>44039</v>
      </c>
      <c r="X138" s="262">
        <v>44075</v>
      </c>
      <c r="Y138" s="262">
        <v>44134</v>
      </c>
      <c r="Z138" s="311">
        <f t="shared" si="18"/>
        <v>2020</v>
      </c>
      <c r="AA138" s="311">
        <f t="shared" si="19"/>
        <v>10</v>
      </c>
      <c r="AB138" s="243" t="s">
        <v>920</v>
      </c>
      <c r="AC138" s="243" t="s">
        <v>422</v>
      </c>
      <c r="AD138" s="243" t="s">
        <v>422</v>
      </c>
      <c r="AE138" s="243" t="s">
        <v>422</v>
      </c>
      <c r="AF138" s="243" t="s">
        <v>422</v>
      </c>
      <c r="AG138" s="243" t="s">
        <v>422</v>
      </c>
      <c r="AH138" s="243" t="s">
        <v>423</v>
      </c>
      <c r="AI138" s="243" t="s">
        <v>423</v>
      </c>
      <c r="AJ138" s="243" t="s">
        <v>423</v>
      </c>
      <c r="AK138" s="244" t="s">
        <v>140</v>
      </c>
      <c r="AL138" s="241"/>
      <c r="AM138" s="241"/>
    </row>
    <row r="139" spans="1:39" ht="15" customHeight="1" x14ac:dyDescent="0.3">
      <c r="A139" s="185">
        <v>133</v>
      </c>
      <c r="B139" s="247" t="s">
        <v>1057</v>
      </c>
      <c r="C139" s="247" t="s">
        <v>1615</v>
      </c>
      <c r="D139" s="200" t="s">
        <v>1881</v>
      </c>
      <c r="E139" s="247"/>
      <c r="F139" s="247"/>
      <c r="G139" s="259" t="s">
        <v>1604</v>
      </c>
      <c r="H139" s="248" t="s">
        <v>1943</v>
      </c>
      <c r="I139" s="359">
        <v>2</v>
      </c>
      <c r="J139" s="248">
        <v>9</v>
      </c>
      <c r="K139" s="248">
        <v>0</v>
      </c>
      <c r="L139" s="212">
        <v>1.5</v>
      </c>
      <c r="M139" s="212">
        <f t="shared" si="20"/>
        <v>12.5</v>
      </c>
      <c r="N139" s="212">
        <f t="shared" si="21"/>
        <v>16</v>
      </c>
      <c r="O139" s="212">
        <f t="shared" si="22"/>
        <v>36</v>
      </c>
      <c r="P139" s="212">
        <f t="shared" si="23"/>
        <v>0</v>
      </c>
      <c r="Q139" s="212">
        <f t="shared" si="24"/>
        <v>12</v>
      </c>
      <c r="R139" s="212">
        <f t="shared" si="25"/>
        <v>64</v>
      </c>
      <c r="S139" s="260" t="s">
        <v>1070</v>
      </c>
      <c r="T139" s="261" t="s">
        <v>1083</v>
      </c>
      <c r="U139" s="272">
        <v>102</v>
      </c>
      <c r="V139" s="272">
        <v>103</v>
      </c>
      <c r="W139" s="245">
        <v>44039</v>
      </c>
      <c r="X139" s="262">
        <v>44075</v>
      </c>
      <c r="Y139" s="262">
        <v>44134</v>
      </c>
      <c r="Z139" s="311">
        <f t="shared" si="18"/>
        <v>2020</v>
      </c>
      <c r="AA139" s="311">
        <f t="shared" si="19"/>
        <v>10</v>
      </c>
      <c r="AB139" s="243" t="s">
        <v>920</v>
      </c>
      <c r="AC139" s="243" t="s">
        <v>422</v>
      </c>
      <c r="AD139" s="243" t="s">
        <v>422</v>
      </c>
      <c r="AE139" s="243" t="s">
        <v>422</v>
      </c>
      <c r="AF139" s="243" t="s">
        <v>422</v>
      </c>
      <c r="AG139" s="243" t="s">
        <v>422</v>
      </c>
      <c r="AH139" s="243" t="s">
        <v>423</v>
      </c>
      <c r="AI139" s="243" t="s">
        <v>422</v>
      </c>
      <c r="AJ139" s="243" t="s">
        <v>423</v>
      </c>
      <c r="AK139" s="244" t="s">
        <v>1372</v>
      </c>
      <c r="AL139" s="241"/>
      <c r="AM139" s="241"/>
    </row>
    <row r="140" spans="1:39" ht="15" customHeight="1" x14ac:dyDescent="0.3">
      <c r="A140" s="185">
        <v>142</v>
      </c>
      <c r="B140" s="247" t="s">
        <v>1094</v>
      </c>
      <c r="C140" s="247" t="s">
        <v>1618</v>
      </c>
      <c r="D140" s="200" t="s">
        <v>1881</v>
      </c>
      <c r="E140" s="247"/>
      <c r="F140" s="247"/>
      <c r="G140" s="259" t="s">
        <v>1604</v>
      </c>
      <c r="H140" s="247" t="s">
        <v>1956</v>
      </c>
      <c r="I140" s="359">
        <v>2</v>
      </c>
      <c r="J140" s="247">
        <v>13</v>
      </c>
      <c r="K140" s="248">
        <v>0</v>
      </c>
      <c r="L140" s="212">
        <v>1</v>
      </c>
      <c r="M140" s="212">
        <f t="shared" si="20"/>
        <v>16</v>
      </c>
      <c r="N140" s="212">
        <f t="shared" si="21"/>
        <v>16</v>
      </c>
      <c r="O140" s="212">
        <f t="shared" si="22"/>
        <v>52</v>
      </c>
      <c r="P140" s="212">
        <f t="shared" si="23"/>
        <v>0</v>
      </c>
      <c r="Q140" s="212">
        <f t="shared" si="24"/>
        <v>8</v>
      </c>
      <c r="R140" s="212">
        <f t="shared" si="25"/>
        <v>76</v>
      </c>
      <c r="S140" s="260" t="s">
        <v>1139</v>
      </c>
      <c r="T140" s="263" t="s">
        <v>1138</v>
      </c>
      <c r="U140" s="272">
        <v>90</v>
      </c>
      <c r="V140" s="272">
        <v>92</v>
      </c>
      <c r="W140" s="245">
        <v>44061</v>
      </c>
      <c r="X140" s="245">
        <v>44061</v>
      </c>
      <c r="Y140" s="245">
        <v>44134</v>
      </c>
      <c r="Z140" s="311">
        <f t="shared" si="18"/>
        <v>2020</v>
      </c>
      <c r="AA140" s="311">
        <f t="shared" si="19"/>
        <v>10</v>
      </c>
      <c r="AB140" s="243" t="s">
        <v>920</v>
      </c>
      <c r="AC140" s="243" t="s">
        <v>422</v>
      </c>
      <c r="AD140" s="243" t="s">
        <v>422</v>
      </c>
      <c r="AE140" s="243" t="s">
        <v>422</v>
      </c>
      <c r="AF140" s="243" t="s">
        <v>422</v>
      </c>
      <c r="AG140" s="243" t="s">
        <v>422</v>
      </c>
      <c r="AH140" s="243" t="s">
        <v>423</v>
      </c>
      <c r="AI140" s="243" t="s">
        <v>423</v>
      </c>
      <c r="AJ140" s="243" t="s">
        <v>423</v>
      </c>
      <c r="AK140" s="244" t="s">
        <v>1240</v>
      </c>
      <c r="AL140" s="241"/>
      <c r="AM140" s="241"/>
    </row>
    <row r="141" spans="1:39" ht="15" customHeight="1" x14ac:dyDescent="0.3">
      <c r="A141" s="185">
        <v>143</v>
      </c>
      <c r="B141" s="247" t="s">
        <v>1095</v>
      </c>
      <c r="C141" s="247" t="s">
        <v>1618</v>
      </c>
      <c r="D141" s="200" t="s">
        <v>1881</v>
      </c>
      <c r="E141" s="247"/>
      <c r="F141" s="247"/>
      <c r="G141" s="259" t="s">
        <v>1604</v>
      </c>
      <c r="H141" s="247" t="s">
        <v>1010</v>
      </c>
      <c r="I141" s="359">
        <v>2</v>
      </c>
      <c r="J141" s="247">
        <v>12</v>
      </c>
      <c r="K141" s="248">
        <v>0</v>
      </c>
      <c r="L141" s="212">
        <v>1.5</v>
      </c>
      <c r="M141" s="212">
        <f t="shared" si="20"/>
        <v>15.5</v>
      </c>
      <c r="N141" s="212">
        <f t="shared" si="21"/>
        <v>16</v>
      </c>
      <c r="O141" s="212">
        <f t="shared" si="22"/>
        <v>48</v>
      </c>
      <c r="P141" s="212">
        <f t="shared" si="23"/>
        <v>0</v>
      </c>
      <c r="Q141" s="212">
        <f t="shared" si="24"/>
        <v>12</v>
      </c>
      <c r="R141" s="212">
        <f t="shared" si="25"/>
        <v>76</v>
      </c>
      <c r="S141" s="260" t="s">
        <v>1142</v>
      </c>
      <c r="T141" s="263" t="s">
        <v>1143</v>
      </c>
      <c r="U141" s="272">
        <v>120</v>
      </c>
      <c r="V141" s="272">
        <v>120</v>
      </c>
      <c r="W141" s="245">
        <v>44061</v>
      </c>
      <c r="X141" s="245">
        <v>44061</v>
      </c>
      <c r="Y141" s="245">
        <v>44134</v>
      </c>
      <c r="Z141" s="311">
        <f t="shared" si="18"/>
        <v>2020</v>
      </c>
      <c r="AA141" s="311">
        <f t="shared" si="19"/>
        <v>10</v>
      </c>
      <c r="AB141" s="243" t="s">
        <v>920</v>
      </c>
      <c r="AC141" s="243" t="s">
        <v>422</v>
      </c>
      <c r="AD141" s="243" t="s">
        <v>422</v>
      </c>
      <c r="AE141" s="243" t="s">
        <v>422</v>
      </c>
      <c r="AF141" s="243" t="s">
        <v>422</v>
      </c>
      <c r="AG141" s="243" t="s">
        <v>422</v>
      </c>
      <c r="AH141" s="243" t="s">
        <v>423</v>
      </c>
      <c r="AI141" s="243" t="s">
        <v>422</v>
      </c>
      <c r="AJ141" s="243" t="s">
        <v>423</v>
      </c>
      <c r="AK141" s="244" t="s">
        <v>140</v>
      </c>
      <c r="AL141" s="241"/>
      <c r="AM141" s="241"/>
    </row>
    <row r="142" spans="1:39" ht="15" customHeight="1" x14ac:dyDescent="0.3">
      <c r="A142" s="185">
        <v>144</v>
      </c>
      <c r="B142" s="247" t="s">
        <v>1096</v>
      </c>
      <c r="C142" s="247" t="s">
        <v>1618</v>
      </c>
      <c r="D142" s="200" t="s">
        <v>1881</v>
      </c>
      <c r="E142" s="247"/>
      <c r="F142" s="247"/>
      <c r="G142" s="259" t="s">
        <v>1604</v>
      </c>
      <c r="H142" s="247" t="s">
        <v>1943</v>
      </c>
      <c r="I142" s="359">
        <v>2</v>
      </c>
      <c r="J142" s="247">
        <v>7.5</v>
      </c>
      <c r="K142" s="248">
        <v>0</v>
      </c>
      <c r="L142" s="212">
        <v>1</v>
      </c>
      <c r="M142" s="212">
        <f t="shared" si="20"/>
        <v>10.5</v>
      </c>
      <c r="N142" s="212">
        <f t="shared" si="21"/>
        <v>16</v>
      </c>
      <c r="O142" s="212">
        <f t="shared" si="22"/>
        <v>30</v>
      </c>
      <c r="P142" s="212">
        <f t="shared" si="23"/>
        <v>0</v>
      </c>
      <c r="Q142" s="212">
        <f t="shared" si="24"/>
        <v>8</v>
      </c>
      <c r="R142" s="212">
        <f t="shared" si="25"/>
        <v>54</v>
      </c>
      <c r="S142" s="260" t="s">
        <v>1144</v>
      </c>
      <c r="T142" s="263" t="s">
        <v>1145</v>
      </c>
      <c r="U142" s="272">
        <v>69</v>
      </c>
      <c r="V142" s="272">
        <v>69</v>
      </c>
      <c r="W142" s="245">
        <v>44061</v>
      </c>
      <c r="X142" s="245">
        <v>44061</v>
      </c>
      <c r="Y142" s="245">
        <v>44134</v>
      </c>
      <c r="Z142" s="311">
        <f t="shared" si="18"/>
        <v>2020</v>
      </c>
      <c r="AA142" s="311">
        <f t="shared" si="19"/>
        <v>10</v>
      </c>
      <c r="AB142" s="243" t="s">
        <v>920</v>
      </c>
      <c r="AC142" s="243" t="s">
        <v>422</v>
      </c>
      <c r="AD142" s="243" t="s">
        <v>422</v>
      </c>
      <c r="AE142" s="243" t="s">
        <v>422</v>
      </c>
      <c r="AF142" s="243" t="s">
        <v>422</v>
      </c>
      <c r="AG142" s="243" t="s">
        <v>422</v>
      </c>
      <c r="AH142" s="243" t="s">
        <v>423</v>
      </c>
      <c r="AI142" s="243" t="s">
        <v>422</v>
      </c>
      <c r="AJ142" s="243" t="s">
        <v>423</v>
      </c>
      <c r="AK142" s="244" t="s">
        <v>1372</v>
      </c>
      <c r="AL142" s="241"/>
      <c r="AM142" s="241"/>
    </row>
    <row r="143" spans="1:39" ht="15" customHeight="1" x14ac:dyDescent="0.3">
      <c r="A143" s="185">
        <v>145</v>
      </c>
      <c r="B143" s="247" t="s">
        <v>1092</v>
      </c>
      <c r="C143" s="247" t="s">
        <v>1618</v>
      </c>
      <c r="D143" s="200" t="s">
        <v>1881</v>
      </c>
      <c r="E143" s="247"/>
      <c r="F143" s="247"/>
      <c r="G143" s="259" t="s">
        <v>1604</v>
      </c>
      <c r="H143" s="247" t="s">
        <v>1956</v>
      </c>
      <c r="I143" s="359">
        <v>2</v>
      </c>
      <c r="J143" s="247">
        <v>8.5</v>
      </c>
      <c r="K143" s="248">
        <v>0</v>
      </c>
      <c r="L143" s="212">
        <v>1.5</v>
      </c>
      <c r="M143" s="212">
        <f t="shared" si="20"/>
        <v>12</v>
      </c>
      <c r="N143" s="212">
        <f t="shared" si="21"/>
        <v>16</v>
      </c>
      <c r="O143" s="212">
        <f t="shared" si="22"/>
        <v>34</v>
      </c>
      <c r="P143" s="212">
        <f t="shared" si="23"/>
        <v>0</v>
      </c>
      <c r="Q143" s="212">
        <f t="shared" si="24"/>
        <v>12</v>
      </c>
      <c r="R143" s="212">
        <f t="shared" si="25"/>
        <v>62</v>
      </c>
      <c r="S143" s="260" t="s">
        <v>1097</v>
      </c>
      <c r="T143" s="263" t="s">
        <v>1146</v>
      </c>
      <c r="U143" s="272">
        <v>110</v>
      </c>
      <c r="V143" s="272">
        <v>112</v>
      </c>
      <c r="W143" s="245">
        <v>44064</v>
      </c>
      <c r="X143" s="245">
        <v>44089</v>
      </c>
      <c r="Y143" s="245">
        <v>44134</v>
      </c>
      <c r="Z143" s="311">
        <f t="shared" si="18"/>
        <v>2020</v>
      </c>
      <c r="AA143" s="311">
        <f t="shared" si="19"/>
        <v>10</v>
      </c>
      <c r="AB143" s="243" t="s">
        <v>920</v>
      </c>
      <c r="AC143" s="243" t="s">
        <v>422</v>
      </c>
      <c r="AD143" s="243" t="s">
        <v>422</v>
      </c>
      <c r="AE143" s="243" t="s">
        <v>422</v>
      </c>
      <c r="AF143" s="243" t="s">
        <v>422</v>
      </c>
      <c r="AG143" s="243" t="s">
        <v>422</v>
      </c>
      <c r="AH143" s="243" t="s">
        <v>423</v>
      </c>
      <c r="AI143" s="243" t="s">
        <v>423</v>
      </c>
      <c r="AJ143" s="243" t="s">
        <v>423</v>
      </c>
      <c r="AK143" s="244" t="s">
        <v>1240</v>
      </c>
      <c r="AL143" s="241"/>
      <c r="AM143" s="241"/>
    </row>
    <row r="144" spans="1:39" ht="15" customHeight="1" x14ac:dyDescent="0.3">
      <c r="A144" s="185">
        <v>146</v>
      </c>
      <c r="B144" s="247" t="s">
        <v>1373</v>
      </c>
      <c r="C144" s="247" t="s">
        <v>1618</v>
      </c>
      <c r="D144" s="200" t="s">
        <v>1881</v>
      </c>
      <c r="E144" s="247"/>
      <c r="F144" s="247"/>
      <c r="G144" s="259" t="s">
        <v>1604</v>
      </c>
      <c r="H144" s="247" t="s">
        <v>1956</v>
      </c>
      <c r="I144" s="359">
        <v>2</v>
      </c>
      <c r="J144" s="247">
        <v>6.5</v>
      </c>
      <c r="K144" s="248">
        <v>0</v>
      </c>
      <c r="L144" s="212">
        <v>1</v>
      </c>
      <c r="M144" s="212">
        <f t="shared" si="20"/>
        <v>9.5</v>
      </c>
      <c r="N144" s="212">
        <f t="shared" si="21"/>
        <v>16</v>
      </c>
      <c r="O144" s="212">
        <f t="shared" si="22"/>
        <v>26</v>
      </c>
      <c r="P144" s="212">
        <f t="shared" si="23"/>
        <v>0</v>
      </c>
      <c r="Q144" s="212">
        <f t="shared" si="24"/>
        <v>8</v>
      </c>
      <c r="R144" s="212">
        <f t="shared" si="25"/>
        <v>50</v>
      </c>
      <c r="S144" s="260" t="s">
        <v>1098</v>
      </c>
      <c r="T144" s="263" t="s">
        <v>1147</v>
      </c>
      <c r="U144" s="272">
        <v>100</v>
      </c>
      <c r="V144" s="272">
        <v>102</v>
      </c>
      <c r="W144" s="245">
        <v>44064</v>
      </c>
      <c r="X144" s="245">
        <v>44089</v>
      </c>
      <c r="Y144" s="245">
        <v>44134</v>
      </c>
      <c r="Z144" s="311">
        <f t="shared" si="18"/>
        <v>2020</v>
      </c>
      <c r="AA144" s="311">
        <f t="shared" si="19"/>
        <v>10</v>
      </c>
      <c r="AB144" s="243" t="s">
        <v>920</v>
      </c>
      <c r="AC144" s="243" t="s">
        <v>422</v>
      </c>
      <c r="AD144" s="243" t="s">
        <v>422</v>
      </c>
      <c r="AE144" s="243" t="s">
        <v>422</v>
      </c>
      <c r="AF144" s="243" t="s">
        <v>422</v>
      </c>
      <c r="AG144" s="243" t="s">
        <v>422</v>
      </c>
      <c r="AH144" s="243" t="s">
        <v>423</v>
      </c>
      <c r="AI144" s="243" t="s">
        <v>423</v>
      </c>
      <c r="AJ144" s="243" t="s">
        <v>423</v>
      </c>
      <c r="AK144" s="244" t="s">
        <v>1240</v>
      </c>
      <c r="AL144" s="241"/>
      <c r="AM144" s="241"/>
    </row>
    <row r="145" spans="1:39" ht="15" customHeight="1" x14ac:dyDescent="0.3">
      <c r="A145" s="185">
        <v>147</v>
      </c>
      <c r="B145" s="247" t="s">
        <v>1093</v>
      </c>
      <c r="C145" s="247" t="s">
        <v>1618</v>
      </c>
      <c r="D145" s="200" t="s">
        <v>1881</v>
      </c>
      <c r="E145" s="247"/>
      <c r="F145" s="247" t="s">
        <v>1598</v>
      </c>
      <c r="G145" s="259" t="s">
        <v>1604</v>
      </c>
      <c r="H145" s="247"/>
      <c r="I145" s="359">
        <v>2</v>
      </c>
      <c r="J145" s="247">
        <v>7.5</v>
      </c>
      <c r="K145" s="248">
        <v>0</v>
      </c>
      <c r="L145" s="212">
        <v>1.5</v>
      </c>
      <c r="M145" s="212">
        <f t="shared" si="20"/>
        <v>11</v>
      </c>
      <c r="N145" s="212">
        <f t="shared" si="21"/>
        <v>16</v>
      </c>
      <c r="O145" s="212">
        <f t="shared" si="22"/>
        <v>30</v>
      </c>
      <c r="P145" s="212">
        <f t="shared" si="23"/>
        <v>0</v>
      </c>
      <c r="Q145" s="212">
        <f t="shared" si="24"/>
        <v>12</v>
      </c>
      <c r="R145" s="212">
        <f t="shared" si="25"/>
        <v>58</v>
      </c>
      <c r="S145" s="260" t="s">
        <v>813</v>
      </c>
      <c r="T145" s="263" t="s">
        <v>1148</v>
      </c>
      <c r="U145" s="272">
        <v>135</v>
      </c>
      <c r="V145" s="272">
        <v>138</v>
      </c>
      <c r="W145" s="245">
        <v>44064</v>
      </c>
      <c r="X145" s="245">
        <v>44089</v>
      </c>
      <c r="Y145" s="245">
        <v>44134</v>
      </c>
      <c r="Z145" s="311">
        <f t="shared" si="18"/>
        <v>2020</v>
      </c>
      <c r="AA145" s="311">
        <f t="shared" si="19"/>
        <v>10</v>
      </c>
      <c r="AB145" s="243" t="s">
        <v>920</v>
      </c>
      <c r="AC145" s="243" t="s">
        <v>422</v>
      </c>
      <c r="AD145" s="243" t="s">
        <v>422</v>
      </c>
      <c r="AE145" s="243" t="s">
        <v>422</v>
      </c>
      <c r="AF145" s="243" t="s">
        <v>422</v>
      </c>
      <c r="AG145" s="243" t="s">
        <v>423</v>
      </c>
      <c r="AH145" s="243" t="s">
        <v>423</v>
      </c>
      <c r="AI145" s="243" t="s">
        <v>423</v>
      </c>
      <c r="AJ145" s="243" t="s">
        <v>423</v>
      </c>
      <c r="AK145" s="244" t="s">
        <v>1045</v>
      </c>
      <c r="AL145" s="241"/>
      <c r="AM145" s="241"/>
    </row>
    <row r="146" spans="1:39" ht="15" customHeight="1" x14ac:dyDescent="0.3">
      <c r="A146" s="185">
        <v>160</v>
      </c>
      <c r="B146" s="247" t="s">
        <v>1128</v>
      </c>
      <c r="C146" s="247" t="s">
        <v>1618</v>
      </c>
      <c r="D146" s="200" t="s">
        <v>1881</v>
      </c>
      <c r="E146" s="247"/>
      <c r="F146" s="247"/>
      <c r="G146" s="259" t="s">
        <v>1604</v>
      </c>
      <c r="H146" s="247" t="s">
        <v>1956</v>
      </c>
      <c r="I146" s="359">
        <v>2</v>
      </c>
      <c r="J146" s="247">
        <v>13</v>
      </c>
      <c r="K146" s="248">
        <v>0</v>
      </c>
      <c r="L146" s="212">
        <v>1</v>
      </c>
      <c r="M146" s="212">
        <f t="shared" si="20"/>
        <v>16</v>
      </c>
      <c r="N146" s="212">
        <f t="shared" si="21"/>
        <v>16</v>
      </c>
      <c r="O146" s="212">
        <f t="shared" si="22"/>
        <v>52</v>
      </c>
      <c r="P146" s="212">
        <f t="shared" si="23"/>
        <v>0</v>
      </c>
      <c r="Q146" s="212">
        <f t="shared" si="24"/>
        <v>8</v>
      </c>
      <c r="R146" s="212">
        <f t="shared" si="25"/>
        <v>76</v>
      </c>
      <c r="S146" s="260" t="s">
        <v>1141</v>
      </c>
      <c r="T146" s="263" t="s">
        <v>1140</v>
      </c>
      <c r="U146" s="272">
        <v>30</v>
      </c>
      <c r="V146" s="272">
        <v>31</v>
      </c>
      <c r="W146" s="245">
        <v>44064</v>
      </c>
      <c r="X146" s="245">
        <v>44094</v>
      </c>
      <c r="Y146" s="186">
        <v>44134</v>
      </c>
      <c r="Z146" s="311">
        <f t="shared" si="18"/>
        <v>2020</v>
      </c>
      <c r="AA146" s="311">
        <f t="shared" si="19"/>
        <v>10</v>
      </c>
      <c r="AB146" s="243" t="s">
        <v>920</v>
      </c>
      <c r="AC146" s="243" t="s">
        <v>422</v>
      </c>
      <c r="AD146" s="243" t="s">
        <v>422</v>
      </c>
      <c r="AE146" s="243" t="s">
        <v>422</v>
      </c>
      <c r="AF146" s="243" t="s">
        <v>422</v>
      </c>
      <c r="AG146" s="243" t="s">
        <v>422</v>
      </c>
      <c r="AH146" s="243" t="s">
        <v>423</v>
      </c>
      <c r="AI146" s="243" t="s">
        <v>423</v>
      </c>
      <c r="AJ146" s="243" t="s">
        <v>423</v>
      </c>
      <c r="AK146" s="244" t="s">
        <v>1240</v>
      </c>
      <c r="AL146" s="241"/>
      <c r="AM146" s="241"/>
    </row>
    <row r="147" spans="1:39" ht="15" customHeight="1" x14ac:dyDescent="0.3">
      <c r="A147" s="185">
        <v>161</v>
      </c>
      <c r="B147" s="247" t="s">
        <v>1129</v>
      </c>
      <c r="C147" s="247" t="s">
        <v>1618</v>
      </c>
      <c r="D147" s="200" t="s">
        <v>1881</v>
      </c>
      <c r="E147" s="247"/>
      <c r="F147" s="247"/>
      <c r="G147" s="259" t="s">
        <v>1604</v>
      </c>
      <c r="H147" s="247" t="s">
        <v>1956</v>
      </c>
      <c r="I147" s="359">
        <v>2</v>
      </c>
      <c r="J147" s="247">
        <v>6</v>
      </c>
      <c r="K147" s="248">
        <v>0</v>
      </c>
      <c r="L147" s="212">
        <v>1</v>
      </c>
      <c r="M147" s="212">
        <f t="shared" si="20"/>
        <v>9</v>
      </c>
      <c r="N147" s="212">
        <f t="shared" si="21"/>
        <v>16</v>
      </c>
      <c r="O147" s="212">
        <f t="shared" si="22"/>
        <v>24</v>
      </c>
      <c r="P147" s="212">
        <f t="shared" si="23"/>
        <v>0</v>
      </c>
      <c r="Q147" s="212">
        <f t="shared" si="24"/>
        <v>8</v>
      </c>
      <c r="R147" s="212">
        <f t="shared" si="25"/>
        <v>48</v>
      </c>
      <c r="S147" s="260" t="s">
        <v>1150</v>
      </c>
      <c r="T147" s="263" t="s">
        <v>1149</v>
      </c>
      <c r="U147" s="272">
        <v>40</v>
      </c>
      <c r="V147" s="272">
        <v>42</v>
      </c>
      <c r="W147" s="245">
        <v>44064</v>
      </c>
      <c r="X147" s="245">
        <v>44094</v>
      </c>
      <c r="Y147" s="186">
        <v>44134</v>
      </c>
      <c r="Z147" s="311">
        <f t="shared" si="18"/>
        <v>2020</v>
      </c>
      <c r="AA147" s="311">
        <f t="shared" si="19"/>
        <v>10</v>
      </c>
      <c r="AB147" s="243" t="s">
        <v>920</v>
      </c>
      <c r="AC147" s="243" t="s">
        <v>422</v>
      </c>
      <c r="AD147" s="243" t="s">
        <v>422</v>
      </c>
      <c r="AE147" s="243" t="s">
        <v>422</v>
      </c>
      <c r="AF147" s="243" t="s">
        <v>422</v>
      </c>
      <c r="AG147" s="243" t="s">
        <v>423</v>
      </c>
      <c r="AH147" s="243" t="s">
        <v>423</v>
      </c>
      <c r="AI147" s="243" t="s">
        <v>423</v>
      </c>
      <c r="AJ147" s="243" t="s">
        <v>423</v>
      </c>
      <c r="AK147" s="244" t="s">
        <v>1240</v>
      </c>
      <c r="AL147" s="241"/>
      <c r="AM147" s="241"/>
    </row>
    <row r="148" spans="1:39" ht="15" customHeight="1" x14ac:dyDescent="0.3">
      <c r="A148" s="185">
        <v>134</v>
      </c>
      <c r="B148" s="247" t="s">
        <v>1058</v>
      </c>
      <c r="C148" s="247" t="s">
        <v>1615</v>
      </c>
      <c r="D148" s="200" t="s">
        <v>1881</v>
      </c>
      <c r="E148" s="247"/>
      <c r="F148" s="247" t="s">
        <v>1598</v>
      </c>
      <c r="G148" s="259" t="s">
        <v>1604</v>
      </c>
      <c r="H148" s="248"/>
      <c r="I148" s="248">
        <v>1.2</v>
      </c>
      <c r="J148" s="248">
        <v>9.5</v>
      </c>
      <c r="K148" s="248">
        <v>0</v>
      </c>
      <c r="L148" s="212">
        <v>1</v>
      </c>
      <c r="M148" s="212">
        <f t="shared" si="20"/>
        <v>11.7</v>
      </c>
      <c r="N148" s="212">
        <f t="shared" si="21"/>
        <v>9.6</v>
      </c>
      <c r="O148" s="212">
        <f t="shared" si="22"/>
        <v>38</v>
      </c>
      <c r="P148" s="212">
        <f t="shared" si="23"/>
        <v>0</v>
      </c>
      <c r="Q148" s="212">
        <f t="shared" si="24"/>
        <v>8</v>
      </c>
      <c r="R148" s="212">
        <f t="shared" si="25"/>
        <v>55.6</v>
      </c>
      <c r="S148" s="260" t="s">
        <v>1071</v>
      </c>
      <c r="T148" s="261" t="s">
        <v>1084</v>
      </c>
      <c r="U148" s="272">
        <v>96</v>
      </c>
      <c r="V148" s="272">
        <v>0</v>
      </c>
      <c r="W148" s="245">
        <v>44039</v>
      </c>
      <c r="X148" s="262">
        <v>44075</v>
      </c>
      <c r="Y148" s="262">
        <v>44161</v>
      </c>
      <c r="Z148" s="311">
        <f t="shared" si="18"/>
        <v>2020</v>
      </c>
      <c r="AA148" s="311">
        <f t="shared" si="19"/>
        <v>11</v>
      </c>
      <c r="AB148" s="243" t="s">
        <v>920</v>
      </c>
      <c r="AC148" s="243" t="s">
        <v>422</v>
      </c>
      <c r="AD148" s="243" t="s">
        <v>422</v>
      </c>
      <c r="AE148" s="243" t="s">
        <v>422</v>
      </c>
      <c r="AF148" s="243" t="s">
        <v>422</v>
      </c>
      <c r="AG148" s="243" t="s">
        <v>422</v>
      </c>
      <c r="AH148" s="243" t="s">
        <v>423</v>
      </c>
      <c r="AI148" s="243" t="s">
        <v>423</v>
      </c>
      <c r="AJ148" s="243" t="s">
        <v>423</v>
      </c>
      <c r="AK148" s="244" t="s">
        <v>1045</v>
      </c>
      <c r="AL148" s="241"/>
      <c r="AM148" s="241"/>
    </row>
    <row r="149" spans="1:39" ht="15" customHeight="1" x14ac:dyDescent="0.3">
      <c r="A149" s="185">
        <v>135</v>
      </c>
      <c r="B149" s="247" t="s">
        <v>1059</v>
      </c>
      <c r="C149" s="247" t="s">
        <v>1615</v>
      </c>
      <c r="D149" s="200" t="s">
        <v>1881</v>
      </c>
      <c r="E149" s="247"/>
      <c r="F149" s="247" t="s">
        <v>1598</v>
      </c>
      <c r="G149" s="259" t="s">
        <v>1604</v>
      </c>
      <c r="H149" s="248"/>
      <c r="I149" s="248">
        <v>1</v>
      </c>
      <c r="J149" s="248">
        <v>10</v>
      </c>
      <c r="K149" s="248">
        <v>0</v>
      </c>
      <c r="L149" s="212">
        <v>1.5</v>
      </c>
      <c r="M149" s="212">
        <f t="shared" si="20"/>
        <v>12.5</v>
      </c>
      <c r="N149" s="212">
        <f t="shared" si="21"/>
        <v>8</v>
      </c>
      <c r="O149" s="212">
        <f t="shared" si="22"/>
        <v>40</v>
      </c>
      <c r="P149" s="212">
        <f t="shared" si="23"/>
        <v>0</v>
      </c>
      <c r="Q149" s="212">
        <f t="shared" si="24"/>
        <v>12</v>
      </c>
      <c r="R149" s="212">
        <f t="shared" si="25"/>
        <v>60</v>
      </c>
      <c r="S149" s="260" t="s">
        <v>1072</v>
      </c>
      <c r="T149" s="261" t="s">
        <v>1085</v>
      </c>
      <c r="U149" s="272">
        <v>72</v>
      </c>
      <c r="V149" s="272">
        <v>0</v>
      </c>
      <c r="W149" s="245">
        <v>44039</v>
      </c>
      <c r="X149" s="262">
        <v>44075</v>
      </c>
      <c r="Y149" s="262">
        <v>44161</v>
      </c>
      <c r="Z149" s="311">
        <f t="shared" si="18"/>
        <v>2020</v>
      </c>
      <c r="AA149" s="311">
        <f t="shared" si="19"/>
        <v>11</v>
      </c>
      <c r="AB149" s="243" t="s">
        <v>920</v>
      </c>
      <c r="AC149" s="243" t="s">
        <v>422</v>
      </c>
      <c r="AD149" s="243" t="s">
        <v>422</v>
      </c>
      <c r="AE149" s="243" t="s">
        <v>422</v>
      </c>
      <c r="AF149" s="243" t="s">
        <v>422</v>
      </c>
      <c r="AG149" s="243" t="s">
        <v>422</v>
      </c>
      <c r="AH149" s="243" t="s">
        <v>423</v>
      </c>
      <c r="AI149" s="243" t="s">
        <v>423</v>
      </c>
      <c r="AJ149" s="243" t="s">
        <v>423</v>
      </c>
      <c r="AK149" s="244" t="s">
        <v>1045</v>
      </c>
      <c r="AL149" s="241"/>
      <c r="AM149" s="241"/>
    </row>
    <row r="150" spans="1:39" ht="15" customHeight="1" x14ac:dyDescent="0.3">
      <c r="A150" s="185">
        <v>136</v>
      </c>
      <c r="B150" s="247" t="s">
        <v>1060</v>
      </c>
      <c r="C150" s="247" t="s">
        <v>1615</v>
      </c>
      <c r="D150" s="200" t="s">
        <v>1881</v>
      </c>
      <c r="E150" s="247"/>
      <c r="F150" s="247" t="s">
        <v>1598</v>
      </c>
      <c r="G150" s="259" t="s">
        <v>1604</v>
      </c>
      <c r="H150" s="248"/>
      <c r="I150" s="248">
        <v>1</v>
      </c>
      <c r="J150" s="248">
        <v>4</v>
      </c>
      <c r="K150" s="248">
        <v>0</v>
      </c>
      <c r="L150" s="212">
        <v>1</v>
      </c>
      <c r="M150" s="212">
        <f t="shared" si="20"/>
        <v>6</v>
      </c>
      <c r="N150" s="212">
        <f t="shared" si="21"/>
        <v>8</v>
      </c>
      <c r="O150" s="212">
        <f t="shared" si="22"/>
        <v>16</v>
      </c>
      <c r="P150" s="212">
        <f t="shared" si="23"/>
        <v>0</v>
      </c>
      <c r="Q150" s="212">
        <f t="shared" si="24"/>
        <v>8</v>
      </c>
      <c r="R150" s="212">
        <f t="shared" si="25"/>
        <v>32</v>
      </c>
      <c r="S150" s="260" t="s">
        <v>1073</v>
      </c>
      <c r="T150" s="261" t="s">
        <v>1086</v>
      </c>
      <c r="U150" s="272">
        <v>104</v>
      </c>
      <c r="V150" s="272">
        <v>0</v>
      </c>
      <c r="W150" s="245">
        <v>44039</v>
      </c>
      <c r="X150" s="262">
        <v>44075</v>
      </c>
      <c r="Y150" s="262">
        <v>44161</v>
      </c>
      <c r="Z150" s="311">
        <f t="shared" si="18"/>
        <v>2020</v>
      </c>
      <c r="AA150" s="311">
        <f t="shared" si="19"/>
        <v>11</v>
      </c>
      <c r="AB150" s="243" t="s">
        <v>920</v>
      </c>
      <c r="AC150" s="243" t="s">
        <v>422</v>
      </c>
      <c r="AD150" s="243" t="s">
        <v>422</v>
      </c>
      <c r="AE150" s="243" t="s">
        <v>422</v>
      </c>
      <c r="AF150" s="243" t="s">
        <v>422</v>
      </c>
      <c r="AG150" s="243" t="s">
        <v>422</v>
      </c>
      <c r="AH150" s="243" t="s">
        <v>423</v>
      </c>
      <c r="AI150" s="243" t="s">
        <v>422</v>
      </c>
      <c r="AJ150" s="243" t="s">
        <v>423</v>
      </c>
      <c r="AK150" s="244" t="s">
        <v>1045</v>
      </c>
      <c r="AL150" s="241"/>
      <c r="AM150" s="241"/>
    </row>
    <row r="151" spans="1:39" ht="15" customHeight="1" x14ac:dyDescent="0.3">
      <c r="A151" s="185">
        <v>138</v>
      </c>
      <c r="B151" s="247" t="s">
        <v>1062</v>
      </c>
      <c r="C151" s="247" t="s">
        <v>1615</v>
      </c>
      <c r="D151" s="199" t="s">
        <v>1881</v>
      </c>
      <c r="E151" s="247"/>
      <c r="F151" s="247"/>
      <c r="G151" s="259" t="s">
        <v>1604</v>
      </c>
      <c r="H151" s="247" t="s">
        <v>1956</v>
      </c>
      <c r="I151" s="359">
        <v>2</v>
      </c>
      <c r="J151" s="247">
        <v>7</v>
      </c>
      <c r="K151" s="248">
        <v>0</v>
      </c>
      <c r="L151" s="212">
        <v>1</v>
      </c>
      <c r="M151" s="212">
        <f t="shared" si="20"/>
        <v>10</v>
      </c>
      <c r="N151" s="212">
        <f t="shared" si="21"/>
        <v>16</v>
      </c>
      <c r="O151" s="212">
        <f t="shared" si="22"/>
        <v>28</v>
      </c>
      <c r="P151" s="212">
        <f t="shared" si="23"/>
        <v>0</v>
      </c>
      <c r="Q151" s="212">
        <f t="shared" si="24"/>
        <v>8</v>
      </c>
      <c r="R151" s="212">
        <f t="shared" si="25"/>
        <v>52</v>
      </c>
      <c r="S151" s="260" t="s">
        <v>1075</v>
      </c>
      <c r="T151" s="261" t="s">
        <v>1089</v>
      </c>
      <c r="U151" s="272">
        <v>104</v>
      </c>
      <c r="V151" s="272">
        <v>106</v>
      </c>
      <c r="W151" s="245">
        <v>44039</v>
      </c>
      <c r="X151" s="262">
        <v>44075</v>
      </c>
      <c r="Y151" s="262">
        <v>44161</v>
      </c>
      <c r="Z151" s="311">
        <f t="shared" si="18"/>
        <v>2020</v>
      </c>
      <c r="AA151" s="311">
        <f t="shared" si="19"/>
        <v>11</v>
      </c>
      <c r="AB151" s="243" t="s">
        <v>920</v>
      </c>
      <c r="AC151" s="243" t="s">
        <v>422</v>
      </c>
      <c r="AD151" s="243" t="s">
        <v>422</v>
      </c>
      <c r="AE151" s="243" t="s">
        <v>422</v>
      </c>
      <c r="AF151" s="243" t="s">
        <v>422</v>
      </c>
      <c r="AG151" s="243" t="s">
        <v>422</v>
      </c>
      <c r="AH151" s="243" t="s">
        <v>423</v>
      </c>
      <c r="AI151" s="243" t="s">
        <v>449</v>
      </c>
      <c r="AJ151" s="243" t="s">
        <v>423</v>
      </c>
      <c r="AK151" s="244" t="s">
        <v>1240</v>
      </c>
      <c r="AL151" s="241"/>
      <c r="AM151" s="241"/>
    </row>
    <row r="152" spans="1:39" ht="15" customHeight="1" x14ac:dyDescent="0.3">
      <c r="A152" s="185">
        <v>177</v>
      </c>
      <c r="B152" s="247" t="s">
        <v>1166</v>
      </c>
      <c r="C152" s="247" t="s">
        <v>1617</v>
      </c>
      <c r="D152" s="199" t="s">
        <v>1848</v>
      </c>
      <c r="E152" s="247"/>
      <c r="F152" s="247"/>
      <c r="G152" s="247" t="s">
        <v>1953</v>
      </c>
      <c r="H152" s="247"/>
      <c r="I152" s="359">
        <v>2</v>
      </c>
      <c r="J152" s="359">
        <v>9</v>
      </c>
      <c r="K152" s="247">
        <v>9</v>
      </c>
      <c r="L152" s="212">
        <v>1</v>
      </c>
      <c r="M152" s="212">
        <f t="shared" si="20"/>
        <v>21</v>
      </c>
      <c r="N152" s="212">
        <f t="shared" si="21"/>
        <v>16</v>
      </c>
      <c r="O152" s="212">
        <f t="shared" si="22"/>
        <v>36</v>
      </c>
      <c r="P152" s="212">
        <f t="shared" si="23"/>
        <v>60</v>
      </c>
      <c r="Q152" s="212">
        <f t="shared" si="24"/>
        <v>8</v>
      </c>
      <c r="R152" s="212">
        <f t="shared" si="25"/>
        <v>120</v>
      </c>
      <c r="S152" s="260" t="s">
        <v>1167</v>
      </c>
      <c r="T152" s="263" t="s">
        <v>1167</v>
      </c>
      <c r="U152" s="272">
        <v>60</v>
      </c>
      <c r="V152" s="272">
        <f>+U152</f>
        <v>60</v>
      </c>
      <c r="W152" s="245">
        <v>44073</v>
      </c>
      <c r="X152" s="245">
        <v>44148</v>
      </c>
      <c r="Y152" s="262">
        <v>44159</v>
      </c>
      <c r="Z152" s="311">
        <f t="shared" si="18"/>
        <v>2020</v>
      </c>
      <c r="AA152" s="311">
        <f t="shared" si="19"/>
        <v>11</v>
      </c>
      <c r="AB152" s="243" t="s">
        <v>920</v>
      </c>
      <c r="AC152" s="243" t="s">
        <v>422</v>
      </c>
      <c r="AD152" s="243" t="s">
        <v>422</v>
      </c>
      <c r="AE152" s="243" t="s">
        <v>422</v>
      </c>
      <c r="AF152" s="243" t="s">
        <v>422</v>
      </c>
      <c r="AG152" s="243" t="s">
        <v>422</v>
      </c>
      <c r="AH152" s="243" t="s">
        <v>422</v>
      </c>
      <c r="AI152" s="243" t="s">
        <v>423</v>
      </c>
      <c r="AJ152" s="243" t="s">
        <v>423</v>
      </c>
      <c r="AK152" s="244" t="s">
        <v>1240</v>
      </c>
      <c r="AL152" s="241"/>
      <c r="AM152" s="241"/>
    </row>
    <row r="153" spans="1:39" ht="15" customHeight="1" x14ac:dyDescent="0.3">
      <c r="A153" s="185">
        <v>178</v>
      </c>
      <c r="B153" s="247" t="s">
        <v>1168</v>
      </c>
      <c r="C153" s="247" t="s">
        <v>1617</v>
      </c>
      <c r="D153" s="199" t="s">
        <v>1848</v>
      </c>
      <c r="E153" s="247"/>
      <c r="F153" s="247"/>
      <c r="G153" s="247" t="s">
        <v>1953</v>
      </c>
      <c r="H153" s="247" t="s">
        <v>1956</v>
      </c>
      <c r="I153" s="359">
        <v>2</v>
      </c>
      <c r="J153" s="247">
        <v>9</v>
      </c>
      <c r="K153" s="247">
        <v>9.5</v>
      </c>
      <c r="L153" s="212">
        <v>1</v>
      </c>
      <c r="M153" s="212">
        <f t="shared" si="20"/>
        <v>21.5</v>
      </c>
      <c r="N153" s="212">
        <f t="shared" si="21"/>
        <v>16</v>
      </c>
      <c r="O153" s="212">
        <f t="shared" si="22"/>
        <v>36</v>
      </c>
      <c r="P153" s="212">
        <f t="shared" si="23"/>
        <v>63.333333333333336</v>
      </c>
      <c r="Q153" s="212">
        <f t="shared" si="24"/>
        <v>8</v>
      </c>
      <c r="R153" s="212">
        <f t="shared" si="25"/>
        <v>123.33333333333334</v>
      </c>
      <c r="S153" s="260" t="s">
        <v>1176</v>
      </c>
      <c r="T153" s="260" t="s">
        <v>1176</v>
      </c>
      <c r="U153" s="272">
        <v>90</v>
      </c>
      <c r="V153" s="272">
        <f>+U153</f>
        <v>90</v>
      </c>
      <c r="W153" s="245">
        <v>44073</v>
      </c>
      <c r="X153" s="245">
        <v>44148</v>
      </c>
      <c r="Y153" s="262">
        <v>44159</v>
      </c>
      <c r="Z153" s="311">
        <f t="shared" si="18"/>
        <v>2020</v>
      </c>
      <c r="AA153" s="311">
        <f t="shared" si="19"/>
        <v>11</v>
      </c>
      <c r="AB153" s="243" t="s">
        <v>920</v>
      </c>
      <c r="AC153" s="243" t="s">
        <v>422</v>
      </c>
      <c r="AD153" s="243" t="s">
        <v>422</v>
      </c>
      <c r="AE153" s="243" t="s">
        <v>422</v>
      </c>
      <c r="AF153" s="243" t="s">
        <v>422</v>
      </c>
      <c r="AG153" s="243" t="s">
        <v>422</v>
      </c>
      <c r="AH153" s="243" t="s">
        <v>422</v>
      </c>
      <c r="AI153" s="243" t="s">
        <v>423</v>
      </c>
      <c r="AJ153" s="243" t="s">
        <v>423</v>
      </c>
      <c r="AK153" s="244" t="s">
        <v>1240</v>
      </c>
      <c r="AL153" s="241"/>
      <c r="AM153" s="241"/>
    </row>
    <row r="154" spans="1:39" ht="15" customHeight="1" x14ac:dyDescent="0.3">
      <c r="A154" s="185">
        <v>179</v>
      </c>
      <c r="B154" s="247" t="s">
        <v>1169</v>
      </c>
      <c r="C154" s="247" t="s">
        <v>1617</v>
      </c>
      <c r="D154" s="199" t="s">
        <v>1848</v>
      </c>
      <c r="E154" s="247"/>
      <c r="F154" s="247"/>
      <c r="G154" s="247" t="s">
        <v>1953</v>
      </c>
      <c r="H154" s="247" t="s">
        <v>1956</v>
      </c>
      <c r="I154" s="359">
        <v>2</v>
      </c>
      <c r="J154" s="247">
        <v>45</v>
      </c>
      <c r="K154" s="359">
        <v>9</v>
      </c>
      <c r="L154" s="212">
        <v>1</v>
      </c>
      <c r="M154" s="212">
        <f t="shared" si="20"/>
        <v>57</v>
      </c>
      <c r="N154" s="212">
        <f t="shared" si="21"/>
        <v>16</v>
      </c>
      <c r="O154" s="212">
        <f t="shared" si="22"/>
        <v>180</v>
      </c>
      <c r="P154" s="212">
        <f t="shared" si="23"/>
        <v>60</v>
      </c>
      <c r="Q154" s="212">
        <f t="shared" si="24"/>
        <v>8</v>
      </c>
      <c r="R154" s="212">
        <f t="shared" si="25"/>
        <v>264</v>
      </c>
      <c r="S154" s="260" t="s">
        <v>1177</v>
      </c>
      <c r="T154" s="260" t="s">
        <v>1177</v>
      </c>
      <c r="U154" s="272">
        <v>72</v>
      </c>
      <c r="V154" s="272">
        <f>+U154</f>
        <v>72</v>
      </c>
      <c r="W154" s="245">
        <v>44073</v>
      </c>
      <c r="X154" s="245">
        <v>44148</v>
      </c>
      <c r="Y154" s="262">
        <v>44159</v>
      </c>
      <c r="Z154" s="311">
        <f t="shared" si="18"/>
        <v>2020</v>
      </c>
      <c r="AA154" s="311">
        <f t="shared" si="19"/>
        <v>11</v>
      </c>
      <c r="AB154" s="243" t="s">
        <v>920</v>
      </c>
      <c r="AC154" s="243" t="s">
        <v>422</v>
      </c>
      <c r="AD154" s="243" t="s">
        <v>422</v>
      </c>
      <c r="AE154" s="243" t="s">
        <v>422</v>
      </c>
      <c r="AF154" s="243" t="s">
        <v>422</v>
      </c>
      <c r="AG154" s="243" t="s">
        <v>422</v>
      </c>
      <c r="AH154" s="243" t="s">
        <v>423</v>
      </c>
      <c r="AI154" s="243" t="s">
        <v>423</v>
      </c>
      <c r="AJ154" s="243" t="s">
        <v>423</v>
      </c>
      <c r="AK154" s="244" t="s">
        <v>1240</v>
      </c>
      <c r="AL154" s="241"/>
      <c r="AM154" s="241"/>
    </row>
    <row r="155" spans="1:39" ht="15" customHeight="1" x14ac:dyDescent="0.3">
      <c r="A155" s="185">
        <v>180</v>
      </c>
      <c r="B155" s="247" t="s">
        <v>1170</v>
      </c>
      <c r="C155" s="247" t="s">
        <v>1617</v>
      </c>
      <c r="D155" s="199" t="s">
        <v>1848</v>
      </c>
      <c r="E155" s="247"/>
      <c r="F155" s="247"/>
      <c r="G155" s="247" t="s">
        <v>1953</v>
      </c>
      <c r="H155" s="247" t="s">
        <v>1956</v>
      </c>
      <c r="I155" s="359">
        <v>2</v>
      </c>
      <c r="J155" s="247">
        <v>4.5</v>
      </c>
      <c r="K155" s="359">
        <v>9</v>
      </c>
      <c r="L155" s="212">
        <v>1</v>
      </c>
      <c r="M155" s="212">
        <f t="shared" si="20"/>
        <v>16.5</v>
      </c>
      <c r="N155" s="212">
        <f t="shared" si="21"/>
        <v>16</v>
      </c>
      <c r="O155" s="212">
        <f t="shared" si="22"/>
        <v>18</v>
      </c>
      <c r="P155" s="212">
        <f t="shared" si="23"/>
        <v>60</v>
      </c>
      <c r="Q155" s="212">
        <f t="shared" si="24"/>
        <v>8</v>
      </c>
      <c r="R155" s="212">
        <f t="shared" si="25"/>
        <v>102</v>
      </c>
      <c r="S155" s="260" t="s">
        <v>1178</v>
      </c>
      <c r="T155" s="260" t="s">
        <v>1178</v>
      </c>
      <c r="U155" s="272">
        <v>48</v>
      </c>
      <c r="V155" s="272">
        <f>48+2</f>
        <v>50</v>
      </c>
      <c r="W155" s="245">
        <v>44073</v>
      </c>
      <c r="X155" s="245">
        <v>44148</v>
      </c>
      <c r="Y155" s="262">
        <v>44159</v>
      </c>
      <c r="Z155" s="311">
        <f t="shared" si="18"/>
        <v>2020</v>
      </c>
      <c r="AA155" s="311">
        <f t="shared" si="19"/>
        <v>11</v>
      </c>
      <c r="AB155" s="243" t="s">
        <v>920</v>
      </c>
      <c r="AC155" s="243" t="s">
        <v>422</v>
      </c>
      <c r="AD155" s="243" t="s">
        <v>422</v>
      </c>
      <c r="AE155" s="243" t="s">
        <v>422</v>
      </c>
      <c r="AF155" s="243" t="s">
        <v>422</v>
      </c>
      <c r="AG155" s="243" t="s">
        <v>422</v>
      </c>
      <c r="AH155" s="243" t="s">
        <v>423</v>
      </c>
      <c r="AI155" s="243" t="s">
        <v>423</v>
      </c>
      <c r="AJ155" s="243" t="s">
        <v>423</v>
      </c>
      <c r="AK155" s="244" t="s">
        <v>1240</v>
      </c>
      <c r="AL155" s="241"/>
      <c r="AM155" s="241"/>
    </row>
    <row r="156" spans="1:39" ht="15" customHeight="1" x14ac:dyDescent="0.3">
      <c r="A156" s="185">
        <v>181</v>
      </c>
      <c r="B156" s="247" t="s">
        <v>1171</v>
      </c>
      <c r="C156" s="247" t="s">
        <v>1617</v>
      </c>
      <c r="D156" s="199" t="s">
        <v>1848</v>
      </c>
      <c r="E156" s="247"/>
      <c r="F156" s="247"/>
      <c r="G156" s="247" t="s">
        <v>1953</v>
      </c>
      <c r="H156" s="247" t="s">
        <v>1956</v>
      </c>
      <c r="I156" s="359">
        <v>2</v>
      </c>
      <c r="J156" s="247">
        <v>5</v>
      </c>
      <c r="K156" s="359">
        <v>9</v>
      </c>
      <c r="L156" s="212">
        <v>1</v>
      </c>
      <c r="M156" s="212">
        <f t="shared" si="20"/>
        <v>17</v>
      </c>
      <c r="N156" s="212">
        <f t="shared" si="21"/>
        <v>16</v>
      </c>
      <c r="O156" s="212">
        <f t="shared" si="22"/>
        <v>20</v>
      </c>
      <c r="P156" s="212">
        <f t="shared" si="23"/>
        <v>60</v>
      </c>
      <c r="Q156" s="212">
        <f t="shared" si="24"/>
        <v>8</v>
      </c>
      <c r="R156" s="212">
        <f t="shared" si="25"/>
        <v>104</v>
      </c>
      <c r="S156" s="263" t="s">
        <v>1179</v>
      </c>
      <c r="T156" s="263" t="s">
        <v>1179</v>
      </c>
      <c r="U156" s="272">
        <v>60</v>
      </c>
      <c r="V156" s="272">
        <f>+U156</f>
        <v>60</v>
      </c>
      <c r="W156" s="245">
        <v>44073</v>
      </c>
      <c r="X156" s="245">
        <v>44148</v>
      </c>
      <c r="Y156" s="262">
        <v>44159</v>
      </c>
      <c r="Z156" s="311">
        <f t="shared" si="18"/>
        <v>2020</v>
      </c>
      <c r="AA156" s="311">
        <f t="shared" si="19"/>
        <v>11</v>
      </c>
      <c r="AB156" s="243" t="s">
        <v>920</v>
      </c>
      <c r="AC156" s="243" t="s">
        <v>422</v>
      </c>
      <c r="AD156" s="243" t="s">
        <v>422</v>
      </c>
      <c r="AE156" s="243" t="s">
        <v>422</v>
      </c>
      <c r="AF156" s="243" t="s">
        <v>422</v>
      </c>
      <c r="AG156" s="243" t="s">
        <v>422</v>
      </c>
      <c r="AH156" s="243" t="s">
        <v>423</v>
      </c>
      <c r="AI156" s="243" t="s">
        <v>423</v>
      </c>
      <c r="AJ156" s="243" t="s">
        <v>423</v>
      </c>
      <c r="AK156" s="244" t="s">
        <v>1240</v>
      </c>
      <c r="AL156" s="241"/>
      <c r="AM156" s="241"/>
    </row>
    <row r="157" spans="1:39" ht="15" customHeight="1" x14ac:dyDescent="0.3">
      <c r="A157" s="185">
        <v>182</v>
      </c>
      <c r="B157" s="247" t="s">
        <v>1172</v>
      </c>
      <c r="C157" s="247" t="s">
        <v>1617</v>
      </c>
      <c r="D157" s="199" t="s">
        <v>1848</v>
      </c>
      <c r="E157" s="247"/>
      <c r="F157" s="247"/>
      <c r="G157" s="247" t="s">
        <v>1953</v>
      </c>
      <c r="H157" s="247" t="s">
        <v>1956</v>
      </c>
      <c r="I157" s="359">
        <v>2</v>
      </c>
      <c r="J157" s="247">
        <v>5</v>
      </c>
      <c r="K157" s="359">
        <v>9</v>
      </c>
      <c r="L157" s="212">
        <v>1</v>
      </c>
      <c r="M157" s="212">
        <f t="shared" si="20"/>
        <v>17</v>
      </c>
      <c r="N157" s="212">
        <f t="shared" si="21"/>
        <v>16</v>
      </c>
      <c r="O157" s="212">
        <f t="shared" si="22"/>
        <v>20</v>
      </c>
      <c r="P157" s="212">
        <f t="shared" si="23"/>
        <v>60</v>
      </c>
      <c r="Q157" s="212">
        <f t="shared" si="24"/>
        <v>8</v>
      </c>
      <c r="R157" s="212">
        <f t="shared" si="25"/>
        <v>104</v>
      </c>
      <c r="S157" s="263" t="s">
        <v>1180</v>
      </c>
      <c r="T157" s="263" t="s">
        <v>1180</v>
      </c>
      <c r="U157" s="272">
        <v>40</v>
      </c>
      <c r="V157" s="272">
        <f>+U157</f>
        <v>40</v>
      </c>
      <c r="W157" s="245">
        <v>44073</v>
      </c>
      <c r="X157" s="245">
        <v>44148</v>
      </c>
      <c r="Y157" s="262">
        <v>44159</v>
      </c>
      <c r="Z157" s="311">
        <f t="shared" si="18"/>
        <v>2020</v>
      </c>
      <c r="AA157" s="311">
        <f t="shared" si="19"/>
        <v>11</v>
      </c>
      <c r="AB157" s="243" t="s">
        <v>920</v>
      </c>
      <c r="AC157" s="243" t="s">
        <v>422</v>
      </c>
      <c r="AD157" s="243" t="s">
        <v>422</v>
      </c>
      <c r="AE157" s="243" t="s">
        <v>422</v>
      </c>
      <c r="AF157" s="243" t="s">
        <v>422</v>
      </c>
      <c r="AG157" s="243" t="s">
        <v>422</v>
      </c>
      <c r="AH157" s="243" t="s">
        <v>423</v>
      </c>
      <c r="AI157" s="243" t="s">
        <v>423</v>
      </c>
      <c r="AJ157" s="243" t="s">
        <v>423</v>
      </c>
      <c r="AK157" s="244" t="s">
        <v>1240</v>
      </c>
      <c r="AL157" s="241"/>
      <c r="AM157" s="241"/>
    </row>
    <row r="158" spans="1:39" ht="15" customHeight="1" x14ac:dyDescent="0.3">
      <c r="A158" s="185">
        <v>183</v>
      </c>
      <c r="B158" s="247" t="s">
        <v>1173</v>
      </c>
      <c r="C158" s="247" t="s">
        <v>1617</v>
      </c>
      <c r="D158" s="199" t="s">
        <v>1848</v>
      </c>
      <c r="E158" s="247"/>
      <c r="F158" s="247"/>
      <c r="G158" s="247" t="s">
        <v>1953</v>
      </c>
      <c r="H158" s="247" t="s">
        <v>1956</v>
      </c>
      <c r="I158" s="359">
        <v>2</v>
      </c>
      <c r="J158" s="247">
        <v>3.5</v>
      </c>
      <c r="K158" s="359">
        <v>5</v>
      </c>
      <c r="L158" s="212">
        <v>1</v>
      </c>
      <c r="M158" s="212">
        <f t="shared" si="20"/>
        <v>11.5</v>
      </c>
      <c r="N158" s="212">
        <f t="shared" si="21"/>
        <v>16</v>
      </c>
      <c r="O158" s="212">
        <f t="shared" si="22"/>
        <v>14</v>
      </c>
      <c r="P158" s="212">
        <f t="shared" si="23"/>
        <v>33.333333333333336</v>
      </c>
      <c r="Q158" s="212">
        <f t="shared" si="24"/>
        <v>8</v>
      </c>
      <c r="R158" s="212">
        <f t="shared" si="25"/>
        <v>71.333333333333343</v>
      </c>
      <c r="S158" s="260" t="s">
        <v>1181</v>
      </c>
      <c r="T158" s="263" t="s">
        <v>1182</v>
      </c>
      <c r="U158" s="272">
        <v>30</v>
      </c>
      <c r="V158" s="272">
        <f>+U158</f>
        <v>30</v>
      </c>
      <c r="W158" s="245">
        <v>44073</v>
      </c>
      <c r="X158" s="245">
        <v>44148</v>
      </c>
      <c r="Y158" s="262">
        <v>44159</v>
      </c>
      <c r="Z158" s="311">
        <f t="shared" si="18"/>
        <v>2020</v>
      </c>
      <c r="AA158" s="311">
        <f t="shared" si="19"/>
        <v>11</v>
      </c>
      <c r="AB158" s="243" t="s">
        <v>920</v>
      </c>
      <c r="AC158" s="243" t="s">
        <v>422</v>
      </c>
      <c r="AD158" s="243" t="s">
        <v>423</v>
      </c>
      <c r="AE158" s="243" t="s">
        <v>422</v>
      </c>
      <c r="AF158" s="243" t="s">
        <v>422</v>
      </c>
      <c r="AG158" s="243" t="s">
        <v>422</v>
      </c>
      <c r="AH158" s="243" t="s">
        <v>423</v>
      </c>
      <c r="AI158" s="243" t="s">
        <v>423</v>
      </c>
      <c r="AJ158" s="243" t="s">
        <v>423</v>
      </c>
      <c r="AK158" s="244" t="s">
        <v>1240</v>
      </c>
      <c r="AL158" s="241"/>
      <c r="AM158" s="241"/>
    </row>
    <row r="159" spans="1:39" ht="15" customHeight="1" x14ac:dyDescent="0.3">
      <c r="A159" s="185">
        <v>184</v>
      </c>
      <c r="B159" s="247" t="s">
        <v>1174</v>
      </c>
      <c r="C159" s="247" t="s">
        <v>1617</v>
      </c>
      <c r="D159" s="199" t="s">
        <v>1848</v>
      </c>
      <c r="E159" s="247"/>
      <c r="F159" s="247"/>
      <c r="G159" s="247" t="s">
        <v>1953</v>
      </c>
      <c r="H159" s="247" t="s">
        <v>1956</v>
      </c>
      <c r="I159" s="359">
        <v>2</v>
      </c>
      <c r="J159" s="247">
        <v>3.7</v>
      </c>
      <c r="K159" s="359">
        <v>5</v>
      </c>
      <c r="L159" s="212">
        <v>1</v>
      </c>
      <c r="M159" s="212">
        <f t="shared" si="20"/>
        <v>11.7</v>
      </c>
      <c r="N159" s="212">
        <f t="shared" si="21"/>
        <v>16</v>
      </c>
      <c r="O159" s="212">
        <f t="shared" si="22"/>
        <v>14.8</v>
      </c>
      <c r="P159" s="212">
        <f t="shared" si="23"/>
        <v>33.333333333333336</v>
      </c>
      <c r="Q159" s="212">
        <f t="shared" si="24"/>
        <v>8</v>
      </c>
      <c r="R159" s="212">
        <f t="shared" si="25"/>
        <v>72.13333333333334</v>
      </c>
      <c r="S159" s="260" t="s">
        <v>1183</v>
      </c>
      <c r="T159" s="263" t="s">
        <v>1184</v>
      </c>
      <c r="U159" s="272">
        <v>30</v>
      </c>
      <c r="V159" s="272">
        <v>30</v>
      </c>
      <c r="W159" s="245">
        <v>44073</v>
      </c>
      <c r="X159" s="245">
        <v>44148</v>
      </c>
      <c r="Y159" s="262">
        <v>44159</v>
      </c>
      <c r="Z159" s="311">
        <f t="shared" si="18"/>
        <v>2020</v>
      </c>
      <c r="AA159" s="311">
        <f t="shared" si="19"/>
        <v>11</v>
      </c>
      <c r="AB159" s="243" t="s">
        <v>920</v>
      </c>
      <c r="AC159" s="243" t="s">
        <v>422</v>
      </c>
      <c r="AD159" s="243" t="s">
        <v>423</v>
      </c>
      <c r="AE159" s="243" t="s">
        <v>422</v>
      </c>
      <c r="AF159" s="243" t="s">
        <v>422</v>
      </c>
      <c r="AG159" s="243" t="s">
        <v>422</v>
      </c>
      <c r="AH159" s="243" t="s">
        <v>423</v>
      </c>
      <c r="AI159" s="243" t="s">
        <v>423</v>
      </c>
      <c r="AJ159" s="243" t="s">
        <v>423</v>
      </c>
      <c r="AK159" s="244" t="s">
        <v>1240</v>
      </c>
      <c r="AL159" s="241"/>
      <c r="AM159" s="241"/>
    </row>
    <row r="160" spans="1:39" ht="15" customHeight="1" x14ac:dyDescent="0.3">
      <c r="A160" s="185">
        <v>185</v>
      </c>
      <c r="B160" s="247" t="s">
        <v>1175</v>
      </c>
      <c r="C160" s="247" t="s">
        <v>1617</v>
      </c>
      <c r="D160" s="199" t="s">
        <v>1848</v>
      </c>
      <c r="E160" s="247"/>
      <c r="F160" s="247"/>
      <c r="G160" s="247" t="s">
        <v>1953</v>
      </c>
      <c r="H160" s="247" t="s">
        <v>1957</v>
      </c>
      <c r="I160" s="359">
        <v>2</v>
      </c>
      <c r="J160" s="247">
        <v>8</v>
      </c>
      <c r="K160" s="247">
        <v>10</v>
      </c>
      <c r="L160" s="212">
        <v>1</v>
      </c>
      <c r="M160" s="212">
        <f t="shared" si="20"/>
        <v>21</v>
      </c>
      <c r="N160" s="212">
        <f t="shared" si="21"/>
        <v>16</v>
      </c>
      <c r="O160" s="212">
        <f t="shared" si="22"/>
        <v>32</v>
      </c>
      <c r="P160" s="212">
        <f t="shared" si="23"/>
        <v>66.666666666666671</v>
      </c>
      <c r="Q160" s="212">
        <f t="shared" si="24"/>
        <v>8</v>
      </c>
      <c r="R160" s="212">
        <f t="shared" si="25"/>
        <v>122.66666666666667</v>
      </c>
      <c r="S160" s="260" t="s">
        <v>1185</v>
      </c>
      <c r="T160" s="263" t="s">
        <v>1185</v>
      </c>
      <c r="U160" s="272">
        <v>65</v>
      </c>
      <c r="V160" s="272">
        <f>+U160</f>
        <v>65</v>
      </c>
      <c r="W160" s="245">
        <v>44073</v>
      </c>
      <c r="X160" s="245">
        <v>44148</v>
      </c>
      <c r="Y160" s="262">
        <v>44159</v>
      </c>
      <c r="Z160" s="311">
        <f t="shared" si="18"/>
        <v>2020</v>
      </c>
      <c r="AA160" s="311">
        <f t="shared" si="19"/>
        <v>11</v>
      </c>
      <c r="AB160" s="243" t="s">
        <v>920</v>
      </c>
      <c r="AC160" s="243" t="s">
        <v>422</v>
      </c>
      <c r="AD160" s="243" t="s">
        <v>422</v>
      </c>
      <c r="AE160" s="243" t="s">
        <v>422</v>
      </c>
      <c r="AF160" s="243" t="s">
        <v>422</v>
      </c>
      <c r="AG160" s="243" t="s">
        <v>422</v>
      </c>
      <c r="AH160" s="243" t="s">
        <v>423</v>
      </c>
      <c r="AI160" s="243" t="s">
        <v>423</v>
      </c>
      <c r="AJ160" s="243" t="s">
        <v>423</v>
      </c>
      <c r="AK160" s="244" t="s">
        <v>491</v>
      </c>
      <c r="AL160" s="241"/>
      <c r="AM160" s="241"/>
    </row>
    <row r="161" spans="1:39" ht="15" customHeight="1" x14ac:dyDescent="0.3">
      <c r="A161" s="185">
        <v>218</v>
      </c>
      <c r="B161" s="267" t="s">
        <v>1261</v>
      </c>
      <c r="C161" s="247" t="s">
        <v>1615</v>
      </c>
      <c r="D161" s="199" t="s">
        <v>1881</v>
      </c>
      <c r="E161" s="267"/>
      <c r="F161" s="267"/>
      <c r="G161" s="259" t="s">
        <v>1604</v>
      </c>
      <c r="H161" s="267"/>
      <c r="I161" s="359">
        <v>2</v>
      </c>
      <c r="J161" s="267"/>
      <c r="K161" s="267">
        <v>0</v>
      </c>
      <c r="L161" s="212">
        <v>2</v>
      </c>
      <c r="M161" s="212">
        <f t="shared" si="20"/>
        <v>4</v>
      </c>
      <c r="N161" s="212">
        <f t="shared" si="21"/>
        <v>16</v>
      </c>
      <c r="O161" s="212">
        <f t="shared" si="22"/>
        <v>0</v>
      </c>
      <c r="P161" s="212">
        <f t="shared" si="23"/>
        <v>0</v>
      </c>
      <c r="Q161" s="212">
        <f t="shared" si="24"/>
        <v>16</v>
      </c>
      <c r="R161" s="212">
        <f t="shared" si="25"/>
        <v>32</v>
      </c>
      <c r="S161" s="268" t="s">
        <v>1281</v>
      </c>
      <c r="T161" s="268" t="s">
        <v>1282</v>
      </c>
      <c r="U161" s="272">
        <v>65</v>
      </c>
      <c r="V161" s="272">
        <v>65</v>
      </c>
      <c r="W161" s="246">
        <v>44113</v>
      </c>
      <c r="X161" s="246">
        <v>44208</v>
      </c>
      <c r="Y161" s="245">
        <v>44161</v>
      </c>
      <c r="Z161" s="311">
        <f t="shared" si="18"/>
        <v>2020</v>
      </c>
      <c r="AA161" s="311">
        <f t="shared" si="19"/>
        <v>11</v>
      </c>
      <c r="AB161" s="243" t="s">
        <v>920</v>
      </c>
      <c r="AC161" s="243" t="s">
        <v>422</v>
      </c>
      <c r="AD161" s="243" t="s">
        <v>422</v>
      </c>
      <c r="AE161" s="243" t="s">
        <v>422</v>
      </c>
      <c r="AF161" s="243" t="s">
        <v>422</v>
      </c>
      <c r="AG161" s="243" t="s">
        <v>422</v>
      </c>
      <c r="AH161" s="243" t="s">
        <v>423</v>
      </c>
      <c r="AI161" s="243" t="s">
        <v>422</v>
      </c>
      <c r="AJ161" s="243" t="s">
        <v>423</v>
      </c>
      <c r="AK161" s="244" t="s">
        <v>1428</v>
      </c>
      <c r="AL161" s="241"/>
      <c r="AM161" s="241"/>
    </row>
    <row r="162" spans="1:39" ht="15" customHeight="1" x14ac:dyDescent="0.3">
      <c r="A162" s="185">
        <v>219</v>
      </c>
      <c r="B162" s="267" t="s">
        <v>1271</v>
      </c>
      <c r="C162" s="247" t="s">
        <v>1615</v>
      </c>
      <c r="D162" s="199" t="s">
        <v>1881</v>
      </c>
      <c r="E162" s="267"/>
      <c r="F162" s="267" t="s">
        <v>1600</v>
      </c>
      <c r="G162" s="259" t="s">
        <v>1604</v>
      </c>
      <c r="H162" s="267" t="s">
        <v>1428</v>
      </c>
      <c r="I162" s="267">
        <v>1</v>
      </c>
      <c r="J162" s="267">
        <v>11</v>
      </c>
      <c r="K162" s="267">
        <v>0</v>
      </c>
      <c r="L162" s="212">
        <v>1.5</v>
      </c>
      <c r="M162" s="212">
        <f t="shared" si="20"/>
        <v>13.5</v>
      </c>
      <c r="N162" s="212">
        <f t="shared" si="21"/>
        <v>8</v>
      </c>
      <c r="O162" s="212">
        <f t="shared" si="22"/>
        <v>44</v>
      </c>
      <c r="P162" s="212">
        <f t="shared" si="23"/>
        <v>0</v>
      </c>
      <c r="Q162" s="212">
        <f t="shared" si="24"/>
        <v>12</v>
      </c>
      <c r="R162" s="212">
        <f t="shared" si="25"/>
        <v>64</v>
      </c>
      <c r="S162" s="268" t="s">
        <v>1283</v>
      </c>
      <c r="T162" s="268" t="s">
        <v>1284</v>
      </c>
      <c r="U162" s="272">
        <v>36</v>
      </c>
      <c r="V162" s="272">
        <v>36</v>
      </c>
      <c r="W162" s="246">
        <v>44113</v>
      </c>
      <c r="X162" s="246">
        <v>44208</v>
      </c>
      <c r="Y162" s="245">
        <v>44161</v>
      </c>
      <c r="Z162" s="311">
        <f t="shared" si="18"/>
        <v>2020</v>
      </c>
      <c r="AA162" s="311">
        <f t="shared" si="19"/>
        <v>11</v>
      </c>
      <c r="AB162" s="243" t="s">
        <v>920</v>
      </c>
      <c r="AC162" s="243" t="s">
        <v>422</v>
      </c>
      <c r="AD162" s="243" t="s">
        <v>422</v>
      </c>
      <c r="AE162" s="243" t="s">
        <v>422</v>
      </c>
      <c r="AF162" s="243" t="s">
        <v>422</v>
      </c>
      <c r="AG162" s="243" t="s">
        <v>422</v>
      </c>
      <c r="AH162" s="243" t="s">
        <v>423</v>
      </c>
      <c r="AI162" s="243" t="s">
        <v>422</v>
      </c>
      <c r="AJ162" s="243" t="s">
        <v>423</v>
      </c>
      <c r="AK162" s="244" t="s">
        <v>1428</v>
      </c>
      <c r="AL162" s="241"/>
      <c r="AM162" s="241"/>
    </row>
    <row r="163" spans="1:39" ht="15" customHeight="1" x14ac:dyDescent="0.3">
      <c r="A163" s="185">
        <v>230</v>
      </c>
      <c r="B163" s="267" t="s">
        <v>1306</v>
      </c>
      <c r="C163" s="247" t="s">
        <v>1847</v>
      </c>
      <c r="D163" s="200" t="s">
        <v>1848</v>
      </c>
      <c r="E163" s="267"/>
      <c r="F163" s="267"/>
      <c r="G163" s="267" t="s">
        <v>1953</v>
      </c>
      <c r="H163" s="267" t="s">
        <v>1956</v>
      </c>
      <c r="I163" s="359">
        <v>1</v>
      </c>
      <c r="J163" s="267">
        <v>5.5</v>
      </c>
      <c r="K163" s="360">
        <v>6.1</v>
      </c>
      <c r="L163" s="212">
        <v>0.8</v>
      </c>
      <c r="M163" s="212">
        <f t="shared" si="20"/>
        <v>13.4</v>
      </c>
      <c r="N163" s="212">
        <f t="shared" si="21"/>
        <v>8</v>
      </c>
      <c r="O163" s="212">
        <f t="shared" si="22"/>
        <v>22</v>
      </c>
      <c r="P163" s="212">
        <f t="shared" si="23"/>
        <v>40.666666666666664</v>
      </c>
      <c r="Q163" s="212">
        <f t="shared" si="24"/>
        <v>6.4</v>
      </c>
      <c r="R163" s="212">
        <f t="shared" si="25"/>
        <v>77.066666666666663</v>
      </c>
      <c r="S163" s="268" t="s">
        <v>1312</v>
      </c>
      <c r="T163" s="268" t="s">
        <v>1312</v>
      </c>
      <c r="U163" s="342">
        <v>20</v>
      </c>
      <c r="V163" s="272">
        <v>20</v>
      </c>
      <c r="W163" s="246">
        <v>44113</v>
      </c>
      <c r="X163" s="246">
        <v>44141</v>
      </c>
      <c r="Y163" s="245">
        <v>44154</v>
      </c>
      <c r="Z163" s="311">
        <f t="shared" si="18"/>
        <v>2020</v>
      </c>
      <c r="AA163" s="311">
        <f t="shared" si="19"/>
        <v>11</v>
      </c>
      <c r="AB163" s="243" t="s">
        <v>920</v>
      </c>
      <c r="AC163" s="243" t="s">
        <v>422</v>
      </c>
      <c r="AD163" s="243" t="s">
        <v>423</v>
      </c>
      <c r="AE163" s="243" t="s">
        <v>422</v>
      </c>
      <c r="AF163" s="243" t="s">
        <v>422</v>
      </c>
      <c r="AG163" s="243" t="s">
        <v>422</v>
      </c>
      <c r="AH163" s="243" t="s">
        <v>422</v>
      </c>
      <c r="AI163" s="243" t="s">
        <v>423</v>
      </c>
      <c r="AJ163" s="243" t="s">
        <v>423</v>
      </c>
      <c r="AK163" s="244" t="s">
        <v>1240</v>
      </c>
      <c r="AL163" s="241"/>
      <c r="AM163" s="242" t="s">
        <v>1431</v>
      </c>
    </row>
    <row r="164" spans="1:39" ht="15" customHeight="1" x14ac:dyDescent="0.3">
      <c r="A164" s="185">
        <v>231</v>
      </c>
      <c r="B164" s="267" t="s">
        <v>1307</v>
      </c>
      <c r="C164" s="247" t="s">
        <v>1847</v>
      </c>
      <c r="D164" s="200" t="s">
        <v>1848</v>
      </c>
      <c r="E164" s="267"/>
      <c r="F164" s="267"/>
      <c r="G164" s="267" t="s">
        <v>1953</v>
      </c>
      <c r="H164" s="267" t="s">
        <v>1956</v>
      </c>
      <c r="I164" s="359">
        <v>1</v>
      </c>
      <c r="J164" s="267">
        <v>6</v>
      </c>
      <c r="K164" s="267">
        <v>6.1</v>
      </c>
      <c r="L164" s="212">
        <v>0.8</v>
      </c>
      <c r="M164" s="212">
        <f t="shared" si="20"/>
        <v>13.9</v>
      </c>
      <c r="N164" s="212">
        <f t="shared" si="21"/>
        <v>8</v>
      </c>
      <c r="O164" s="212">
        <f t="shared" si="22"/>
        <v>24</v>
      </c>
      <c r="P164" s="212">
        <f t="shared" si="23"/>
        <v>40.666666666666664</v>
      </c>
      <c r="Q164" s="212">
        <f t="shared" si="24"/>
        <v>6.4</v>
      </c>
      <c r="R164" s="212">
        <f t="shared" si="25"/>
        <v>79.066666666666663</v>
      </c>
      <c r="S164" s="268" t="s">
        <v>1313</v>
      </c>
      <c r="T164" s="268" t="s">
        <v>1313</v>
      </c>
      <c r="U164" s="342">
        <v>20</v>
      </c>
      <c r="V164" s="272">
        <v>20</v>
      </c>
      <c r="W164" s="246">
        <v>44113</v>
      </c>
      <c r="X164" s="246">
        <v>44141</v>
      </c>
      <c r="Y164" s="245">
        <v>44154</v>
      </c>
      <c r="Z164" s="311">
        <f t="shared" si="18"/>
        <v>2020</v>
      </c>
      <c r="AA164" s="311">
        <f t="shared" si="19"/>
        <v>11</v>
      </c>
      <c r="AB164" s="243" t="s">
        <v>920</v>
      </c>
      <c r="AC164" s="243" t="s">
        <v>422</v>
      </c>
      <c r="AD164" s="243" t="s">
        <v>423</v>
      </c>
      <c r="AE164" s="243" t="s">
        <v>422</v>
      </c>
      <c r="AF164" s="243" t="s">
        <v>422</v>
      </c>
      <c r="AG164" s="243" t="s">
        <v>422</v>
      </c>
      <c r="AH164" s="243" t="s">
        <v>422</v>
      </c>
      <c r="AI164" s="243" t="s">
        <v>423</v>
      </c>
      <c r="AJ164" s="243" t="s">
        <v>423</v>
      </c>
      <c r="AK164" s="244" t="s">
        <v>1240</v>
      </c>
      <c r="AL164" s="241"/>
      <c r="AM164" s="242" t="s">
        <v>1431</v>
      </c>
    </row>
    <row r="165" spans="1:39" ht="15" customHeight="1" x14ac:dyDescent="0.3">
      <c r="A165" s="185">
        <v>232</v>
      </c>
      <c r="B165" s="267" t="s">
        <v>1308</v>
      </c>
      <c r="C165" s="247" t="s">
        <v>1847</v>
      </c>
      <c r="D165" s="200" t="s">
        <v>1848</v>
      </c>
      <c r="E165" s="267"/>
      <c r="F165" s="267"/>
      <c r="G165" s="267" t="s">
        <v>1953</v>
      </c>
      <c r="H165" s="267" t="s">
        <v>1956</v>
      </c>
      <c r="I165" s="359">
        <v>1</v>
      </c>
      <c r="J165" s="267">
        <v>5</v>
      </c>
      <c r="K165" s="267">
        <v>6.9</v>
      </c>
      <c r="L165" s="212">
        <v>0.8</v>
      </c>
      <c r="M165" s="212">
        <f t="shared" si="20"/>
        <v>13.700000000000001</v>
      </c>
      <c r="N165" s="212">
        <f t="shared" si="21"/>
        <v>8</v>
      </c>
      <c r="O165" s="212">
        <f t="shared" si="22"/>
        <v>20</v>
      </c>
      <c r="P165" s="212">
        <f t="shared" si="23"/>
        <v>46.000000000000007</v>
      </c>
      <c r="Q165" s="212">
        <f t="shared" si="24"/>
        <v>6.4</v>
      </c>
      <c r="R165" s="212">
        <f t="shared" si="25"/>
        <v>80.400000000000006</v>
      </c>
      <c r="S165" s="268" t="s">
        <v>1314</v>
      </c>
      <c r="T165" s="268" t="s">
        <v>1314</v>
      </c>
      <c r="U165" s="342">
        <v>20</v>
      </c>
      <c r="V165" s="272">
        <v>20</v>
      </c>
      <c r="W165" s="246">
        <v>44113</v>
      </c>
      <c r="X165" s="246">
        <v>44141</v>
      </c>
      <c r="Y165" s="245">
        <v>44154</v>
      </c>
      <c r="Z165" s="311">
        <f t="shared" si="18"/>
        <v>2020</v>
      </c>
      <c r="AA165" s="311">
        <f t="shared" si="19"/>
        <v>11</v>
      </c>
      <c r="AB165" s="243" t="s">
        <v>920</v>
      </c>
      <c r="AC165" s="243" t="s">
        <v>422</v>
      </c>
      <c r="AD165" s="243" t="s">
        <v>423</v>
      </c>
      <c r="AE165" s="243" t="s">
        <v>422</v>
      </c>
      <c r="AF165" s="243" t="s">
        <v>422</v>
      </c>
      <c r="AG165" s="243" t="s">
        <v>422</v>
      </c>
      <c r="AH165" s="243" t="s">
        <v>422</v>
      </c>
      <c r="AI165" s="243" t="s">
        <v>423</v>
      </c>
      <c r="AJ165" s="243" t="s">
        <v>423</v>
      </c>
      <c r="AK165" s="244" t="s">
        <v>1240</v>
      </c>
      <c r="AL165" s="241"/>
      <c r="AM165" s="242" t="s">
        <v>1431</v>
      </c>
    </row>
    <row r="166" spans="1:39" ht="15" customHeight="1" x14ac:dyDescent="0.3">
      <c r="A166" s="185">
        <v>233</v>
      </c>
      <c r="B166" s="267" t="s">
        <v>1309</v>
      </c>
      <c r="C166" s="247" t="s">
        <v>1847</v>
      </c>
      <c r="D166" s="199" t="s">
        <v>1848</v>
      </c>
      <c r="E166" s="267"/>
      <c r="F166" s="267"/>
      <c r="G166" s="267" t="s">
        <v>1953</v>
      </c>
      <c r="H166" s="267" t="s">
        <v>1040</v>
      </c>
      <c r="I166" s="359">
        <v>1</v>
      </c>
      <c r="J166" s="267">
        <v>4.5</v>
      </c>
      <c r="K166" s="267">
        <v>8</v>
      </c>
      <c r="L166" s="212">
        <v>0.8</v>
      </c>
      <c r="M166" s="212">
        <f t="shared" si="20"/>
        <v>14.3</v>
      </c>
      <c r="N166" s="212">
        <f t="shared" si="21"/>
        <v>8</v>
      </c>
      <c r="O166" s="212">
        <f t="shared" si="22"/>
        <v>18</v>
      </c>
      <c r="P166" s="212">
        <f t="shared" si="23"/>
        <v>53.333333333333336</v>
      </c>
      <c r="Q166" s="212">
        <f t="shared" si="24"/>
        <v>6.4</v>
      </c>
      <c r="R166" s="212">
        <f t="shared" si="25"/>
        <v>85.733333333333348</v>
      </c>
      <c r="S166" s="268" t="s">
        <v>1315</v>
      </c>
      <c r="T166" s="268" t="s">
        <v>1315</v>
      </c>
      <c r="U166" s="342">
        <v>21</v>
      </c>
      <c r="V166" s="272">
        <v>21</v>
      </c>
      <c r="W166" s="246">
        <v>44113</v>
      </c>
      <c r="X166" s="246">
        <v>44141</v>
      </c>
      <c r="Y166" s="245">
        <v>44154</v>
      </c>
      <c r="Z166" s="311">
        <f t="shared" si="18"/>
        <v>2020</v>
      </c>
      <c r="AA166" s="311">
        <f t="shared" si="19"/>
        <v>11</v>
      </c>
      <c r="AB166" s="243" t="s">
        <v>920</v>
      </c>
      <c r="AC166" s="243" t="s">
        <v>422</v>
      </c>
      <c r="AD166" s="243" t="s">
        <v>423</v>
      </c>
      <c r="AE166" s="243" t="s">
        <v>422</v>
      </c>
      <c r="AF166" s="243" t="s">
        <v>422</v>
      </c>
      <c r="AG166" s="243" t="s">
        <v>422</v>
      </c>
      <c r="AH166" s="243" t="s">
        <v>422</v>
      </c>
      <c r="AI166" s="243" t="s">
        <v>423</v>
      </c>
      <c r="AJ166" s="243" t="s">
        <v>423</v>
      </c>
      <c r="AK166" s="244" t="s">
        <v>254</v>
      </c>
      <c r="AL166" s="241"/>
      <c r="AM166" s="242" t="s">
        <v>1431</v>
      </c>
    </row>
    <row r="167" spans="1:39" ht="15" customHeight="1" x14ac:dyDescent="0.3">
      <c r="A167" s="185">
        <v>234</v>
      </c>
      <c r="B167" s="267" t="s">
        <v>1310</v>
      </c>
      <c r="C167" s="247" t="s">
        <v>1847</v>
      </c>
      <c r="D167" s="199" t="s">
        <v>1848</v>
      </c>
      <c r="E167" s="267"/>
      <c r="F167" s="267"/>
      <c r="G167" s="267" t="s">
        <v>1953</v>
      </c>
      <c r="H167" s="267" t="s">
        <v>1040</v>
      </c>
      <c r="I167" s="359">
        <v>1</v>
      </c>
      <c r="J167" s="267">
        <v>4.5</v>
      </c>
      <c r="K167" s="360">
        <v>85</v>
      </c>
      <c r="L167" s="212">
        <v>0.8</v>
      </c>
      <c r="M167" s="212">
        <f t="shared" si="20"/>
        <v>91.3</v>
      </c>
      <c r="N167" s="212">
        <f t="shared" si="21"/>
        <v>8</v>
      </c>
      <c r="O167" s="212">
        <f t="shared" si="22"/>
        <v>18</v>
      </c>
      <c r="P167" s="212">
        <f t="shared" si="23"/>
        <v>566.66666666666674</v>
      </c>
      <c r="Q167" s="212">
        <f t="shared" si="24"/>
        <v>6.4</v>
      </c>
      <c r="R167" s="212">
        <f t="shared" si="25"/>
        <v>599.06666666666672</v>
      </c>
      <c r="S167" s="268" t="s">
        <v>1316</v>
      </c>
      <c r="T167" s="268" t="s">
        <v>1316</v>
      </c>
      <c r="U167" s="342">
        <v>21</v>
      </c>
      <c r="V167" s="272">
        <v>21</v>
      </c>
      <c r="W167" s="246">
        <v>44113</v>
      </c>
      <c r="X167" s="246">
        <v>44141</v>
      </c>
      <c r="Y167" s="245">
        <v>44154</v>
      </c>
      <c r="Z167" s="311">
        <f t="shared" si="18"/>
        <v>2020</v>
      </c>
      <c r="AA167" s="311">
        <f t="shared" si="19"/>
        <v>11</v>
      </c>
      <c r="AB167" s="243" t="s">
        <v>920</v>
      </c>
      <c r="AC167" s="243" t="s">
        <v>422</v>
      </c>
      <c r="AD167" s="243" t="s">
        <v>423</v>
      </c>
      <c r="AE167" s="243" t="s">
        <v>422</v>
      </c>
      <c r="AF167" s="243" t="s">
        <v>422</v>
      </c>
      <c r="AG167" s="243" t="s">
        <v>422</v>
      </c>
      <c r="AH167" s="243" t="s">
        <v>422</v>
      </c>
      <c r="AI167" s="243" t="s">
        <v>423</v>
      </c>
      <c r="AJ167" s="243" t="s">
        <v>423</v>
      </c>
      <c r="AK167" s="244" t="s">
        <v>254</v>
      </c>
      <c r="AL167" s="241"/>
      <c r="AM167" s="242" t="s">
        <v>1431</v>
      </c>
    </row>
    <row r="168" spans="1:39" ht="15" customHeight="1" x14ac:dyDescent="0.3">
      <c r="A168" s="185">
        <v>235</v>
      </c>
      <c r="B168" s="267" t="s">
        <v>1311</v>
      </c>
      <c r="C168" s="247" t="s">
        <v>1847</v>
      </c>
      <c r="D168" s="199" t="s">
        <v>1848</v>
      </c>
      <c r="E168" s="267"/>
      <c r="F168" s="267"/>
      <c r="G168" s="267" t="s">
        <v>1953</v>
      </c>
      <c r="H168" s="267" t="s">
        <v>1040</v>
      </c>
      <c r="I168" s="359">
        <v>1</v>
      </c>
      <c r="J168" s="267">
        <v>3.5</v>
      </c>
      <c r="K168" s="267">
        <v>8.8000000000000007</v>
      </c>
      <c r="L168" s="212">
        <v>0.8</v>
      </c>
      <c r="M168" s="212">
        <f t="shared" si="20"/>
        <v>14.100000000000001</v>
      </c>
      <c r="N168" s="212">
        <f t="shared" si="21"/>
        <v>8</v>
      </c>
      <c r="O168" s="212">
        <f t="shared" si="22"/>
        <v>14</v>
      </c>
      <c r="P168" s="212">
        <f t="shared" si="23"/>
        <v>58.666666666666671</v>
      </c>
      <c r="Q168" s="212">
        <f t="shared" si="24"/>
        <v>6.4</v>
      </c>
      <c r="R168" s="212">
        <f t="shared" si="25"/>
        <v>87.066666666666677</v>
      </c>
      <c r="S168" s="268" t="s">
        <v>1317</v>
      </c>
      <c r="T168" s="268" t="s">
        <v>1317</v>
      </c>
      <c r="U168" s="342">
        <v>21</v>
      </c>
      <c r="V168" s="272">
        <v>21</v>
      </c>
      <c r="W168" s="246">
        <v>44113</v>
      </c>
      <c r="X168" s="246">
        <v>44141</v>
      </c>
      <c r="Y168" s="245">
        <v>44154</v>
      </c>
      <c r="Z168" s="311">
        <f t="shared" si="18"/>
        <v>2020</v>
      </c>
      <c r="AA168" s="311">
        <f t="shared" si="19"/>
        <v>11</v>
      </c>
      <c r="AB168" s="243" t="s">
        <v>920</v>
      </c>
      <c r="AC168" s="243" t="s">
        <v>422</v>
      </c>
      <c r="AD168" s="243" t="s">
        <v>423</v>
      </c>
      <c r="AE168" s="243" t="s">
        <v>422</v>
      </c>
      <c r="AF168" s="243" t="s">
        <v>422</v>
      </c>
      <c r="AG168" s="243" t="s">
        <v>422</v>
      </c>
      <c r="AH168" s="243" t="s">
        <v>422</v>
      </c>
      <c r="AI168" s="243" t="s">
        <v>423</v>
      </c>
      <c r="AJ168" s="243" t="s">
        <v>423</v>
      </c>
      <c r="AK168" s="244" t="s">
        <v>254</v>
      </c>
      <c r="AL168" s="241"/>
      <c r="AM168" s="242" t="s">
        <v>1431</v>
      </c>
    </row>
    <row r="169" spans="1:39" ht="15" customHeight="1" x14ac:dyDescent="0.3">
      <c r="A169" s="185">
        <v>209</v>
      </c>
      <c r="B169" s="267" t="s">
        <v>1222</v>
      </c>
      <c r="C169" s="247" t="s">
        <v>1615</v>
      </c>
      <c r="D169" s="199" t="s">
        <v>1881</v>
      </c>
      <c r="E169" s="267"/>
      <c r="F169" s="267"/>
      <c r="G169" s="259" t="s">
        <v>1604</v>
      </c>
      <c r="H169" s="248" t="s">
        <v>1427</v>
      </c>
      <c r="I169" s="359">
        <v>1</v>
      </c>
      <c r="J169" s="248">
        <v>14</v>
      </c>
      <c r="K169" s="248">
        <v>0</v>
      </c>
      <c r="L169" s="212">
        <v>1.5</v>
      </c>
      <c r="M169" s="212">
        <f t="shared" si="20"/>
        <v>16.5</v>
      </c>
      <c r="N169" s="212">
        <f t="shared" si="21"/>
        <v>8</v>
      </c>
      <c r="O169" s="212">
        <f t="shared" si="22"/>
        <v>56</v>
      </c>
      <c r="P169" s="212">
        <f t="shared" si="23"/>
        <v>0</v>
      </c>
      <c r="Q169" s="212">
        <f t="shared" si="24"/>
        <v>12</v>
      </c>
      <c r="R169" s="212">
        <f t="shared" si="25"/>
        <v>76</v>
      </c>
      <c r="S169" s="268" t="s">
        <v>1231</v>
      </c>
      <c r="T169" s="268" t="s">
        <v>1253</v>
      </c>
      <c r="U169" s="272">
        <v>50</v>
      </c>
      <c r="V169" s="272">
        <v>50</v>
      </c>
      <c r="W169" s="246">
        <v>44089</v>
      </c>
      <c r="X169" s="246">
        <v>44211</v>
      </c>
      <c r="Y169" s="245">
        <v>44195</v>
      </c>
      <c r="Z169" s="311">
        <f t="shared" si="18"/>
        <v>2020</v>
      </c>
      <c r="AA169" s="311">
        <f t="shared" si="19"/>
        <v>12</v>
      </c>
      <c r="AB169" s="243" t="s">
        <v>920</v>
      </c>
      <c r="AC169" s="243" t="s">
        <v>422</v>
      </c>
      <c r="AD169" s="243" t="s">
        <v>422</v>
      </c>
      <c r="AE169" s="243" t="s">
        <v>422</v>
      </c>
      <c r="AF169" s="243" t="s">
        <v>422</v>
      </c>
      <c r="AG169" s="243" t="s">
        <v>422</v>
      </c>
      <c r="AH169" s="243" t="s">
        <v>423</v>
      </c>
      <c r="AI169" s="243" t="s">
        <v>422</v>
      </c>
      <c r="AJ169" s="243" t="s">
        <v>423</v>
      </c>
      <c r="AK169" s="244" t="s">
        <v>1427</v>
      </c>
      <c r="AL169" s="241"/>
      <c r="AM169" s="241"/>
    </row>
    <row r="170" spans="1:39" ht="15" customHeight="1" x14ac:dyDescent="0.3">
      <c r="A170" s="185">
        <v>215</v>
      </c>
      <c r="B170" s="267" t="s">
        <v>1228</v>
      </c>
      <c r="C170" s="247" t="s">
        <v>1615</v>
      </c>
      <c r="D170" s="199" t="s">
        <v>1881</v>
      </c>
      <c r="E170" s="196" t="s">
        <v>1596</v>
      </c>
      <c r="F170" s="267" t="s">
        <v>1600</v>
      </c>
      <c r="G170" s="259" t="s">
        <v>1604</v>
      </c>
      <c r="H170" s="248" t="s">
        <v>1428</v>
      </c>
      <c r="I170" s="248">
        <v>1</v>
      </c>
      <c r="J170" s="248">
        <v>11.5</v>
      </c>
      <c r="K170" s="248">
        <v>0</v>
      </c>
      <c r="L170" s="212">
        <v>2</v>
      </c>
      <c r="M170" s="212">
        <f t="shared" si="20"/>
        <v>14.5</v>
      </c>
      <c r="N170" s="212">
        <f t="shared" si="21"/>
        <v>8</v>
      </c>
      <c r="O170" s="212">
        <f t="shared" si="22"/>
        <v>46</v>
      </c>
      <c r="P170" s="212">
        <f t="shared" si="23"/>
        <v>0</v>
      </c>
      <c r="Q170" s="212">
        <f t="shared" si="24"/>
        <v>16</v>
      </c>
      <c r="R170" s="212">
        <f t="shared" si="25"/>
        <v>70</v>
      </c>
      <c r="S170" s="268" t="s">
        <v>1239</v>
      </c>
      <c r="T170" s="268" t="s">
        <v>1259</v>
      </c>
      <c r="U170" s="272">
        <v>210</v>
      </c>
      <c r="V170" s="272">
        <v>210</v>
      </c>
      <c r="W170" s="246">
        <v>44089</v>
      </c>
      <c r="X170" s="246">
        <v>44211</v>
      </c>
      <c r="Y170" s="245">
        <v>44195</v>
      </c>
      <c r="Z170" s="311">
        <f t="shared" si="18"/>
        <v>2020</v>
      </c>
      <c r="AA170" s="311">
        <f t="shared" si="19"/>
        <v>12</v>
      </c>
      <c r="AB170" s="243" t="s">
        <v>920</v>
      </c>
      <c r="AC170" s="243" t="s">
        <v>422</v>
      </c>
      <c r="AD170" s="243" t="s">
        <v>422</v>
      </c>
      <c r="AE170" s="243" t="s">
        <v>422</v>
      </c>
      <c r="AF170" s="243" t="s">
        <v>422</v>
      </c>
      <c r="AG170" s="243" t="s">
        <v>422</v>
      </c>
      <c r="AH170" s="243" t="s">
        <v>423</v>
      </c>
      <c r="AI170" s="243" t="s">
        <v>422</v>
      </c>
      <c r="AJ170" s="243" t="s">
        <v>423</v>
      </c>
      <c r="AK170" s="244" t="s">
        <v>1428</v>
      </c>
      <c r="AL170" s="241"/>
      <c r="AM170" s="241"/>
    </row>
    <row r="171" spans="1:39" ht="15" customHeight="1" x14ac:dyDescent="0.3">
      <c r="A171" s="185">
        <v>236</v>
      </c>
      <c r="B171" s="267" t="s">
        <v>1318</v>
      </c>
      <c r="C171" s="247" t="s">
        <v>1830</v>
      </c>
      <c r="D171" s="199" t="s">
        <v>1881</v>
      </c>
      <c r="E171" s="267"/>
      <c r="F171" s="267"/>
      <c r="G171" s="267" t="s">
        <v>1953</v>
      </c>
      <c r="H171" s="267" t="s">
        <v>1010</v>
      </c>
      <c r="I171" s="359">
        <v>1</v>
      </c>
      <c r="J171" s="267">
        <v>13</v>
      </c>
      <c r="K171" s="360">
        <v>1.5</v>
      </c>
      <c r="L171" s="212">
        <v>1</v>
      </c>
      <c r="M171" s="212">
        <f t="shared" si="20"/>
        <v>16.5</v>
      </c>
      <c r="N171" s="212">
        <f t="shared" si="21"/>
        <v>8</v>
      </c>
      <c r="O171" s="212">
        <f t="shared" si="22"/>
        <v>52</v>
      </c>
      <c r="P171" s="212">
        <f t="shared" si="23"/>
        <v>10</v>
      </c>
      <c r="Q171" s="212">
        <f t="shared" si="24"/>
        <v>8</v>
      </c>
      <c r="R171" s="212">
        <f t="shared" si="25"/>
        <v>78</v>
      </c>
      <c r="S171" s="268" t="s">
        <v>1320</v>
      </c>
      <c r="T171" s="268" t="s">
        <v>1321</v>
      </c>
      <c r="U171" s="342">
        <v>40</v>
      </c>
      <c r="V171" s="272">
        <v>40</v>
      </c>
      <c r="W171" s="246">
        <v>44113</v>
      </c>
      <c r="X171" s="246">
        <v>44180</v>
      </c>
      <c r="Y171" s="245">
        <v>44168</v>
      </c>
      <c r="Z171" s="311">
        <f t="shared" si="18"/>
        <v>2020</v>
      </c>
      <c r="AA171" s="311">
        <f t="shared" si="19"/>
        <v>12</v>
      </c>
      <c r="AB171" s="243" t="s">
        <v>920</v>
      </c>
      <c r="AC171" s="243" t="s">
        <v>422</v>
      </c>
      <c r="AD171" s="243" t="s">
        <v>422</v>
      </c>
      <c r="AE171" s="243" t="s">
        <v>422</v>
      </c>
      <c r="AF171" s="243" t="s">
        <v>422</v>
      </c>
      <c r="AG171" s="243" t="s">
        <v>449</v>
      </c>
      <c r="AH171" s="243" t="s">
        <v>449</v>
      </c>
      <c r="AI171" s="243" t="s">
        <v>423</v>
      </c>
      <c r="AJ171" s="243" t="s">
        <v>423</v>
      </c>
      <c r="AK171" s="244" t="s">
        <v>140</v>
      </c>
      <c r="AL171" s="241"/>
      <c r="AM171" s="241"/>
    </row>
    <row r="172" spans="1:39" ht="15" customHeight="1" x14ac:dyDescent="0.3">
      <c r="A172" s="185">
        <v>237</v>
      </c>
      <c r="B172" s="267" t="s">
        <v>1319</v>
      </c>
      <c r="C172" s="247" t="s">
        <v>1830</v>
      </c>
      <c r="D172" s="199" t="s">
        <v>1881</v>
      </c>
      <c r="E172" s="267"/>
      <c r="F172" s="267"/>
      <c r="G172" s="267" t="s">
        <v>1953</v>
      </c>
      <c r="H172" s="267" t="s">
        <v>1598</v>
      </c>
      <c r="I172" s="359">
        <v>1</v>
      </c>
      <c r="J172" s="267">
        <v>13</v>
      </c>
      <c r="K172" s="360">
        <v>1.5</v>
      </c>
      <c r="L172" s="212">
        <v>1</v>
      </c>
      <c r="M172" s="212">
        <f t="shared" si="20"/>
        <v>16.5</v>
      </c>
      <c r="N172" s="212">
        <f t="shared" si="21"/>
        <v>8</v>
      </c>
      <c r="O172" s="212">
        <f t="shared" si="22"/>
        <v>52</v>
      </c>
      <c r="P172" s="212">
        <f t="shared" si="23"/>
        <v>10</v>
      </c>
      <c r="Q172" s="212">
        <f t="shared" si="24"/>
        <v>8</v>
      </c>
      <c r="R172" s="212">
        <f t="shared" si="25"/>
        <v>78</v>
      </c>
      <c r="S172" s="268" t="s">
        <v>1322</v>
      </c>
      <c r="T172" s="268" t="s">
        <v>1321</v>
      </c>
      <c r="U172" s="342">
        <v>100</v>
      </c>
      <c r="V172" s="272">
        <v>100</v>
      </c>
      <c r="W172" s="246">
        <v>44113</v>
      </c>
      <c r="X172" s="246">
        <v>44180</v>
      </c>
      <c r="Y172" s="245">
        <v>44168</v>
      </c>
      <c r="Z172" s="311">
        <f t="shared" si="18"/>
        <v>2020</v>
      </c>
      <c r="AA172" s="311">
        <f t="shared" si="19"/>
        <v>12</v>
      </c>
      <c r="AB172" s="243" t="s">
        <v>920</v>
      </c>
      <c r="AC172" s="243" t="s">
        <v>422</v>
      </c>
      <c r="AD172" s="243" t="s">
        <v>422</v>
      </c>
      <c r="AE172" s="243" t="s">
        <v>422</v>
      </c>
      <c r="AF172" s="243" t="s">
        <v>422</v>
      </c>
      <c r="AG172" s="243" t="s">
        <v>449</v>
      </c>
      <c r="AH172" s="243" t="s">
        <v>449</v>
      </c>
      <c r="AI172" s="243" t="s">
        <v>423</v>
      </c>
      <c r="AJ172" s="243" t="s">
        <v>423</v>
      </c>
      <c r="AK172" s="244" t="s">
        <v>1430</v>
      </c>
      <c r="AL172" s="241"/>
      <c r="AM172" s="241"/>
    </row>
    <row r="173" spans="1:39" ht="15" customHeight="1" x14ac:dyDescent="0.3">
      <c r="A173" s="185">
        <v>242</v>
      </c>
      <c r="B173" s="267" t="s">
        <v>1335</v>
      </c>
      <c r="C173" s="247" t="s">
        <v>1616</v>
      </c>
      <c r="D173" s="199" t="s">
        <v>1848</v>
      </c>
      <c r="E173" s="267"/>
      <c r="F173" s="267"/>
      <c r="G173" s="267" t="s">
        <v>1953</v>
      </c>
      <c r="H173" s="267"/>
      <c r="I173" s="359">
        <v>2</v>
      </c>
      <c r="J173" s="267"/>
      <c r="K173" s="267">
        <v>9</v>
      </c>
      <c r="L173" s="212">
        <v>1</v>
      </c>
      <c r="M173" s="212">
        <f t="shared" si="20"/>
        <v>12</v>
      </c>
      <c r="N173" s="212">
        <f t="shared" si="21"/>
        <v>16</v>
      </c>
      <c r="O173" s="212">
        <f t="shared" si="22"/>
        <v>0</v>
      </c>
      <c r="P173" s="212">
        <f t="shared" si="23"/>
        <v>60</v>
      </c>
      <c r="Q173" s="212">
        <f t="shared" si="24"/>
        <v>8</v>
      </c>
      <c r="R173" s="212">
        <f t="shared" si="25"/>
        <v>84</v>
      </c>
      <c r="S173" s="340" t="s">
        <v>1350</v>
      </c>
      <c r="T173" s="268" t="s">
        <v>1365</v>
      </c>
      <c r="U173" s="272">
        <v>6</v>
      </c>
      <c r="V173" s="272">
        <v>7</v>
      </c>
      <c r="W173" s="246">
        <v>44123</v>
      </c>
      <c r="X173" s="246">
        <v>44151</v>
      </c>
      <c r="Y173" s="245">
        <v>44176</v>
      </c>
      <c r="Z173" s="311">
        <f t="shared" si="18"/>
        <v>2020</v>
      </c>
      <c r="AA173" s="311">
        <f t="shared" si="19"/>
        <v>12</v>
      </c>
      <c r="AB173" s="243" t="s">
        <v>920</v>
      </c>
      <c r="AC173" s="243" t="s">
        <v>422</v>
      </c>
      <c r="AD173" s="243" t="s">
        <v>422</v>
      </c>
      <c r="AE173" s="243" t="s">
        <v>422</v>
      </c>
      <c r="AF173" s="243" t="s">
        <v>422</v>
      </c>
      <c r="AG173" s="243" t="s">
        <v>422</v>
      </c>
      <c r="AH173" s="243" t="s">
        <v>422</v>
      </c>
      <c r="AI173" s="243" t="s">
        <v>423</v>
      </c>
      <c r="AJ173" s="243" t="s">
        <v>423</v>
      </c>
      <c r="AK173" s="244" t="s">
        <v>140</v>
      </c>
      <c r="AL173" s="241"/>
      <c r="AM173" s="242" t="s">
        <v>1429</v>
      </c>
    </row>
    <row r="174" spans="1:39" ht="15" customHeight="1" x14ac:dyDescent="0.3">
      <c r="A174" s="185">
        <v>243</v>
      </c>
      <c r="B174" s="267" t="s">
        <v>1336</v>
      </c>
      <c r="C174" s="247" t="s">
        <v>1616</v>
      </c>
      <c r="D174" s="199" t="s">
        <v>1848</v>
      </c>
      <c r="E174" s="267"/>
      <c r="F174" s="267"/>
      <c r="G174" s="267" t="s">
        <v>1953</v>
      </c>
      <c r="H174" s="267"/>
      <c r="I174" s="359">
        <v>2</v>
      </c>
      <c r="J174" s="267"/>
      <c r="K174" s="267">
        <v>15</v>
      </c>
      <c r="L174" s="212">
        <v>1</v>
      </c>
      <c r="M174" s="212">
        <f t="shared" si="20"/>
        <v>18</v>
      </c>
      <c r="N174" s="212">
        <f t="shared" si="21"/>
        <v>16</v>
      </c>
      <c r="O174" s="212">
        <f t="shared" si="22"/>
        <v>0</v>
      </c>
      <c r="P174" s="212">
        <f t="shared" si="23"/>
        <v>100</v>
      </c>
      <c r="Q174" s="212">
        <f t="shared" si="24"/>
        <v>8</v>
      </c>
      <c r="R174" s="212">
        <f t="shared" si="25"/>
        <v>124</v>
      </c>
      <c r="S174" s="340" t="s">
        <v>1351</v>
      </c>
      <c r="T174" s="268" t="s">
        <v>1365</v>
      </c>
      <c r="U174" s="272">
        <v>7</v>
      </c>
      <c r="V174" s="272">
        <v>8</v>
      </c>
      <c r="W174" s="246">
        <v>44123</v>
      </c>
      <c r="X174" s="246">
        <v>44151</v>
      </c>
      <c r="Y174" s="245">
        <v>44176</v>
      </c>
      <c r="Z174" s="311">
        <f t="shared" si="18"/>
        <v>2020</v>
      </c>
      <c r="AA174" s="311">
        <f t="shared" si="19"/>
        <v>12</v>
      </c>
      <c r="AB174" s="243" t="s">
        <v>920</v>
      </c>
      <c r="AC174" s="243" t="s">
        <v>422</v>
      </c>
      <c r="AD174" s="243" t="s">
        <v>422</v>
      </c>
      <c r="AE174" s="243" t="s">
        <v>422</v>
      </c>
      <c r="AF174" s="243" t="s">
        <v>422</v>
      </c>
      <c r="AG174" s="243" t="s">
        <v>422</v>
      </c>
      <c r="AH174" s="243" t="s">
        <v>422</v>
      </c>
      <c r="AI174" s="243" t="s">
        <v>423</v>
      </c>
      <c r="AJ174" s="243" t="s">
        <v>423</v>
      </c>
      <c r="AK174" s="244" t="s">
        <v>140</v>
      </c>
      <c r="AL174" s="241"/>
      <c r="AM174" s="242" t="s">
        <v>1429</v>
      </c>
    </row>
    <row r="175" spans="1:39" ht="15" customHeight="1" x14ac:dyDescent="0.3">
      <c r="A175" s="185">
        <v>244</v>
      </c>
      <c r="B175" s="267" t="s">
        <v>1337</v>
      </c>
      <c r="C175" s="247" t="s">
        <v>1616</v>
      </c>
      <c r="D175" s="199" t="s">
        <v>1848</v>
      </c>
      <c r="E175" s="267"/>
      <c r="F175" s="267"/>
      <c r="G175" s="267" t="s">
        <v>1953</v>
      </c>
      <c r="H175" s="267"/>
      <c r="I175" s="359">
        <v>2</v>
      </c>
      <c r="J175" s="267"/>
      <c r="K175" s="360">
        <v>12</v>
      </c>
      <c r="L175" s="212">
        <v>1</v>
      </c>
      <c r="M175" s="212">
        <f t="shared" si="20"/>
        <v>15</v>
      </c>
      <c r="N175" s="212">
        <f t="shared" si="21"/>
        <v>16</v>
      </c>
      <c r="O175" s="212">
        <f t="shared" si="22"/>
        <v>0</v>
      </c>
      <c r="P175" s="212">
        <f t="shared" si="23"/>
        <v>80</v>
      </c>
      <c r="Q175" s="212">
        <f t="shared" si="24"/>
        <v>8</v>
      </c>
      <c r="R175" s="212">
        <f t="shared" si="25"/>
        <v>104</v>
      </c>
      <c r="S175" s="340" t="s">
        <v>1352</v>
      </c>
      <c r="T175" s="268" t="s">
        <v>1366</v>
      </c>
      <c r="U175" s="272">
        <v>6</v>
      </c>
      <c r="V175" s="272">
        <v>7</v>
      </c>
      <c r="W175" s="246">
        <v>44123</v>
      </c>
      <c r="X175" s="246">
        <v>44151</v>
      </c>
      <c r="Y175" s="245">
        <v>44176</v>
      </c>
      <c r="Z175" s="311">
        <f t="shared" si="18"/>
        <v>2020</v>
      </c>
      <c r="AA175" s="311">
        <f t="shared" si="19"/>
        <v>12</v>
      </c>
      <c r="AB175" s="243" t="s">
        <v>920</v>
      </c>
      <c r="AC175" s="243" t="s">
        <v>422</v>
      </c>
      <c r="AD175" s="243" t="s">
        <v>422</v>
      </c>
      <c r="AE175" s="243" t="s">
        <v>422</v>
      </c>
      <c r="AF175" s="243" t="s">
        <v>422</v>
      </c>
      <c r="AG175" s="243" t="s">
        <v>422</v>
      </c>
      <c r="AH175" s="243" t="s">
        <v>422</v>
      </c>
      <c r="AI175" s="243" t="s">
        <v>423</v>
      </c>
      <c r="AJ175" s="243" t="s">
        <v>423</v>
      </c>
      <c r="AK175" s="244" t="s">
        <v>140</v>
      </c>
      <c r="AL175" s="241"/>
      <c r="AM175" s="242" t="s">
        <v>1429</v>
      </c>
    </row>
    <row r="176" spans="1:39" ht="15" customHeight="1" x14ac:dyDescent="0.3">
      <c r="A176" s="185">
        <v>245</v>
      </c>
      <c r="B176" s="267" t="s">
        <v>1338</v>
      </c>
      <c r="C176" s="247" t="s">
        <v>1616</v>
      </c>
      <c r="D176" s="199" t="s">
        <v>1848</v>
      </c>
      <c r="E176" s="267"/>
      <c r="F176" s="267"/>
      <c r="G176" s="267" t="s">
        <v>1953</v>
      </c>
      <c r="H176" s="267"/>
      <c r="I176" s="359">
        <v>2</v>
      </c>
      <c r="J176" s="267"/>
      <c r="K176" s="360">
        <v>12</v>
      </c>
      <c r="L176" s="212">
        <v>1</v>
      </c>
      <c r="M176" s="212">
        <f t="shared" si="20"/>
        <v>15</v>
      </c>
      <c r="N176" s="212">
        <f t="shared" si="21"/>
        <v>16</v>
      </c>
      <c r="O176" s="212">
        <f t="shared" si="22"/>
        <v>0</v>
      </c>
      <c r="P176" s="212">
        <f t="shared" si="23"/>
        <v>80</v>
      </c>
      <c r="Q176" s="212">
        <f t="shared" si="24"/>
        <v>8</v>
      </c>
      <c r="R176" s="212">
        <f t="shared" si="25"/>
        <v>104</v>
      </c>
      <c r="S176" s="340" t="s">
        <v>1353</v>
      </c>
      <c r="T176" s="268" t="s">
        <v>1367</v>
      </c>
      <c r="U176" s="272">
        <v>6</v>
      </c>
      <c r="V176" s="272">
        <v>7</v>
      </c>
      <c r="W176" s="246">
        <v>44123</v>
      </c>
      <c r="X176" s="246">
        <v>44151</v>
      </c>
      <c r="Y176" s="245">
        <v>44176</v>
      </c>
      <c r="Z176" s="311">
        <f t="shared" si="18"/>
        <v>2020</v>
      </c>
      <c r="AA176" s="311">
        <f t="shared" si="19"/>
        <v>12</v>
      </c>
      <c r="AB176" s="243" t="s">
        <v>920</v>
      </c>
      <c r="AC176" s="243" t="s">
        <v>422</v>
      </c>
      <c r="AD176" s="243" t="s">
        <v>422</v>
      </c>
      <c r="AE176" s="243" t="s">
        <v>422</v>
      </c>
      <c r="AF176" s="243" t="s">
        <v>422</v>
      </c>
      <c r="AG176" s="243" t="s">
        <v>422</v>
      </c>
      <c r="AH176" s="243" t="s">
        <v>422</v>
      </c>
      <c r="AI176" s="243" t="s">
        <v>423</v>
      </c>
      <c r="AJ176" s="243" t="s">
        <v>423</v>
      </c>
      <c r="AK176" s="244" t="s">
        <v>140</v>
      </c>
      <c r="AL176" s="241"/>
      <c r="AM176" s="242" t="s">
        <v>1429</v>
      </c>
    </row>
    <row r="177" spans="1:39" ht="15" customHeight="1" x14ac:dyDescent="0.3">
      <c r="A177" s="185">
        <v>246</v>
      </c>
      <c r="B177" s="267" t="s">
        <v>1339</v>
      </c>
      <c r="C177" s="247" t="s">
        <v>1616</v>
      </c>
      <c r="D177" s="199" t="s">
        <v>1848</v>
      </c>
      <c r="E177" s="267"/>
      <c r="F177" s="267"/>
      <c r="G177" s="267" t="s">
        <v>1953</v>
      </c>
      <c r="H177" s="267"/>
      <c r="I177" s="359">
        <v>2</v>
      </c>
      <c r="J177" s="267"/>
      <c r="K177" s="360">
        <v>12</v>
      </c>
      <c r="L177" s="212">
        <v>1</v>
      </c>
      <c r="M177" s="212">
        <f t="shared" si="20"/>
        <v>15</v>
      </c>
      <c r="N177" s="212">
        <f t="shared" si="21"/>
        <v>16</v>
      </c>
      <c r="O177" s="212">
        <f t="shared" si="22"/>
        <v>0</v>
      </c>
      <c r="P177" s="212">
        <f t="shared" si="23"/>
        <v>80</v>
      </c>
      <c r="Q177" s="212">
        <f t="shared" si="24"/>
        <v>8</v>
      </c>
      <c r="R177" s="212">
        <f t="shared" si="25"/>
        <v>104</v>
      </c>
      <c r="S177" s="340" t="s">
        <v>1354</v>
      </c>
      <c r="T177" s="268" t="s">
        <v>1368</v>
      </c>
      <c r="U177" s="272">
        <v>6</v>
      </c>
      <c r="V177" s="272">
        <v>7</v>
      </c>
      <c r="W177" s="246">
        <v>44123</v>
      </c>
      <c r="X177" s="246">
        <v>44151</v>
      </c>
      <c r="Y177" s="245">
        <v>44176</v>
      </c>
      <c r="Z177" s="311">
        <f t="shared" si="18"/>
        <v>2020</v>
      </c>
      <c r="AA177" s="311">
        <f t="shared" si="19"/>
        <v>12</v>
      </c>
      <c r="AB177" s="243" t="s">
        <v>920</v>
      </c>
      <c r="AC177" s="243" t="s">
        <v>422</v>
      </c>
      <c r="AD177" s="243" t="s">
        <v>422</v>
      </c>
      <c r="AE177" s="243" t="s">
        <v>422</v>
      </c>
      <c r="AF177" s="243" t="s">
        <v>422</v>
      </c>
      <c r="AG177" s="243" t="s">
        <v>422</v>
      </c>
      <c r="AH177" s="243" t="s">
        <v>422</v>
      </c>
      <c r="AI177" s="243" t="s">
        <v>423</v>
      </c>
      <c r="AJ177" s="243" t="s">
        <v>423</v>
      </c>
      <c r="AK177" s="244" t="s">
        <v>140</v>
      </c>
      <c r="AL177" s="241"/>
      <c r="AM177" s="242" t="s">
        <v>1429</v>
      </c>
    </row>
    <row r="178" spans="1:39" ht="15" customHeight="1" x14ac:dyDescent="0.3">
      <c r="A178" s="185">
        <v>247</v>
      </c>
      <c r="B178" s="267" t="s">
        <v>1340</v>
      </c>
      <c r="C178" s="247" t="s">
        <v>1616</v>
      </c>
      <c r="D178" s="199" t="s">
        <v>1848</v>
      </c>
      <c r="E178" s="267"/>
      <c r="F178" s="267"/>
      <c r="G178" s="267" t="s">
        <v>1953</v>
      </c>
      <c r="H178" s="267"/>
      <c r="I178" s="359">
        <v>1</v>
      </c>
      <c r="J178" s="267"/>
      <c r="K178" s="267">
        <v>5.5</v>
      </c>
      <c r="L178" s="212">
        <v>0.5</v>
      </c>
      <c r="M178" s="212">
        <f t="shared" si="20"/>
        <v>7</v>
      </c>
      <c r="N178" s="212">
        <f t="shared" si="21"/>
        <v>8</v>
      </c>
      <c r="O178" s="212">
        <f t="shared" si="22"/>
        <v>0</v>
      </c>
      <c r="P178" s="212">
        <f t="shared" si="23"/>
        <v>36.666666666666671</v>
      </c>
      <c r="Q178" s="212">
        <f t="shared" si="24"/>
        <v>4</v>
      </c>
      <c r="R178" s="212">
        <f t="shared" si="25"/>
        <v>48.666666666666671</v>
      </c>
      <c r="S178" s="340" t="s">
        <v>1355</v>
      </c>
      <c r="T178" s="268" t="s">
        <v>1369</v>
      </c>
      <c r="U178" s="272">
        <v>6</v>
      </c>
      <c r="V178" s="272">
        <v>7</v>
      </c>
      <c r="W178" s="246">
        <v>44123</v>
      </c>
      <c r="X178" s="246">
        <v>44151</v>
      </c>
      <c r="Y178" s="245">
        <v>44176</v>
      </c>
      <c r="Z178" s="311">
        <f t="shared" si="18"/>
        <v>2020</v>
      </c>
      <c r="AA178" s="311">
        <f t="shared" si="19"/>
        <v>12</v>
      </c>
      <c r="AB178" s="243" t="s">
        <v>920</v>
      </c>
      <c r="AC178" s="243" t="s">
        <v>422</v>
      </c>
      <c r="AD178" s="243" t="s">
        <v>422</v>
      </c>
      <c r="AE178" s="243" t="s">
        <v>422</v>
      </c>
      <c r="AF178" s="243" t="s">
        <v>422</v>
      </c>
      <c r="AG178" s="243" t="s">
        <v>423</v>
      </c>
      <c r="AH178" s="243" t="s">
        <v>422</v>
      </c>
      <c r="AI178" s="243" t="s">
        <v>423</v>
      </c>
      <c r="AJ178" s="243" t="s">
        <v>423</v>
      </c>
      <c r="AK178" s="244" t="s">
        <v>140</v>
      </c>
      <c r="AL178" s="241"/>
      <c r="AM178" s="242" t="s">
        <v>1429</v>
      </c>
    </row>
    <row r="179" spans="1:39" ht="15" customHeight="1" x14ac:dyDescent="0.3">
      <c r="A179" s="185">
        <v>248</v>
      </c>
      <c r="B179" s="267" t="s">
        <v>1341</v>
      </c>
      <c r="C179" s="247" t="s">
        <v>1616</v>
      </c>
      <c r="D179" s="199" t="s">
        <v>1848</v>
      </c>
      <c r="E179" s="267"/>
      <c r="F179" s="267"/>
      <c r="G179" s="267" t="s">
        <v>1953</v>
      </c>
      <c r="H179" s="267"/>
      <c r="I179" s="359">
        <v>1</v>
      </c>
      <c r="J179" s="267"/>
      <c r="K179" s="360">
        <v>5.5</v>
      </c>
      <c r="L179" s="212">
        <v>0.5</v>
      </c>
      <c r="M179" s="212">
        <f t="shared" si="20"/>
        <v>7</v>
      </c>
      <c r="N179" s="212">
        <f t="shared" si="21"/>
        <v>8</v>
      </c>
      <c r="O179" s="212">
        <f t="shared" si="22"/>
        <v>0</v>
      </c>
      <c r="P179" s="212">
        <f t="shared" si="23"/>
        <v>36.666666666666671</v>
      </c>
      <c r="Q179" s="212">
        <f t="shared" si="24"/>
        <v>4</v>
      </c>
      <c r="R179" s="212">
        <f t="shared" si="25"/>
        <v>48.666666666666671</v>
      </c>
      <c r="S179" s="340" t="s">
        <v>1356</v>
      </c>
      <c r="T179" s="268" t="s">
        <v>1370</v>
      </c>
      <c r="U179" s="272">
        <f>12+1</f>
        <v>13</v>
      </c>
      <c r="V179" s="272">
        <v>15</v>
      </c>
      <c r="W179" s="246">
        <v>44123</v>
      </c>
      <c r="X179" s="246">
        <v>44151</v>
      </c>
      <c r="Y179" s="245">
        <v>44176</v>
      </c>
      <c r="Z179" s="311">
        <f t="shared" si="18"/>
        <v>2020</v>
      </c>
      <c r="AA179" s="311">
        <f t="shared" si="19"/>
        <v>12</v>
      </c>
      <c r="AB179" s="243" t="s">
        <v>920</v>
      </c>
      <c r="AC179" s="243" t="s">
        <v>422</v>
      </c>
      <c r="AD179" s="243" t="s">
        <v>422</v>
      </c>
      <c r="AE179" s="243" t="s">
        <v>422</v>
      </c>
      <c r="AF179" s="243" t="s">
        <v>422</v>
      </c>
      <c r="AG179" s="243" t="s">
        <v>423</v>
      </c>
      <c r="AH179" s="243" t="s">
        <v>422</v>
      </c>
      <c r="AI179" s="243" t="s">
        <v>423</v>
      </c>
      <c r="AJ179" s="243" t="s">
        <v>423</v>
      </c>
      <c r="AK179" s="244" t="s">
        <v>140</v>
      </c>
      <c r="AL179" s="241"/>
      <c r="AM179" s="242" t="s">
        <v>1429</v>
      </c>
    </row>
    <row r="180" spans="1:39" ht="15" customHeight="1" x14ac:dyDescent="0.3">
      <c r="A180" s="185">
        <v>249</v>
      </c>
      <c r="B180" s="267" t="s">
        <v>1342</v>
      </c>
      <c r="C180" s="247" t="s">
        <v>1616</v>
      </c>
      <c r="D180" s="199" t="s">
        <v>1848</v>
      </c>
      <c r="E180" s="267"/>
      <c r="F180" s="267"/>
      <c r="G180" s="267" t="s">
        <v>1953</v>
      </c>
      <c r="H180" s="267"/>
      <c r="I180" s="359">
        <v>2</v>
      </c>
      <c r="J180" s="267"/>
      <c r="K180" s="267">
        <v>11</v>
      </c>
      <c r="L180" s="212">
        <v>1</v>
      </c>
      <c r="M180" s="212">
        <f t="shared" si="20"/>
        <v>14</v>
      </c>
      <c r="N180" s="212">
        <f t="shared" si="21"/>
        <v>16</v>
      </c>
      <c r="O180" s="212">
        <f t="shared" si="22"/>
        <v>0</v>
      </c>
      <c r="P180" s="212">
        <f t="shared" si="23"/>
        <v>73.333333333333343</v>
      </c>
      <c r="Q180" s="212">
        <f t="shared" si="24"/>
        <v>8</v>
      </c>
      <c r="R180" s="212">
        <f t="shared" si="25"/>
        <v>97.333333333333343</v>
      </c>
      <c r="S180" s="340" t="s">
        <v>1357</v>
      </c>
      <c r="T180" s="268" t="s">
        <v>1365</v>
      </c>
      <c r="U180" s="272">
        <v>6</v>
      </c>
      <c r="V180" s="272">
        <v>7</v>
      </c>
      <c r="W180" s="246">
        <v>44123</v>
      </c>
      <c r="X180" s="246">
        <v>44151</v>
      </c>
      <c r="Y180" s="245">
        <v>44176</v>
      </c>
      <c r="Z180" s="311">
        <f t="shared" si="18"/>
        <v>2020</v>
      </c>
      <c r="AA180" s="311">
        <f t="shared" si="19"/>
        <v>12</v>
      </c>
      <c r="AB180" s="243" t="s">
        <v>920</v>
      </c>
      <c r="AC180" s="243" t="s">
        <v>422</v>
      </c>
      <c r="AD180" s="243" t="s">
        <v>422</v>
      </c>
      <c r="AE180" s="243" t="s">
        <v>422</v>
      </c>
      <c r="AF180" s="243" t="s">
        <v>422</v>
      </c>
      <c r="AG180" s="243" t="s">
        <v>422</v>
      </c>
      <c r="AH180" s="243" t="s">
        <v>422</v>
      </c>
      <c r="AI180" s="243" t="s">
        <v>423</v>
      </c>
      <c r="AJ180" s="243" t="s">
        <v>423</v>
      </c>
      <c r="AK180" s="244" t="s">
        <v>140</v>
      </c>
      <c r="AL180" s="241"/>
      <c r="AM180" s="242" t="s">
        <v>1429</v>
      </c>
    </row>
    <row r="181" spans="1:39" ht="15" customHeight="1" x14ac:dyDescent="0.3">
      <c r="A181" s="185">
        <v>250</v>
      </c>
      <c r="B181" s="267" t="s">
        <v>1343</v>
      </c>
      <c r="C181" s="247" t="s">
        <v>1616</v>
      </c>
      <c r="D181" s="199" t="s">
        <v>1848</v>
      </c>
      <c r="E181" s="267"/>
      <c r="F181" s="267"/>
      <c r="G181" s="267" t="s">
        <v>1953</v>
      </c>
      <c r="H181" s="267"/>
      <c r="I181" s="359">
        <v>2</v>
      </c>
      <c r="J181" s="267"/>
      <c r="K181" s="360">
        <v>11</v>
      </c>
      <c r="L181" s="212">
        <v>1</v>
      </c>
      <c r="M181" s="212">
        <f t="shared" si="20"/>
        <v>14</v>
      </c>
      <c r="N181" s="212">
        <f t="shared" si="21"/>
        <v>16</v>
      </c>
      <c r="O181" s="212">
        <f t="shared" si="22"/>
        <v>0</v>
      </c>
      <c r="P181" s="212">
        <f t="shared" si="23"/>
        <v>73.333333333333343</v>
      </c>
      <c r="Q181" s="212">
        <f t="shared" si="24"/>
        <v>8</v>
      </c>
      <c r="R181" s="212">
        <f t="shared" si="25"/>
        <v>97.333333333333343</v>
      </c>
      <c r="S181" s="340" t="s">
        <v>1358</v>
      </c>
      <c r="T181" s="268" t="s">
        <v>1365</v>
      </c>
      <c r="U181" s="272">
        <v>6</v>
      </c>
      <c r="V181" s="272">
        <v>7</v>
      </c>
      <c r="W181" s="246">
        <v>44123</v>
      </c>
      <c r="X181" s="246">
        <v>44151</v>
      </c>
      <c r="Y181" s="245">
        <v>44176</v>
      </c>
      <c r="Z181" s="311">
        <f t="shared" si="18"/>
        <v>2020</v>
      </c>
      <c r="AA181" s="311">
        <f t="shared" si="19"/>
        <v>12</v>
      </c>
      <c r="AB181" s="243" t="s">
        <v>920</v>
      </c>
      <c r="AC181" s="243" t="s">
        <v>422</v>
      </c>
      <c r="AD181" s="243" t="s">
        <v>422</v>
      </c>
      <c r="AE181" s="243" t="s">
        <v>422</v>
      </c>
      <c r="AF181" s="243" t="s">
        <v>422</v>
      </c>
      <c r="AG181" s="243" t="s">
        <v>422</v>
      </c>
      <c r="AH181" s="243" t="s">
        <v>422</v>
      </c>
      <c r="AI181" s="243" t="s">
        <v>423</v>
      </c>
      <c r="AJ181" s="243" t="s">
        <v>423</v>
      </c>
      <c r="AK181" s="244" t="s">
        <v>140</v>
      </c>
      <c r="AL181" s="241"/>
      <c r="AM181" s="242" t="s">
        <v>1429</v>
      </c>
    </row>
    <row r="182" spans="1:39" ht="15" customHeight="1" x14ac:dyDescent="0.3">
      <c r="A182" s="185">
        <v>251</v>
      </c>
      <c r="B182" s="267" t="s">
        <v>1344</v>
      </c>
      <c r="C182" s="247" t="s">
        <v>1616</v>
      </c>
      <c r="D182" s="199" t="s">
        <v>1848</v>
      </c>
      <c r="E182" s="267"/>
      <c r="F182" s="267"/>
      <c r="G182" s="267" t="s">
        <v>1953</v>
      </c>
      <c r="H182" s="267"/>
      <c r="I182" s="359">
        <v>2</v>
      </c>
      <c r="J182" s="267"/>
      <c r="K182" s="267">
        <v>13</v>
      </c>
      <c r="L182" s="212">
        <v>1</v>
      </c>
      <c r="M182" s="212">
        <f t="shared" si="20"/>
        <v>16</v>
      </c>
      <c r="N182" s="212">
        <f t="shared" si="21"/>
        <v>16</v>
      </c>
      <c r="O182" s="212">
        <f t="shared" si="22"/>
        <v>0</v>
      </c>
      <c r="P182" s="212">
        <f t="shared" si="23"/>
        <v>86.666666666666671</v>
      </c>
      <c r="Q182" s="212">
        <f t="shared" si="24"/>
        <v>8</v>
      </c>
      <c r="R182" s="212">
        <f t="shared" si="25"/>
        <v>110.66666666666667</v>
      </c>
      <c r="S182" s="340" t="s">
        <v>1359</v>
      </c>
      <c r="T182" s="268" t="s">
        <v>1365</v>
      </c>
      <c r="U182" s="272">
        <v>6</v>
      </c>
      <c r="V182" s="272">
        <v>7</v>
      </c>
      <c r="W182" s="246">
        <v>44123</v>
      </c>
      <c r="X182" s="246">
        <v>44151</v>
      </c>
      <c r="Y182" s="245">
        <v>44176</v>
      </c>
      <c r="Z182" s="311">
        <f t="shared" si="18"/>
        <v>2020</v>
      </c>
      <c r="AA182" s="311">
        <f t="shared" si="19"/>
        <v>12</v>
      </c>
      <c r="AB182" s="243" t="s">
        <v>920</v>
      </c>
      <c r="AC182" s="243" t="s">
        <v>422</v>
      </c>
      <c r="AD182" s="243" t="s">
        <v>422</v>
      </c>
      <c r="AE182" s="243" t="s">
        <v>422</v>
      </c>
      <c r="AF182" s="243" t="s">
        <v>422</v>
      </c>
      <c r="AG182" s="243" t="s">
        <v>422</v>
      </c>
      <c r="AH182" s="243" t="s">
        <v>422</v>
      </c>
      <c r="AI182" s="243" t="s">
        <v>423</v>
      </c>
      <c r="AJ182" s="243" t="s">
        <v>423</v>
      </c>
      <c r="AK182" s="244" t="s">
        <v>140</v>
      </c>
      <c r="AL182" s="241"/>
      <c r="AM182" s="242" t="s">
        <v>1429</v>
      </c>
    </row>
    <row r="183" spans="1:39" ht="15" customHeight="1" x14ac:dyDescent="0.3">
      <c r="A183" s="185">
        <v>252</v>
      </c>
      <c r="B183" s="267" t="s">
        <v>1345</v>
      </c>
      <c r="C183" s="247" t="s">
        <v>1616</v>
      </c>
      <c r="D183" s="199" t="s">
        <v>1848</v>
      </c>
      <c r="E183" s="267"/>
      <c r="F183" s="267"/>
      <c r="G183" s="267" t="s">
        <v>1953</v>
      </c>
      <c r="H183" s="267"/>
      <c r="I183" s="359">
        <v>2</v>
      </c>
      <c r="J183" s="267"/>
      <c r="K183" s="360">
        <v>11</v>
      </c>
      <c r="L183" s="212">
        <v>1</v>
      </c>
      <c r="M183" s="212">
        <f t="shared" si="20"/>
        <v>14</v>
      </c>
      <c r="N183" s="212">
        <f t="shared" si="21"/>
        <v>16</v>
      </c>
      <c r="O183" s="212">
        <f t="shared" si="22"/>
        <v>0</v>
      </c>
      <c r="P183" s="212">
        <f t="shared" si="23"/>
        <v>73.333333333333343</v>
      </c>
      <c r="Q183" s="212">
        <f t="shared" si="24"/>
        <v>8</v>
      </c>
      <c r="R183" s="212">
        <f t="shared" si="25"/>
        <v>97.333333333333343</v>
      </c>
      <c r="S183" s="340" t="s">
        <v>1360</v>
      </c>
      <c r="T183" s="268" t="s">
        <v>1366</v>
      </c>
      <c r="U183" s="272">
        <v>6</v>
      </c>
      <c r="V183" s="272">
        <v>7</v>
      </c>
      <c r="W183" s="246">
        <v>44123</v>
      </c>
      <c r="X183" s="246">
        <v>44151</v>
      </c>
      <c r="Y183" s="245">
        <v>44176</v>
      </c>
      <c r="Z183" s="311">
        <f t="shared" si="18"/>
        <v>2020</v>
      </c>
      <c r="AA183" s="311">
        <f t="shared" si="19"/>
        <v>12</v>
      </c>
      <c r="AB183" s="243" t="s">
        <v>920</v>
      </c>
      <c r="AC183" s="243" t="s">
        <v>422</v>
      </c>
      <c r="AD183" s="243" t="s">
        <v>422</v>
      </c>
      <c r="AE183" s="243" t="s">
        <v>422</v>
      </c>
      <c r="AF183" s="243" t="s">
        <v>422</v>
      </c>
      <c r="AG183" s="243" t="s">
        <v>422</v>
      </c>
      <c r="AH183" s="243" t="s">
        <v>422</v>
      </c>
      <c r="AI183" s="243" t="s">
        <v>423</v>
      </c>
      <c r="AJ183" s="243" t="s">
        <v>423</v>
      </c>
      <c r="AK183" s="244" t="s">
        <v>140</v>
      </c>
      <c r="AL183" s="241"/>
      <c r="AM183" s="242" t="s">
        <v>1429</v>
      </c>
    </row>
    <row r="184" spans="1:39" ht="15" customHeight="1" x14ac:dyDescent="0.3">
      <c r="A184" s="185">
        <v>253</v>
      </c>
      <c r="B184" s="267" t="s">
        <v>1346</v>
      </c>
      <c r="C184" s="247" t="s">
        <v>1616</v>
      </c>
      <c r="D184" s="199" t="s">
        <v>1848</v>
      </c>
      <c r="E184" s="267"/>
      <c r="F184" s="267"/>
      <c r="G184" s="267" t="s">
        <v>1953</v>
      </c>
      <c r="H184" s="267"/>
      <c r="I184" s="359">
        <v>2</v>
      </c>
      <c r="J184" s="267"/>
      <c r="K184" s="360">
        <v>11</v>
      </c>
      <c r="L184" s="212">
        <v>1</v>
      </c>
      <c r="M184" s="212">
        <f t="shared" si="20"/>
        <v>14</v>
      </c>
      <c r="N184" s="212">
        <f t="shared" si="21"/>
        <v>16</v>
      </c>
      <c r="O184" s="212">
        <f t="shared" si="22"/>
        <v>0</v>
      </c>
      <c r="P184" s="212">
        <f t="shared" si="23"/>
        <v>73.333333333333343</v>
      </c>
      <c r="Q184" s="212">
        <f t="shared" si="24"/>
        <v>8</v>
      </c>
      <c r="R184" s="212">
        <f t="shared" si="25"/>
        <v>97.333333333333343</v>
      </c>
      <c r="S184" s="340" t="s">
        <v>1361</v>
      </c>
      <c r="T184" s="268" t="s">
        <v>1371</v>
      </c>
      <c r="U184" s="272">
        <v>6</v>
      </c>
      <c r="V184" s="272">
        <v>7</v>
      </c>
      <c r="W184" s="246">
        <v>44123</v>
      </c>
      <c r="X184" s="246">
        <v>44151</v>
      </c>
      <c r="Y184" s="245">
        <v>44176</v>
      </c>
      <c r="Z184" s="311">
        <f t="shared" si="18"/>
        <v>2020</v>
      </c>
      <c r="AA184" s="311">
        <f t="shared" si="19"/>
        <v>12</v>
      </c>
      <c r="AB184" s="243" t="s">
        <v>920</v>
      </c>
      <c r="AC184" s="243" t="s">
        <v>422</v>
      </c>
      <c r="AD184" s="243" t="s">
        <v>422</v>
      </c>
      <c r="AE184" s="243" t="s">
        <v>422</v>
      </c>
      <c r="AF184" s="243" t="s">
        <v>422</v>
      </c>
      <c r="AG184" s="243" t="s">
        <v>422</v>
      </c>
      <c r="AH184" s="243" t="s">
        <v>422</v>
      </c>
      <c r="AI184" s="243" t="s">
        <v>423</v>
      </c>
      <c r="AJ184" s="243" t="s">
        <v>423</v>
      </c>
      <c r="AK184" s="244" t="s">
        <v>140</v>
      </c>
      <c r="AL184" s="241"/>
      <c r="AM184" s="242" t="s">
        <v>1429</v>
      </c>
    </row>
    <row r="185" spans="1:39" ht="15" customHeight="1" x14ac:dyDescent="0.3">
      <c r="A185" s="185">
        <v>254</v>
      </c>
      <c r="B185" s="267" t="s">
        <v>1347</v>
      </c>
      <c r="C185" s="247" t="s">
        <v>1616</v>
      </c>
      <c r="D185" s="199" t="s">
        <v>1848</v>
      </c>
      <c r="E185" s="267"/>
      <c r="F185" s="267"/>
      <c r="G185" s="267" t="s">
        <v>1953</v>
      </c>
      <c r="H185" s="267"/>
      <c r="I185" s="359">
        <v>2</v>
      </c>
      <c r="J185" s="267"/>
      <c r="K185" s="360">
        <v>11</v>
      </c>
      <c r="L185" s="212">
        <v>1</v>
      </c>
      <c r="M185" s="212">
        <f t="shared" si="20"/>
        <v>14</v>
      </c>
      <c r="N185" s="212">
        <f t="shared" si="21"/>
        <v>16</v>
      </c>
      <c r="O185" s="212">
        <f t="shared" si="22"/>
        <v>0</v>
      </c>
      <c r="P185" s="212">
        <f t="shared" si="23"/>
        <v>73.333333333333343</v>
      </c>
      <c r="Q185" s="212">
        <f t="shared" si="24"/>
        <v>8</v>
      </c>
      <c r="R185" s="212">
        <f t="shared" si="25"/>
        <v>97.333333333333343</v>
      </c>
      <c r="S185" s="340" t="s">
        <v>1362</v>
      </c>
      <c r="T185" s="268" t="s">
        <v>1368</v>
      </c>
      <c r="U185" s="272">
        <v>6</v>
      </c>
      <c r="V185" s="272">
        <v>7</v>
      </c>
      <c r="W185" s="246">
        <v>44123</v>
      </c>
      <c r="X185" s="246">
        <v>44151</v>
      </c>
      <c r="Y185" s="245">
        <v>44176</v>
      </c>
      <c r="Z185" s="311">
        <f t="shared" si="18"/>
        <v>2020</v>
      </c>
      <c r="AA185" s="311">
        <f t="shared" si="19"/>
        <v>12</v>
      </c>
      <c r="AB185" s="243" t="s">
        <v>920</v>
      </c>
      <c r="AC185" s="243" t="s">
        <v>422</v>
      </c>
      <c r="AD185" s="243" t="s">
        <v>422</v>
      </c>
      <c r="AE185" s="243" t="s">
        <v>422</v>
      </c>
      <c r="AF185" s="243" t="s">
        <v>422</v>
      </c>
      <c r="AG185" s="243" t="s">
        <v>422</v>
      </c>
      <c r="AH185" s="243" t="s">
        <v>422</v>
      </c>
      <c r="AI185" s="243" t="s">
        <v>423</v>
      </c>
      <c r="AJ185" s="243" t="s">
        <v>423</v>
      </c>
      <c r="AK185" s="244" t="s">
        <v>140</v>
      </c>
      <c r="AL185" s="241"/>
      <c r="AM185" s="242" t="s">
        <v>1429</v>
      </c>
    </row>
    <row r="186" spans="1:39" ht="15" customHeight="1" x14ac:dyDescent="0.3">
      <c r="A186" s="185">
        <v>255</v>
      </c>
      <c r="B186" s="267" t="s">
        <v>1348</v>
      </c>
      <c r="C186" s="247" t="s">
        <v>1616</v>
      </c>
      <c r="D186" s="199" t="s">
        <v>1848</v>
      </c>
      <c r="E186" s="267"/>
      <c r="F186" s="267"/>
      <c r="G186" s="267" t="s">
        <v>1953</v>
      </c>
      <c r="H186" s="267"/>
      <c r="I186" s="359">
        <v>2</v>
      </c>
      <c r="J186" s="267"/>
      <c r="K186" s="360">
        <v>11</v>
      </c>
      <c r="L186" s="212">
        <v>1</v>
      </c>
      <c r="M186" s="212">
        <f t="shared" si="20"/>
        <v>14</v>
      </c>
      <c r="N186" s="212">
        <f t="shared" si="21"/>
        <v>16</v>
      </c>
      <c r="O186" s="212">
        <f t="shared" si="22"/>
        <v>0</v>
      </c>
      <c r="P186" s="212">
        <f t="shared" si="23"/>
        <v>73.333333333333343</v>
      </c>
      <c r="Q186" s="212">
        <f t="shared" si="24"/>
        <v>8</v>
      </c>
      <c r="R186" s="212">
        <f t="shared" si="25"/>
        <v>97.333333333333343</v>
      </c>
      <c r="S186" s="340" t="s">
        <v>1363</v>
      </c>
      <c r="T186" s="268" t="s">
        <v>1367</v>
      </c>
      <c r="U186" s="272">
        <v>6</v>
      </c>
      <c r="V186" s="272">
        <v>7</v>
      </c>
      <c r="W186" s="246">
        <v>44123</v>
      </c>
      <c r="X186" s="246">
        <v>44151</v>
      </c>
      <c r="Y186" s="245">
        <v>44176</v>
      </c>
      <c r="Z186" s="311">
        <f t="shared" si="18"/>
        <v>2020</v>
      </c>
      <c r="AA186" s="311">
        <f t="shared" si="19"/>
        <v>12</v>
      </c>
      <c r="AB186" s="243" t="s">
        <v>920</v>
      </c>
      <c r="AC186" s="243" t="s">
        <v>422</v>
      </c>
      <c r="AD186" s="243" t="s">
        <v>422</v>
      </c>
      <c r="AE186" s="243" t="s">
        <v>422</v>
      </c>
      <c r="AF186" s="243" t="s">
        <v>422</v>
      </c>
      <c r="AG186" s="243" t="s">
        <v>422</v>
      </c>
      <c r="AH186" s="243" t="s">
        <v>422</v>
      </c>
      <c r="AI186" s="243" t="s">
        <v>423</v>
      </c>
      <c r="AJ186" s="243" t="s">
        <v>423</v>
      </c>
      <c r="AK186" s="244" t="s">
        <v>140</v>
      </c>
      <c r="AL186" s="241"/>
      <c r="AM186" s="242" t="s">
        <v>1429</v>
      </c>
    </row>
    <row r="187" spans="1:39" ht="15" customHeight="1" x14ac:dyDescent="0.3">
      <c r="A187" s="185">
        <v>256</v>
      </c>
      <c r="B187" s="267" t="s">
        <v>1349</v>
      </c>
      <c r="C187" s="247" t="s">
        <v>1616</v>
      </c>
      <c r="D187" s="199" t="s">
        <v>1848</v>
      </c>
      <c r="E187" s="267"/>
      <c r="F187" s="267"/>
      <c r="G187" s="267" t="s">
        <v>1953</v>
      </c>
      <c r="H187" s="267"/>
      <c r="I187" s="359">
        <v>2</v>
      </c>
      <c r="J187" s="267"/>
      <c r="K187" s="360">
        <v>5.5</v>
      </c>
      <c r="L187" s="212">
        <v>0.5</v>
      </c>
      <c r="M187" s="212">
        <f t="shared" si="20"/>
        <v>8</v>
      </c>
      <c r="N187" s="212">
        <f t="shared" si="21"/>
        <v>16</v>
      </c>
      <c r="O187" s="212">
        <f t="shared" si="22"/>
        <v>0</v>
      </c>
      <c r="P187" s="212">
        <f t="shared" si="23"/>
        <v>36.666666666666671</v>
      </c>
      <c r="Q187" s="212">
        <f t="shared" si="24"/>
        <v>4</v>
      </c>
      <c r="R187" s="212">
        <f t="shared" si="25"/>
        <v>56.666666666666671</v>
      </c>
      <c r="S187" s="340" t="s">
        <v>1364</v>
      </c>
      <c r="T187" s="268" t="s">
        <v>1369</v>
      </c>
      <c r="U187" s="272">
        <v>12</v>
      </c>
      <c r="V187" s="272">
        <v>14</v>
      </c>
      <c r="W187" s="246">
        <v>44123</v>
      </c>
      <c r="X187" s="246">
        <v>44151</v>
      </c>
      <c r="Y187" s="245">
        <v>44176</v>
      </c>
      <c r="Z187" s="311">
        <f t="shared" si="18"/>
        <v>2020</v>
      </c>
      <c r="AA187" s="311">
        <f t="shared" si="19"/>
        <v>12</v>
      </c>
      <c r="AB187" s="243" t="s">
        <v>920</v>
      </c>
      <c r="AC187" s="243" t="s">
        <v>422</v>
      </c>
      <c r="AD187" s="243" t="s">
        <v>422</v>
      </c>
      <c r="AE187" s="243" t="s">
        <v>422</v>
      </c>
      <c r="AF187" s="243" t="s">
        <v>422</v>
      </c>
      <c r="AG187" s="243" t="s">
        <v>423</v>
      </c>
      <c r="AH187" s="243" t="s">
        <v>422</v>
      </c>
      <c r="AI187" s="243" t="s">
        <v>423</v>
      </c>
      <c r="AJ187" s="243" t="s">
        <v>423</v>
      </c>
      <c r="AK187" s="244" t="s">
        <v>140</v>
      </c>
      <c r="AL187" s="241"/>
      <c r="AM187" s="242" t="s">
        <v>1429</v>
      </c>
    </row>
    <row r="188" spans="1:39" ht="15" customHeight="1" x14ac:dyDescent="0.3">
      <c r="A188" s="185">
        <v>269</v>
      </c>
      <c r="B188" s="267" t="s">
        <v>1404</v>
      </c>
      <c r="C188" s="247" t="s">
        <v>1621</v>
      </c>
      <c r="D188" s="199" t="s">
        <v>1850</v>
      </c>
      <c r="E188" s="267"/>
      <c r="F188" s="267"/>
      <c r="G188" s="259" t="s">
        <v>1604</v>
      </c>
      <c r="H188" s="248" t="s">
        <v>1956</v>
      </c>
      <c r="I188" s="359">
        <v>2</v>
      </c>
      <c r="J188" s="267">
        <v>5</v>
      </c>
      <c r="K188" s="267">
        <v>0</v>
      </c>
      <c r="L188" s="212">
        <v>1</v>
      </c>
      <c r="M188" s="212">
        <f t="shared" si="20"/>
        <v>8</v>
      </c>
      <c r="N188" s="212">
        <f t="shared" si="21"/>
        <v>16</v>
      </c>
      <c r="O188" s="212">
        <f t="shared" si="22"/>
        <v>20</v>
      </c>
      <c r="P188" s="212">
        <f t="shared" si="23"/>
        <v>0</v>
      </c>
      <c r="Q188" s="212">
        <f t="shared" si="24"/>
        <v>8</v>
      </c>
      <c r="R188" s="212">
        <f t="shared" si="25"/>
        <v>44</v>
      </c>
      <c r="S188" s="268" t="s">
        <v>1412</v>
      </c>
      <c r="T188" s="268" t="s">
        <v>1426</v>
      </c>
      <c r="U188" s="272">
        <v>30</v>
      </c>
      <c r="V188" s="272">
        <v>30</v>
      </c>
      <c r="W188" s="246">
        <v>44156</v>
      </c>
      <c r="X188" s="246">
        <v>44170</v>
      </c>
      <c r="Y188" s="245">
        <v>44179</v>
      </c>
      <c r="Z188" s="311">
        <f t="shared" si="18"/>
        <v>2020</v>
      </c>
      <c r="AA188" s="311">
        <f t="shared" si="19"/>
        <v>12</v>
      </c>
      <c r="AB188" s="243" t="s">
        <v>920</v>
      </c>
      <c r="AC188" s="243" t="s">
        <v>422</v>
      </c>
      <c r="AD188" s="243" t="s">
        <v>423</v>
      </c>
      <c r="AE188" s="243" t="s">
        <v>422</v>
      </c>
      <c r="AF188" s="243" t="s">
        <v>422</v>
      </c>
      <c r="AG188" s="243" t="s">
        <v>423</v>
      </c>
      <c r="AH188" s="243" t="s">
        <v>423</v>
      </c>
      <c r="AI188" s="243" t="s">
        <v>423</v>
      </c>
      <c r="AJ188" s="243" t="s">
        <v>423</v>
      </c>
      <c r="AK188" s="244" t="s">
        <v>1240</v>
      </c>
      <c r="AL188" s="241"/>
      <c r="AM188" s="241"/>
    </row>
    <row r="189" spans="1:39" ht="15" customHeight="1" x14ac:dyDescent="0.3">
      <c r="A189" s="185">
        <v>270</v>
      </c>
      <c r="B189" s="267" t="s">
        <v>1405</v>
      </c>
      <c r="C189" s="247" t="s">
        <v>1621</v>
      </c>
      <c r="D189" s="200" t="s">
        <v>1850</v>
      </c>
      <c r="E189" s="267"/>
      <c r="F189" s="267"/>
      <c r="G189" s="259" t="s">
        <v>1604</v>
      </c>
      <c r="H189" s="248" t="s">
        <v>1956</v>
      </c>
      <c r="I189" s="359">
        <v>2</v>
      </c>
      <c r="J189" s="267">
        <f>6+1.2</f>
        <v>7.2</v>
      </c>
      <c r="K189" s="267">
        <v>0</v>
      </c>
      <c r="L189" s="212">
        <v>1</v>
      </c>
      <c r="M189" s="212">
        <f t="shared" si="20"/>
        <v>10.199999999999999</v>
      </c>
      <c r="N189" s="212">
        <f t="shared" si="21"/>
        <v>16</v>
      </c>
      <c r="O189" s="212">
        <f t="shared" si="22"/>
        <v>28.8</v>
      </c>
      <c r="P189" s="212">
        <f t="shared" si="23"/>
        <v>0</v>
      </c>
      <c r="Q189" s="212">
        <f t="shared" si="24"/>
        <v>8</v>
      </c>
      <c r="R189" s="212">
        <f t="shared" si="25"/>
        <v>52.8</v>
      </c>
      <c r="S189" s="268" t="s">
        <v>1413</v>
      </c>
      <c r="T189" s="268" t="s">
        <v>1414</v>
      </c>
      <c r="U189" s="272">
        <v>60</v>
      </c>
      <c r="V189" s="272">
        <v>60</v>
      </c>
      <c r="W189" s="246">
        <v>44156</v>
      </c>
      <c r="X189" s="246">
        <v>44170</v>
      </c>
      <c r="Y189" s="245">
        <v>44179</v>
      </c>
      <c r="Z189" s="311">
        <f t="shared" si="18"/>
        <v>2020</v>
      </c>
      <c r="AA189" s="311">
        <f t="shared" si="19"/>
        <v>12</v>
      </c>
      <c r="AB189" s="243" t="s">
        <v>920</v>
      </c>
      <c r="AC189" s="243" t="s">
        <v>422</v>
      </c>
      <c r="AD189" s="243" t="s">
        <v>423</v>
      </c>
      <c r="AE189" s="243" t="s">
        <v>422</v>
      </c>
      <c r="AF189" s="243" t="s">
        <v>422</v>
      </c>
      <c r="AG189" s="243" t="s">
        <v>423</v>
      </c>
      <c r="AH189" s="243" t="s">
        <v>423</v>
      </c>
      <c r="AI189" s="243" t="s">
        <v>423</v>
      </c>
      <c r="AJ189" s="243" t="s">
        <v>423</v>
      </c>
      <c r="AK189" s="244" t="s">
        <v>1240</v>
      </c>
      <c r="AL189" s="241"/>
      <c r="AM189" s="241"/>
    </row>
    <row r="190" spans="1:39" ht="15" customHeight="1" x14ac:dyDescent="0.3">
      <c r="A190" s="185">
        <v>271</v>
      </c>
      <c r="B190" s="267" t="s">
        <v>1406</v>
      </c>
      <c r="C190" s="247" t="s">
        <v>1621</v>
      </c>
      <c r="D190" s="200" t="s">
        <v>1851</v>
      </c>
      <c r="E190" s="267"/>
      <c r="F190" s="267"/>
      <c r="G190" s="259" t="s">
        <v>1604</v>
      </c>
      <c r="H190" s="267" t="s">
        <v>1955</v>
      </c>
      <c r="I190" s="359">
        <v>2</v>
      </c>
      <c r="J190" s="267">
        <v>8</v>
      </c>
      <c r="K190" s="267">
        <v>0</v>
      </c>
      <c r="L190" s="212">
        <v>1.5</v>
      </c>
      <c r="M190" s="212">
        <f t="shared" si="20"/>
        <v>11.5</v>
      </c>
      <c r="N190" s="212">
        <f t="shared" si="21"/>
        <v>16</v>
      </c>
      <c r="O190" s="212">
        <f t="shared" si="22"/>
        <v>32</v>
      </c>
      <c r="P190" s="212">
        <f t="shared" si="23"/>
        <v>0</v>
      </c>
      <c r="Q190" s="212">
        <f t="shared" si="24"/>
        <v>12</v>
      </c>
      <c r="R190" s="212">
        <f t="shared" si="25"/>
        <v>60</v>
      </c>
      <c r="S190" s="268" t="s">
        <v>1415</v>
      </c>
      <c r="T190" s="268" t="s">
        <v>1416</v>
      </c>
      <c r="U190" s="272">
        <v>42</v>
      </c>
      <c r="V190" s="272">
        <v>42</v>
      </c>
      <c r="W190" s="246">
        <v>44156</v>
      </c>
      <c r="X190" s="246">
        <v>44170</v>
      </c>
      <c r="Y190" s="245">
        <v>44179</v>
      </c>
      <c r="Z190" s="311">
        <f t="shared" si="18"/>
        <v>2020</v>
      </c>
      <c r="AA190" s="311">
        <f t="shared" si="19"/>
        <v>12</v>
      </c>
      <c r="AB190" s="243" t="s">
        <v>920</v>
      </c>
      <c r="AC190" s="243" t="s">
        <v>422</v>
      </c>
      <c r="AD190" s="243" t="s">
        <v>423</v>
      </c>
      <c r="AE190" s="243" t="s">
        <v>422</v>
      </c>
      <c r="AF190" s="243" t="s">
        <v>422</v>
      </c>
      <c r="AG190" s="243" t="s">
        <v>423</v>
      </c>
      <c r="AH190" s="243" t="s">
        <v>423</v>
      </c>
      <c r="AI190" s="243" t="s">
        <v>423</v>
      </c>
      <c r="AJ190" s="243" t="s">
        <v>423</v>
      </c>
      <c r="AK190" s="244" t="s">
        <v>1240</v>
      </c>
      <c r="AL190" s="241"/>
      <c r="AM190" s="241"/>
    </row>
    <row r="191" spans="1:39" ht="15" customHeight="1" x14ac:dyDescent="0.3">
      <c r="A191" s="185">
        <v>137</v>
      </c>
      <c r="B191" s="247" t="s">
        <v>1061</v>
      </c>
      <c r="C191" s="247" t="s">
        <v>1615</v>
      </c>
      <c r="D191" s="200" t="s">
        <v>1881</v>
      </c>
      <c r="E191" s="247"/>
      <c r="F191" s="247"/>
      <c r="G191" s="259" t="s">
        <v>1604</v>
      </c>
      <c r="H191" s="248" t="s">
        <v>1943</v>
      </c>
      <c r="I191" s="359">
        <v>2</v>
      </c>
      <c r="J191" s="248">
        <v>10</v>
      </c>
      <c r="K191" s="248">
        <v>0</v>
      </c>
      <c r="L191" s="212">
        <v>1</v>
      </c>
      <c r="M191" s="212">
        <f t="shared" si="20"/>
        <v>13</v>
      </c>
      <c r="N191" s="212">
        <f t="shared" si="21"/>
        <v>16</v>
      </c>
      <c r="O191" s="212">
        <f t="shared" si="22"/>
        <v>40</v>
      </c>
      <c r="P191" s="212">
        <f t="shared" si="23"/>
        <v>0</v>
      </c>
      <c r="Q191" s="212">
        <f t="shared" si="24"/>
        <v>8</v>
      </c>
      <c r="R191" s="212">
        <f t="shared" si="25"/>
        <v>64</v>
      </c>
      <c r="S191" s="260" t="s">
        <v>1074</v>
      </c>
      <c r="T191" s="261" t="s">
        <v>1087</v>
      </c>
      <c r="U191" s="272">
        <v>104</v>
      </c>
      <c r="V191" s="272">
        <v>106</v>
      </c>
      <c r="W191" s="245">
        <v>44039</v>
      </c>
      <c r="X191" s="262">
        <v>44075</v>
      </c>
      <c r="Y191" s="262">
        <v>44211</v>
      </c>
      <c r="Z191" s="311">
        <f t="shared" si="18"/>
        <v>2021</v>
      </c>
      <c r="AA191" s="311">
        <f t="shared" si="19"/>
        <v>1</v>
      </c>
      <c r="AB191" s="243" t="s">
        <v>920</v>
      </c>
      <c r="AC191" s="243" t="s">
        <v>422</v>
      </c>
      <c r="AD191" s="243" t="s">
        <v>422</v>
      </c>
      <c r="AE191" s="243" t="s">
        <v>422</v>
      </c>
      <c r="AF191" s="243" t="s">
        <v>422</v>
      </c>
      <c r="AG191" s="243" t="s">
        <v>422</v>
      </c>
      <c r="AH191" s="243" t="s">
        <v>422</v>
      </c>
      <c r="AI191" s="243" t="s">
        <v>422</v>
      </c>
      <c r="AJ191" s="243" t="s">
        <v>423</v>
      </c>
      <c r="AK191" s="244" t="s">
        <v>1372</v>
      </c>
      <c r="AL191" s="241"/>
      <c r="AM191" s="241"/>
    </row>
    <row r="192" spans="1:39" ht="15" customHeight="1" x14ac:dyDescent="0.3">
      <c r="A192" s="185">
        <v>139</v>
      </c>
      <c r="B192" s="247" t="s">
        <v>1063</v>
      </c>
      <c r="C192" s="247" t="s">
        <v>1615</v>
      </c>
      <c r="D192" s="200" t="s">
        <v>1881</v>
      </c>
      <c r="E192" s="247"/>
      <c r="F192" s="247"/>
      <c r="G192" s="248" t="s">
        <v>1939</v>
      </c>
      <c r="H192" s="248" t="s">
        <v>1010</v>
      </c>
      <c r="I192" s="359">
        <v>2</v>
      </c>
      <c r="J192" s="248"/>
      <c r="K192" s="248">
        <v>32</v>
      </c>
      <c r="L192" s="212">
        <v>1</v>
      </c>
      <c r="M192" s="212">
        <f t="shared" si="20"/>
        <v>35</v>
      </c>
      <c r="N192" s="212">
        <f t="shared" si="21"/>
        <v>16</v>
      </c>
      <c r="O192" s="212">
        <f t="shared" si="22"/>
        <v>0</v>
      </c>
      <c r="P192" s="212">
        <f t="shared" si="23"/>
        <v>213.33333333333334</v>
      </c>
      <c r="Q192" s="212">
        <f t="shared" si="24"/>
        <v>8</v>
      </c>
      <c r="R192" s="212">
        <f t="shared" si="25"/>
        <v>237.33333333333334</v>
      </c>
      <c r="S192" s="260" t="s">
        <v>1076</v>
      </c>
      <c r="T192" s="261" t="s">
        <v>1088</v>
      </c>
      <c r="U192" s="272">
        <v>88</v>
      </c>
      <c r="V192" s="272">
        <v>90</v>
      </c>
      <c r="W192" s="245">
        <v>44039</v>
      </c>
      <c r="X192" s="262">
        <v>44075</v>
      </c>
      <c r="Y192" s="262">
        <v>44211</v>
      </c>
      <c r="Z192" s="311">
        <f t="shared" si="18"/>
        <v>2021</v>
      </c>
      <c r="AA192" s="311">
        <f t="shared" si="19"/>
        <v>1</v>
      </c>
      <c r="AB192" s="243" t="s">
        <v>920</v>
      </c>
      <c r="AC192" s="243" t="s">
        <v>422</v>
      </c>
      <c r="AD192" s="243" t="s">
        <v>422</v>
      </c>
      <c r="AE192" s="243" t="s">
        <v>422</v>
      </c>
      <c r="AF192" s="243" t="s">
        <v>422</v>
      </c>
      <c r="AG192" s="243" t="s">
        <v>422</v>
      </c>
      <c r="AH192" s="243" t="s">
        <v>422</v>
      </c>
      <c r="AI192" s="243" t="s">
        <v>422</v>
      </c>
      <c r="AJ192" s="243" t="s">
        <v>423</v>
      </c>
      <c r="AK192" s="244" t="s">
        <v>140</v>
      </c>
      <c r="AL192" s="241"/>
      <c r="AM192" s="242" t="s">
        <v>1432</v>
      </c>
    </row>
    <row r="193" spans="1:39" ht="15" customHeight="1" x14ac:dyDescent="0.3">
      <c r="A193" s="185">
        <v>148</v>
      </c>
      <c r="B193" s="247" t="s">
        <v>1100</v>
      </c>
      <c r="C193" s="247" t="s">
        <v>1616</v>
      </c>
      <c r="D193" s="200" t="s">
        <v>1848</v>
      </c>
      <c r="E193" s="196" t="s">
        <v>1596</v>
      </c>
      <c r="F193" s="247"/>
      <c r="G193" s="248" t="s">
        <v>355</v>
      </c>
      <c r="H193" s="248" t="s">
        <v>1010</v>
      </c>
      <c r="I193" s="359">
        <v>1</v>
      </c>
      <c r="J193" s="248">
        <v>2.5</v>
      </c>
      <c r="K193" s="248">
        <v>5.5</v>
      </c>
      <c r="L193" s="212">
        <v>0.5</v>
      </c>
      <c r="M193" s="212">
        <f t="shared" si="20"/>
        <v>9.5</v>
      </c>
      <c r="N193" s="212">
        <f t="shared" si="21"/>
        <v>8</v>
      </c>
      <c r="O193" s="212">
        <f t="shared" si="22"/>
        <v>10</v>
      </c>
      <c r="P193" s="212">
        <f t="shared" si="23"/>
        <v>36.666666666666671</v>
      </c>
      <c r="Q193" s="212">
        <f t="shared" si="24"/>
        <v>4</v>
      </c>
      <c r="R193" s="212">
        <f t="shared" si="25"/>
        <v>58.666666666666671</v>
      </c>
      <c r="S193" s="260" t="s">
        <v>714</v>
      </c>
      <c r="T193" s="263" t="s">
        <v>1112</v>
      </c>
      <c r="U193" s="272">
        <f>32+76</f>
        <v>108</v>
      </c>
      <c r="V193" s="272">
        <f>+U193</f>
        <v>108</v>
      </c>
      <c r="W193" s="245">
        <v>44063</v>
      </c>
      <c r="X193" s="245">
        <v>44180</v>
      </c>
      <c r="Y193" s="245">
        <v>44211</v>
      </c>
      <c r="Z193" s="311">
        <f t="shared" si="18"/>
        <v>2021</v>
      </c>
      <c r="AA193" s="311">
        <f t="shared" si="19"/>
        <v>1</v>
      </c>
      <c r="AB193" s="243" t="s">
        <v>920</v>
      </c>
      <c r="AC193" s="243" t="s">
        <v>422</v>
      </c>
      <c r="AD193" s="243" t="s">
        <v>423</v>
      </c>
      <c r="AE193" s="243" t="s">
        <v>422</v>
      </c>
      <c r="AF193" s="243" t="s">
        <v>422</v>
      </c>
      <c r="AG193" s="243" t="s">
        <v>423</v>
      </c>
      <c r="AH193" s="243" t="s">
        <v>422</v>
      </c>
      <c r="AI193" s="243" t="s">
        <v>423</v>
      </c>
      <c r="AJ193" s="243" t="s">
        <v>423</v>
      </c>
      <c r="AK193" s="244" t="s">
        <v>140</v>
      </c>
      <c r="AL193" s="241"/>
      <c r="AM193" s="242" t="s">
        <v>1602</v>
      </c>
    </row>
    <row r="194" spans="1:39" ht="15" customHeight="1" x14ac:dyDescent="0.3">
      <c r="A194" s="185">
        <v>149</v>
      </c>
      <c r="B194" s="247" t="s">
        <v>1101</v>
      </c>
      <c r="C194" s="247" t="s">
        <v>1616</v>
      </c>
      <c r="D194" s="200" t="s">
        <v>1848</v>
      </c>
      <c r="E194" s="196" t="s">
        <v>1596</v>
      </c>
      <c r="F194" s="247"/>
      <c r="G194" s="248" t="s">
        <v>355</v>
      </c>
      <c r="H194" s="248" t="s">
        <v>1010</v>
      </c>
      <c r="I194" s="359">
        <v>1</v>
      </c>
      <c r="J194" s="248">
        <v>2.5</v>
      </c>
      <c r="K194" s="248">
        <v>5.5</v>
      </c>
      <c r="L194" s="212">
        <v>0.5</v>
      </c>
      <c r="M194" s="212">
        <f t="shared" si="20"/>
        <v>9.5</v>
      </c>
      <c r="N194" s="212">
        <f t="shared" si="21"/>
        <v>8</v>
      </c>
      <c r="O194" s="212">
        <f t="shared" si="22"/>
        <v>10</v>
      </c>
      <c r="P194" s="212">
        <f t="shared" si="23"/>
        <v>36.666666666666671</v>
      </c>
      <c r="Q194" s="212">
        <f t="shared" si="24"/>
        <v>4</v>
      </c>
      <c r="R194" s="212">
        <f t="shared" si="25"/>
        <v>58.666666666666671</v>
      </c>
      <c r="S194" s="260" t="s">
        <v>716</v>
      </c>
      <c r="T194" s="263" t="s">
        <v>1113</v>
      </c>
      <c r="U194" s="272">
        <f>50+120</f>
        <v>170</v>
      </c>
      <c r="V194" s="272">
        <f>+U194</f>
        <v>170</v>
      </c>
      <c r="W194" s="245">
        <v>44063</v>
      </c>
      <c r="X194" s="245">
        <v>44180</v>
      </c>
      <c r="Y194" s="245">
        <v>44211</v>
      </c>
      <c r="Z194" s="311">
        <f t="shared" si="18"/>
        <v>2021</v>
      </c>
      <c r="AA194" s="311">
        <f t="shared" si="19"/>
        <v>1</v>
      </c>
      <c r="AB194" s="243" t="s">
        <v>920</v>
      </c>
      <c r="AC194" s="243" t="s">
        <v>422</v>
      </c>
      <c r="AD194" s="243" t="s">
        <v>423</v>
      </c>
      <c r="AE194" s="243" t="s">
        <v>422</v>
      </c>
      <c r="AF194" s="243" t="s">
        <v>422</v>
      </c>
      <c r="AG194" s="243" t="s">
        <v>423</v>
      </c>
      <c r="AH194" s="243" t="s">
        <v>422</v>
      </c>
      <c r="AI194" s="243" t="s">
        <v>423</v>
      </c>
      <c r="AJ194" s="243" t="s">
        <v>423</v>
      </c>
      <c r="AK194" s="244" t="s">
        <v>140</v>
      </c>
      <c r="AL194" s="241"/>
      <c r="AM194" s="242" t="s">
        <v>1602</v>
      </c>
    </row>
    <row r="195" spans="1:39" ht="15" customHeight="1" x14ac:dyDescent="0.3">
      <c r="A195" s="185">
        <v>150</v>
      </c>
      <c r="B195" s="247" t="s">
        <v>1102</v>
      </c>
      <c r="C195" s="247" t="s">
        <v>1616</v>
      </c>
      <c r="D195" s="200" t="s">
        <v>1848</v>
      </c>
      <c r="E195" s="196" t="s">
        <v>1596</v>
      </c>
      <c r="F195" s="247"/>
      <c r="G195" s="248" t="s">
        <v>355</v>
      </c>
      <c r="H195" s="248" t="s">
        <v>1945</v>
      </c>
      <c r="I195" s="359">
        <v>1</v>
      </c>
      <c r="J195" s="248">
        <v>4</v>
      </c>
      <c r="K195" s="248">
        <v>5.5</v>
      </c>
      <c r="L195" s="212">
        <v>0.5</v>
      </c>
      <c r="M195" s="212">
        <f t="shared" si="20"/>
        <v>11</v>
      </c>
      <c r="N195" s="212">
        <f t="shared" si="21"/>
        <v>8</v>
      </c>
      <c r="O195" s="212">
        <f t="shared" si="22"/>
        <v>16</v>
      </c>
      <c r="P195" s="212">
        <f t="shared" si="23"/>
        <v>36.666666666666671</v>
      </c>
      <c r="Q195" s="212">
        <f t="shared" si="24"/>
        <v>4</v>
      </c>
      <c r="R195" s="212">
        <f t="shared" si="25"/>
        <v>64.666666666666671</v>
      </c>
      <c r="S195" s="260" t="s">
        <v>736</v>
      </c>
      <c r="T195" s="263" t="s">
        <v>1114</v>
      </c>
      <c r="U195" s="272">
        <f>62+90</f>
        <v>152</v>
      </c>
      <c r="V195" s="272">
        <f>+U195</f>
        <v>152</v>
      </c>
      <c r="W195" s="245">
        <v>44063</v>
      </c>
      <c r="X195" s="245">
        <v>44180</v>
      </c>
      <c r="Y195" s="245">
        <v>44211</v>
      </c>
      <c r="Z195" s="311">
        <f t="shared" si="18"/>
        <v>2021</v>
      </c>
      <c r="AA195" s="311">
        <f t="shared" si="19"/>
        <v>1</v>
      </c>
      <c r="AB195" s="243" t="s">
        <v>920</v>
      </c>
      <c r="AC195" s="243" t="s">
        <v>422</v>
      </c>
      <c r="AD195" s="243" t="s">
        <v>423</v>
      </c>
      <c r="AE195" s="243" t="s">
        <v>422</v>
      </c>
      <c r="AF195" s="243" t="s">
        <v>422</v>
      </c>
      <c r="AG195" s="243" t="s">
        <v>423</v>
      </c>
      <c r="AH195" s="243" t="s">
        <v>422</v>
      </c>
      <c r="AI195" s="243" t="s">
        <v>423</v>
      </c>
      <c r="AJ195" s="243" t="s">
        <v>423</v>
      </c>
      <c r="AK195" s="244" t="s">
        <v>1372</v>
      </c>
      <c r="AL195" s="241"/>
      <c r="AM195" s="242" t="s">
        <v>1602</v>
      </c>
    </row>
    <row r="196" spans="1:39" ht="15" customHeight="1" x14ac:dyDescent="0.3">
      <c r="A196" s="185">
        <v>151</v>
      </c>
      <c r="B196" s="264" t="s">
        <v>1103</v>
      </c>
      <c r="C196" s="247" t="s">
        <v>1616</v>
      </c>
      <c r="D196" s="200" t="s">
        <v>1848</v>
      </c>
      <c r="E196" s="337" t="s">
        <v>1596</v>
      </c>
      <c r="F196" s="264"/>
      <c r="G196" s="248" t="s">
        <v>355</v>
      </c>
      <c r="H196" s="248" t="s">
        <v>1010</v>
      </c>
      <c r="I196" s="359">
        <v>2</v>
      </c>
      <c r="J196" s="316">
        <v>4.7</v>
      </c>
      <c r="K196" s="316">
        <v>6</v>
      </c>
      <c r="L196" s="212">
        <v>1</v>
      </c>
      <c r="M196" s="212">
        <f t="shared" si="20"/>
        <v>13.7</v>
      </c>
      <c r="N196" s="212">
        <f t="shared" si="21"/>
        <v>16</v>
      </c>
      <c r="O196" s="212">
        <f t="shared" si="22"/>
        <v>18.8</v>
      </c>
      <c r="P196" s="212">
        <f t="shared" si="23"/>
        <v>40</v>
      </c>
      <c r="Q196" s="212">
        <f t="shared" si="24"/>
        <v>8</v>
      </c>
      <c r="R196" s="212">
        <f t="shared" si="25"/>
        <v>82.8</v>
      </c>
      <c r="S196" s="265" t="s">
        <v>718</v>
      </c>
      <c r="T196" s="266" t="s">
        <v>1115</v>
      </c>
      <c r="U196" s="272">
        <f>76+62</f>
        <v>138</v>
      </c>
      <c r="V196" s="272">
        <f>+U196</f>
        <v>138</v>
      </c>
      <c r="W196" s="245">
        <v>44063</v>
      </c>
      <c r="X196" s="245">
        <v>44180</v>
      </c>
      <c r="Y196" s="245">
        <v>44211</v>
      </c>
      <c r="Z196" s="311">
        <f t="shared" ref="Z196:Z259" si="26">IF(YEAR(Y196)&gt;2000,YEAR(Y196),YEAR(X196))</f>
        <v>2021</v>
      </c>
      <c r="AA196" s="311">
        <f t="shared" ref="AA196:AA259" si="27">MONTH(Y196)</f>
        <v>1</v>
      </c>
      <c r="AB196" s="243" t="s">
        <v>920</v>
      </c>
      <c r="AC196" s="243" t="s">
        <v>422</v>
      </c>
      <c r="AD196" s="243" t="s">
        <v>423</v>
      </c>
      <c r="AE196" s="243" t="s">
        <v>422</v>
      </c>
      <c r="AF196" s="243" t="s">
        <v>422</v>
      </c>
      <c r="AG196" s="243" t="s">
        <v>423</v>
      </c>
      <c r="AH196" s="243" t="s">
        <v>422</v>
      </c>
      <c r="AI196" s="243" t="s">
        <v>423</v>
      </c>
      <c r="AJ196" s="243" t="s">
        <v>423</v>
      </c>
      <c r="AK196" s="244" t="s">
        <v>140</v>
      </c>
      <c r="AL196" s="241"/>
      <c r="AM196" s="242" t="s">
        <v>1602</v>
      </c>
    </row>
    <row r="197" spans="1:39" ht="15" customHeight="1" x14ac:dyDescent="0.3">
      <c r="A197" s="185">
        <v>152</v>
      </c>
      <c r="B197" s="247" t="s">
        <v>1104</v>
      </c>
      <c r="C197" s="247" t="s">
        <v>1616</v>
      </c>
      <c r="D197" s="199" t="s">
        <v>1848</v>
      </c>
      <c r="E197" s="196" t="s">
        <v>1596</v>
      </c>
      <c r="F197" s="247"/>
      <c r="G197" s="248" t="s">
        <v>1596</v>
      </c>
      <c r="H197" s="248" t="s">
        <v>1943</v>
      </c>
      <c r="I197" s="359">
        <v>2</v>
      </c>
      <c r="J197" s="248">
        <v>10</v>
      </c>
      <c r="K197" s="248">
        <v>8.5</v>
      </c>
      <c r="L197" s="212">
        <v>1</v>
      </c>
      <c r="M197" s="212">
        <f t="shared" si="20"/>
        <v>21.5</v>
      </c>
      <c r="N197" s="212">
        <f t="shared" si="21"/>
        <v>16</v>
      </c>
      <c r="O197" s="212">
        <f t="shared" si="22"/>
        <v>40</v>
      </c>
      <c r="P197" s="212">
        <f t="shared" si="23"/>
        <v>56.666666666666671</v>
      </c>
      <c r="Q197" s="212">
        <f t="shared" si="24"/>
        <v>8</v>
      </c>
      <c r="R197" s="212">
        <f t="shared" si="25"/>
        <v>120.66666666666667</v>
      </c>
      <c r="S197" s="260" t="s">
        <v>1116</v>
      </c>
      <c r="T197" s="263" t="s">
        <v>1117</v>
      </c>
      <c r="U197" s="272">
        <v>212</v>
      </c>
      <c r="V197" s="272">
        <f>+U197</f>
        <v>212</v>
      </c>
      <c r="W197" s="245">
        <v>44063</v>
      </c>
      <c r="X197" s="245">
        <v>44180</v>
      </c>
      <c r="Y197" s="245">
        <v>44211</v>
      </c>
      <c r="Z197" s="311">
        <f t="shared" si="26"/>
        <v>2021</v>
      </c>
      <c r="AA197" s="311">
        <f t="shared" si="27"/>
        <v>1</v>
      </c>
      <c r="AB197" s="243" t="s">
        <v>920</v>
      </c>
      <c r="AC197" s="243" t="s">
        <v>422</v>
      </c>
      <c r="AD197" s="243" t="s">
        <v>422</v>
      </c>
      <c r="AE197" s="243" t="s">
        <v>422</v>
      </c>
      <c r="AF197" s="243" t="s">
        <v>422</v>
      </c>
      <c r="AG197" s="243" t="s">
        <v>422</v>
      </c>
      <c r="AH197" s="243" t="s">
        <v>422</v>
      </c>
      <c r="AI197" s="243" t="s">
        <v>423</v>
      </c>
      <c r="AJ197" s="243" t="s">
        <v>423</v>
      </c>
      <c r="AK197" s="244" t="s">
        <v>1372</v>
      </c>
      <c r="AL197" s="241"/>
      <c r="AM197" s="243" t="s">
        <v>1433</v>
      </c>
    </row>
    <row r="198" spans="1:39" ht="15" customHeight="1" x14ac:dyDescent="0.3">
      <c r="A198" s="185">
        <v>153</v>
      </c>
      <c r="B198" s="247" t="s">
        <v>1105</v>
      </c>
      <c r="C198" s="247" t="s">
        <v>1616</v>
      </c>
      <c r="D198" s="199" t="s">
        <v>1848</v>
      </c>
      <c r="E198" s="196" t="s">
        <v>1596</v>
      </c>
      <c r="F198" s="247"/>
      <c r="G198" s="248" t="s">
        <v>355</v>
      </c>
      <c r="H198" s="248" t="s">
        <v>1596</v>
      </c>
      <c r="I198" s="359">
        <v>2</v>
      </c>
      <c r="J198" s="248"/>
      <c r="K198" s="248">
        <v>8.1999999999999993</v>
      </c>
      <c r="L198" s="212">
        <v>1</v>
      </c>
      <c r="M198" s="212">
        <f t="shared" si="20"/>
        <v>11.2</v>
      </c>
      <c r="N198" s="212">
        <f t="shared" si="21"/>
        <v>16</v>
      </c>
      <c r="O198" s="212">
        <f t="shared" si="22"/>
        <v>0</v>
      </c>
      <c r="P198" s="212">
        <f t="shared" si="23"/>
        <v>54.666666666666664</v>
      </c>
      <c r="Q198" s="212">
        <f t="shared" si="24"/>
        <v>8</v>
      </c>
      <c r="R198" s="212">
        <f t="shared" si="25"/>
        <v>78.666666666666657</v>
      </c>
      <c r="S198" s="260" t="s">
        <v>1116</v>
      </c>
      <c r="T198" s="263" t="s">
        <v>1117</v>
      </c>
      <c r="U198" s="272">
        <v>220</v>
      </c>
      <c r="V198" s="272">
        <v>220</v>
      </c>
      <c r="W198" s="245">
        <v>44063</v>
      </c>
      <c r="X198" s="245">
        <v>44180</v>
      </c>
      <c r="Y198" s="245">
        <v>44211</v>
      </c>
      <c r="Z198" s="311">
        <f t="shared" si="26"/>
        <v>2021</v>
      </c>
      <c r="AA198" s="311">
        <f t="shared" si="27"/>
        <v>1</v>
      </c>
      <c r="AB198" s="243" t="s">
        <v>920</v>
      </c>
      <c r="AC198" s="243" t="s">
        <v>422</v>
      </c>
      <c r="AD198" s="243" t="s">
        <v>422</v>
      </c>
      <c r="AE198" s="243" t="s">
        <v>422</v>
      </c>
      <c r="AF198" s="243" t="s">
        <v>422</v>
      </c>
      <c r="AG198" s="243" t="s">
        <v>422</v>
      </c>
      <c r="AH198" s="243" t="s">
        <v>422</v>
      </c>
      <c r="AI198" s="243" t="s">
        <v>423</v>
      </c>
      <c r="AJ198" s="243" t="s">
        <v>423</v>
      </c>
      <c r="AK198" s="244" t="s">
        <v>1372</v>
      </c>
      <c r="AL198" s="241"/>
      <c r="AM198" s="242" t="s">
        <v>1432</v>
      </c>
    </row>
    <row r="199" spans="1:39" ht="15" customHeight="1" x14ac:dyDescent="0.3">
      <c r="A199" s="185">
        <v>154</v>
      </c>
      <c r="B199" s="247" t="s">
        <v>1106</v>
      </c>
      <c r="C199" s="247" t="s">
        <v>1616</v>
      </c>
      <c r="D199" s="199" t="s">
        <v>1848</v>
      </c>
      <c r="E199" s="196" t="s">
        <v>1596</v>
      </c>
      <c r="F199" s="247"/>
      <c r="G199" s="248" t="s">
        <v>355</v>
      </c>
      <c r="H199" s="248" t="s">
        <v>1943</v>
      </c>
      <c r="I199" s="359">
        <v>2</v>
      </c>
      <c r="J199" s="248">
        <v>9</v>
      </c>
      <c r="K199" s="248">
        <v>8.1999999999999993</v>
      </c>
      <c r="L199" s="212">
        <v>1</v>
      </c>
      <c r="M199" s="212">
        <f t="shared" ref="M199:M262" si="28">SUM((I199:L199))</f>
        <v>20.2</v>
      </c>
      <c r="N199" s="212">
        <f t="shared" ref="N199:N262" si="29">+I199/0.125</f>
        <v>16</v>
      </c>
      <c r="O199" s="212">
        <f t="shared" ref="O199:O262" si="30">+J199/0.25</f>
        <v>36</v>
      </c>
      <c r="P199" s="212">
        <f t="shared" ref="P199:P262" si="31">+K199/0.15</f>
        <v>54.666666666666664</v>
      </c>
      <c r="Q199" s="212">
        <f t="shared" ref="Q199:Q262" si="32">+L199/0.125</f>
        <v>8</v>
      </c>
      <c r="R199" s="212">
        <f t="shared" ref="R199:R262" si="33">SUM(N199:Q199)</f>
        <v>114.66666666666666</v>
      </c>
      <c r="S199" s="260" t="s">
        <v>1118</v>
      </c>
      <c r="T199" s="263" t="s">
        <v>1119</v>
      </c>
      <c r="U199" s="272">
        <v>204</v>
      </c>
      <c r="V199" s="272">
        <f>+U199</f>
        <v>204</v>
      </c>
      <c r="W199" s="245">
        <v>44063</v>
      </c>
      <c r="X199" s="245">
        <v>44180</v>
      </c>
      <c r="Y199" s="245">
        <v>44211</v>
      </c>
      <c r="Z199" s="311">
        <f t="shared" si="26"/>
        <v>2021</v>
      </c>
      <c r="AA199" s="311">
        <f t="shared" si="27"/>
        <v>1</v>
      </c>
      <c r="AB199" s="243" t="s">
        <v>920</v>
      </c>
      <c r="AC199" s="243" t="s">
        <v>422</v>
      </c>
      <c r="AD199" s="243" t="s">
        <v>422</v>
      </c>
      <c r="AE199" s="243" t="s">
        <v>422</v>
      </c>
      <c r="AF199" s="243" t="s">
        <v>422</v>
      </c>
      <c r="AG199" s="243" t="s">
        <v>422</v>
      </c>
      <c r="AH199" s="243" t="s">
        <v>422</v>
      </c>
      <c r="AI199" s="243" t="s">
        <v>423</v>
      </c>
      <c r="AJ199" s="243" t="s">
        <v>423</v>
      </c>
      <c r="AK199" s="244" t="s">
        <v>1372</v>
      </c>
      <c r="AL199" s="241"/>
      <c r="AM199" s="242" t="s">
        <v>1432</v>
      </c>
    </row>
    <row r="200" spans="1:39" ht="15" customHeight="1" x14ac:dyDescent="0.3">
      <c r="A200" s="185">
        <v>155</v>
      </c>
      <c r="B200" s="247" t="s">
        <v>1107</v>
      </c>
      <c r="C200" s="247" t="s">
        <v>1616</v>
      </c>
      <c r="D200" s="199" t="s">
        <v>1848</v>
      </c>
      <c r="E200" s="196" t="s">
        <v>1596</v>
      </c>
      <c r="F200" s="247"/>
      <c r="G200" s="248" t="s">
        <v>355</v>
      </c>
      <c r="H200" s="248" t="s">
        <v>1943</v>
      </c>
      <c r="I200" s="359">
        <v>2</v>
      </c>
      <c r="J200" s="248">
        <v>9</v>
      </c>
      <c r="K200" s="248">
        <v>16</v>
      </c>
      <c r="L200" s="212">
        <v>1</v>
      </c>
      <c r="M200" s="212">
        <f t="shared" si="28"/>
        <v>28</v>
      </c>
      <c r="N200" s="212">
        <f t="shared" si="29"/>
        <v>16</v>
      </c>
      <c r="O200" s="212">
        <f t="shared" si="30"/>
        <v>36</v>
      </c>
      <c r="P200" s="212">
        <f t="shared" si="31"/>
        <v>106.66666666666667</v>
      </c>
      <c r="Q200" s="212">
        <f t="shared" si="32"/>
        <v>8</v>
      </c>
      <c r="R200" s="212">
        <f t="shared" si="33"/>
        <v>166.66666666666669</v>
      </c>
      <c r="S200" s="260" t="s">
        <v>1120</v>
      </c>
      <c r="T200" s="263" t="s">
        <v>1119</v>
      </c>
      <c r="U200" s="272">
        <v>188</v>
      </c>
      <c r="V200" s="272">
        <v>189</v>
      </c>
      <c r="W200" s="245">
        <v>44063</v>
      </c>
      <c r="X200" s="245">
        <v>44180</v>
      </c>
      <c r="Y200" s="245">
        <v>44211</v>
      </c>
      <c r="Z200" s="311">
        <f t="shared" si="26"/>
        <v>2021</v>
      </c>
      <c r="AA200" s="311">
        <f t="shared" si="27"/>
        <v>1</v>
      </c>
      <c r="AB200" s="243" t="s">
        <v>920</v>
      </c>
      <c r="AC200" s="243" t="s">
        <v>422</v>
      </c>
      <c r="AD200" s="243" t="s">
        <v>422</v>
      </c>
      <c r="AE200" s="243" t="s">
        <v>422</v>
      </c>
      <c r="AF200" s="243" t="s">
        <v>422</v>
      </c>
      <c r="AG200" s="243" t="s">
        <v>422</v>
      </c>
      <c r="AH200" s="243" t="s">
        <v>422</v>
      </c>
      <c r="AI200" s="243" t="s">
        <v>423</v>
      </c>
      <c r="AJ200" s="243" t="s">
        <v>423</v>
      </c>
      <c r="AK200" s="244" t="s">
        <v>1372</v>
      </c>
      <c r="AL200" s="241"/>
      <c r="AM200" s="243" t="s">
        <v>1433</v>
      </c>
    </row>
    <row r="201" spans="1:39" ht="15" customHeight="1" x14ac:dyDescent="0.3">
      <c r="A201" s="185">
        <v>156</v>
      </c>
      <c r="B201" s="247" t="s">
        <v>1108</v>
      </c>
      <c r="C201" s="247" t="s">
        <v>1616</v>
      </c>
      <c r="D201" s="199" t="s">
        <v>1848</v>
      </c>
      <c r="E201" s="196" t="s">
        <v>1596</v>
      </c>
      <c r="F201" s="247"/>
      <c r="G201" s="248" t="s">
        <v>355</v>
      </c>
      <c r="H201" s="248" t="s">
        <v>1943</v>
      </c>
      <c r="I201" s="359">
        <v>2</v>
      </c>
      <c r="J201" s="248">
        <v>9</v>
      </c>
      <c r="K201" s="248">
        <v>8.1999999999999993</v>
      </c>
      <c r="L201" s="212">
        <v>1</v>
      </c>
      <c r="M201" s="212">
        <f t="shared" si="28"/>
        <v>20.2</v>
      </c>
      <c r="N201" s="212">
        <f t="shared" si="29"/>
        <v>16</v>
      </c>
      <c r="O201" s="212">
        <f t="shared" si="30"/>
        <v>36</v>
      </c>
      <c r="P201" s="212">
        <f t="shared" si="31"/>
        <v>54.666666666666664</v>
      </c>
      <c r="Q201" s="212">
        <f t="shared" si="32"/>
        <v>8</v>
      </c>
      <c r="R201" s="212">
        <f t="shared" si="33"/>
        <v>114.66666666666666</v>
      </c>
      <c r="S201" s="260" t="s">
        <v>1121</v>
      </c>
      <c r="T201" s="263" t="s">
        <v>1122</v>
      </c>
      <c r="U201" s="272">
        <v>224</v>
      </c>
      <c r="V201" s="272">
        <f>+U201</f>
        <v>224</v>
      </c>
      <c r="W201" s="245">
        <v>44063</v>
      </c>
      <c r="X201" s="245">
        <v>44180</v>
      </c>
      <c r="Y201" s="245">
        <v>44211</v>
      </c>
      <c r="Z201" s="311">
        <f t="shared" si="26"/>
        <v>2021</v>
      </c>
      <c r="AA201" s="311">
        <f t="shared" si="27"/>
        <v>1</v>
      </c>
      <c r="AB201" s="243" t="s">
        <v>920</v>
      </c>
      <c r="AC201" s="243" t="s">
        <v>422</v>
      </c>
      <c r="AD201" s="243" t="s">
        <v>422</v>
      </c>
      <c r="AE201" s="243" t="s">
        <v>422</v>
      </c>
      <c r="AF201" s="243" t="s">
        <v>422</v>
      </c>
      <c r="AG201" s="243" t="s">
        <v>422</v>
      </c>
      <c r="AH201" s="243" t="s">
        <v>422</v>
      </c>
      <c r="AI201" s="243" t="s">
        <v>423</v>
      </c>
      <c r="AJ201" s="243" t="s">
        <v>423</v>
      </c>
      <c r="AK201" s="244" t="s">
        <v>1372</v>
      </c>
      <c r="AL201" s="241"/>
      <c r="AM201" s="242" t="s">
        <v>1432</v>
      </c>
    </row>
    <row r="202" spans="1:39" ht="15" customHeight="1" x14ac:dyDescent="0.3">
      <c r="A202" s="185">
        <v>157</v>
      </c>
      <c r="B202" s="247" t="s">
        <v>1109</v>
      </c>
      <c r="C202" s="247" t="s">
        <v>1616</v>
      </c>
      <c r="D202" s="199" t="s">
        <v>1848</v>
      </c>
      <c r="E202" s="196" t="s">
        <v>1596</v>
      </c>
      <c r="F202" s="247"/>
      <c r="G202" s="248" t="s">
        <v>355</v>
      </c>
      <c r="H202" s="248" t="s">
        <v>1943</v>
      </c>
      <c r="I202" s="359">
        <v>2</v>
      </c>
      <c r="J202" s="248">
        <v>8.5</v>
      </c>
      <c r="K202" s="248">
        <v>16</v>
      </c>
      <c r="L202" s="212">
        <v>1</v>
      </c>
      <c r="M202" s="212">
        <f t="shared" si="28"/>
        <v>27.5</v>
      </c>
      <c r="N202" s="212">
        <f t="shared" si="29"/>
        <v>16</v>
      </c>
      <c r="O202" s="212">
        <f t="shared" si="30"/>
        <v>34</v>
      </c>
      <c r="P202" s="212">
        <f t="shared" si="31"/>
        <v>106.66666666666667</v>
      </c>
      <c r="Q202" s="212">
        <f t="shared" si="32"/>
        <v>8</v>
      </c>
      <c r="R202" s="212">
        <f t="shared" si="33"/>
        <v>164.66666666666669</v>
      </c>
      <c r="S202" s="260" t="s">
        <v>1123</v>
      </c>
      <c r="T202" s="263" t="s">
        <v>1122</v>
      </c>
      <c r="U202" s="272">
        <v>200</v>
      </c>
      <c r="V202" s="272">
        <v>189</v>
      </c>
      <c r="W202" s="245">
        <v>44063</v>
      </c>
      <c r="X202" s="245">
        <v>44180</v>
      </c>
      <c r="Y202" s="245">
        <v>44211</v>
      </c>
      <c r="Z202" s="311">
        <f t="shared" si="26"/>
        <v>2021</v>
      </c>
      <c r="AA202" s="311">
        <f t="shared" si="27"/>
        <v>1</v>
      </c>
      <c r="AB202" s="243" t="s">
        <v>920</v>
      </c>
      <c r="AC202" s="243" t="s">
        <v>422</v>
      </c>
      <c r="AD202" s="243" t="s">
        <v>422</v>
      </c>
      <c r="AE202" s="243" t="s">
        <v>422</v>
      </c>
      <c r="AF202" s="243" t="s">
        <v>422</v>
      </c>
      <c r="AG202" s="243" t="s">
        <v>422</v>
      </c>
      <c r="AH202" s="243" t="s">
        <v>422</v>
      </c>
      <c r="AI202" s="243" t="s">
        <v>423</v>
      </c>
      <c r="AJ202" s="243" t="s">
        <v>423</v>
      </c>
      <c r="AK202" s="244" t="s">
        <v>1372</v>
      </c>
      <c r="AL202" s="241"/>
      <c r="AM202" s="243" t="s">
        <v>1433</v>
      </c>
    </row>
    <row r="203" spans="1:39" ht="15" customHeight="1" x14ac:dyDescent="0.3">
      <c r="A203" s="185">
        <v>158</v>
      </c>
      <c r="B203" s="247" t="s">
        <v>1110</v>
      </c>
      <c r="C203" s="247" t="s">
        <v>1616</v>
      </c>
      <c r="D203" s="199" t="s">
        <v>1848</v>
      </c>
      <c r="E203" s="196" t="s">
        <v>1596</v>
      </c>
      <c r="F203" s="247"/>
      <c r="G203" s="248" t="s">
        <v>355</v>
      </c>
      <c r="H203" s="248" t="s">
        <v>1943</v>
      </c>
      <c r="I203" s="359">
        <v>2</v>
      </c>
      <c r="J203" s="248">
        <v>8.5</v>
      </c>
      <c r="K203" s="248">
        <v>8.5</v>
      </c>
      <c r="L203" s="212">
        <v>1</v>
      </c>
      <c r="M203" s="212">
        <f t="shared" si="28"/>
        <v>20</v>
      </c>
      <c r="N203" s="212">
        <f t="shared" si="29"/>
        <v>16</v>
      </c>
      <c r="O203" s="212">
        <f t="shared" si="30"/>
        <v>34</v>
      </c>
      <c r="P203" s="212">
        <f t="shared" si="31"/>
        <v>56.666666666666671</v>
      </c>
      <c r="Q203" s="212">
        <f t="shared" si="32"/>
        <v>8</v>
      </c>
      <c r="R203" s="212">
        <f t="shared" si="33"/>
        <v>114.66666666666667</v>
      </c>
      <c r="S203" s="260" t="s">
        <v>1124</v>
      </c>
      <c r="T203" s="263" t="s">
        <v>1125</v>
      </c>
      <c r="U203" s="272">
        <v>114</v>
      </c>
      <c r="V203" s="272">
        <v>115</v>
      </c>
      <c r="W203" s="245">
        <v>44063</v>
      </c>
      <c r="X203" s="245">
        <v>44180</v>
      </c>
      <c r="Y203" s="186">
        <v>44211</v>
      </c>
      <c r="Z203" s="311">
        <f t="shared" si="26"/>
        <v>2021</v>
      </c>
      <c r="AA203" s="311">
        <f t="shared" si="27"/>
        <v>1</v>
      </c>
      <c r="AB203" s="243" t="s">
        <v>920</v>
      </c>
      <c r="AC203" s="243" t="s">
        <v>422</v>
      </c>
      <c r="AD203" s="243" t="s">
        <v>422</v>
      </c>
      <c r="AE203" s="243" t="s">
        <v>422</v>
      </c>
      <c r="AF203" s="243" t="s">
        <v>422</v>
      </c>
      <c r="AG203" s="243" t="s">
        <v>422</v>
      </c>
      <c r="AH203" s="243" t="s">
        <v>422</v>
      </c>
      <c r="AI203" s="243" t="s">
        <v>423</v>
      </c>
      <c r="AJ203" s="243" t="s">
        <v>423</v>
      </c>
      <c r="AK203" s="244" t="s">
        <v>1372</v>
      </c>
      <c r="AL203" s="241"/>
      <c r="AM203" s="243" t="s">
        <v>1433</v>
      </c>
    </row>
    <row r="204" spans="1:39" ht="15" customHeight="1" x14ac:dyDescent="0.3">
      <c r="A204" s="185">
        <v>159</v>
      </c>
      <c r="B204" s="247" t="s">
        <v>1111</v>
      </c>
      <c r="C204" s="247" t="s">
        <v>1616</v>
      </c>
      <c r="D204" s="199" t="s">
        <v>1848</v>
      </c>
      <c r="E204" s="196" t="s">
        <v>1596</v>
      </c>
      <c r="F204" s="247"/>
      <c r="G204" s="248" t="s">
        <v>355</v>
      </c>
      <c r="H204" s="248" t="s">
        <v>1943</v>
      </c>
      <c r="I204" s="359">
        <v>2</v>
      </c>
      <c r="J204" s="248">
        <v>8.5</v>
      </c>
      <c r="K204" s="248">
        <v>8.1999999999999993</v>
      </c>
      <c r="L204" s="212">
        <v>1</v>
      </c>
      <c r="M204" s="212">
        <f t="shared" si="28"/>
        <v>19.7</v>
      </c>
      <c r="N204" s="212">
        <f t="shared" si="29"/>
        <v>16</v>
      </c>
      <c r="O204" s="212">
        <f t="shared" si="30"/>
        <v>34</v>
      </c>
      <c r="P204" s="212">
        <f t="shared" si="31"/>
        <v>54.666666666666664</v>
      </c>
      <c r="Q204" s="212">
        <f t="shared" si="32"/>
        <v>8</v>
      </c>
      <c r="R204" s="212">
        <f t="shared" si="33"/>
        <v>112.66666666666666</v>
      </c>
      <c r="S204" s="260" t="s">
        <v>1124</v>
      </c>
      <c r="T204" s="263" t="s">
        <v>1125</v>
      </c>
      <c r="U204" s="272">
        <v>174</v>
      </c>
      <c r="V204" s="272">
        <f>+U204</f>
        <v>174</v>
      </c>
      <c r="W204" s="245">
        <v>44063</v>
      </c>
      <c r="X204" s="245">
        <v>44180</v>
      </c>
      <c r="Y204" s="186">
        <v>44211</v>
      </c>
      <c r="Z204" s="311">
        <f t="shared" si="26"/>
        <v>2021</v>
      </c>
      <c r="AA204" s="311">
        <f t="shared" si="27"/>
        <v>1</v>
      </c>
      <c r="AB204" s="243" t="s">
        <v>920</v>
      </c>
      <c r="AC204" s="243" t="s">
        <v>422</v>
      </c>
      <c r="AD204" s="243" t="s">
        <v>422</v>
      </c>
      <c r="AE204" s="243" t="s">
        <v>422</v>
      </c>
      <c r="AF204" s="243" t="s">
        <v>422</v>
      </c>
      <c r="AG204" s="243" t="s">
        <v>422</v>
      </c>
      <c r="AH204" s="243" t="s">
        <v>422</v>
      </c>
      <c r="AI204" s="243" t="s">
        <v>423</v>
      </c>
      <c r="AJ204" s="243" t="s">
        <v>423</v>
      </c>
      <c r="AK204" s="244" t="s">
        <v>1372</v>
      </c>
      <c r="AL204" s="241"/>
      <c r="AM204" s="242" t="s">
        <v>1432</v>
      </c>
    </row>
    <row r="205" spans="1:39" ht="15" customHeight="1" x14ac:dyDescent="0.3">
      <c r="A205" s="185">
        <v>163</v>
      </c>
      <c r="B205" s="247" t="s">
        <v>1132</v>
      </c>
      <c r="C205" s="247" t="s">
        <v>1623</v>
      </c>
      <c r="D205" s="199" t="s">
        <v>1848</v>
      </c>
      <c r="E205" s="247"/>
      <c r="F205" s="247"/>
      <c r="G205" s="281" t="s">
        <v>1953</v>
      </c>
      <c r="H205" s="248" t="s">
        <v>1956</v>
      </c>
      <c r="I205" s="359">
        <v>2</v>
      </c>
      <c r="J205" s="248">
        <v>10</v>
      </c>
      <c r="K205" s="248">
        <v>8.5</v>
      </c>
      <c r="L205" s="212">
        <v>1</v>
      </c>
      <c r="M205" s="212">
        <f t="shared" si="28"/>
        <v>21.5</v>
      </c>
      <c r="N205" s="212">
        <f t="shared" si="29"/>
        <v>16</v>
      </c>
      <c r="O205" s="212">
        <f t="shared" si="30"/>
        <v>40</v>
      </c>
      <c r="P205" s="212">
        <f t="shared" si="31"/>
        <v>56.666666666666671</v>
      </c>
      <c r="Q205" s="212">
        <f t="shared" si="32"/>
        <v>8</v>
      </c>
      <c r="R205" s="212">
        <f t="shared" si="33"/>
        <v>120.66666666666667</v>
      </c>
      <c r="S205" s="260" t="s">
        <v>1243</v>
      </c>
      <c r="T205" s="260" t="s">
        <v>1245</v>
      </c>
      <c r="U205" s="272">
        <v>102</v>
      </c>
      <c r="V205" s="272">
        <v>102</v>
      </c>
      <c r="W205" s="245">
        <v>44074</v>
      </c>
      <c r="X205" s="245">
        <v>44145</v>
      </c>
      <c r="Y205" s="186">
        <v>44215</v>
      </c>
      <c r="Z205" s="311">
        <f t="shared" si="26"/>
        <v>2021</v>
      </c>
      <c r="AA205" s="311">
        <f t="shared" si="27"/>
        <v>1</v>
      </c>
      <c r="AB205" s="243" t="s">
        <v>920</v>
      </c>
      <c r="AC205" s="243" t="s">
        <v>449</v>
      </c>
      <c r="AD205" s="243" t="s">
        <v>422</v>
      </c>
      <c r="AE205" s="243" t="s">
        <v>422</v>
      </c>
      <c r="AF205" s="243" t="s">
        <v>422</v>
      </c>
      <c r="AG205" s="243" t="s">
        <v>422</v>
      </c>
      <c r="AH205" s="243" t="s">
        <v>422</v>
      </c>
      <c r="AI205" s="243" t="s">
        <v>423</v>
      </c>
      <c r="AJ205" s="243" t="s">
        <v>423</v>
      </c>
      <c r="AK205" s="244" t="s">
        <v>1240</v>
      </c>
      <c r="AL205" s="241"/>
      <c r="AM205" s="241"/>
    </row>
    <row r="206" spans="1:39" ht="15" customHeight="1" x14ac:dyDescent="0.3">
      <c r="A206" s="185">
        <v>164</v>
      </c>
      <c r="B206" s="247" t="s">
        <v>1133</v>
      </c>
      <c r="C206" s="247" t="s">
        <v>1623</v>
      </c>
      <c r="D206" s="199" t="s">
        <v>1848</v>
      </c>
      <c r="E206" s="247"/>
      <c r="F206" s="247"/>
      <c r="G206" s="281" t="s">
        <v>1953</v>
      </c>
      <c r="H206" s="248" t="s">
        <v>1956</v>
      </c>
      <c r="I206" s="359">
        <v>2</v>
      </c>
      <c r="J206" s="248">
        <v>10</v>
      </c>
      <c r="K206" s="248">
        <v>13</v>
      </c>
      <c r="L206" s="212">
        <v>1</v>
      </c>
      <c r="M206" s="212">
        <f t="shared" si="28"/>
        <v>26</v>
      </c>
      <c r="N206" s="212">
        <f t="shared" si="29"/>
        <v>16</v>
      </c>
      <c r="O206" s="212">
        <f t="shared" si="30"/>
        <v>40</v>
      </c>
      <c r="P206" s="212">
        <f t="shared" si="31"/>
        <v>86.666666666666671</v>
      </c>
      <c r="Q206" s="212">
        <f t="shared" si="32"/>
        <v>8</v>
      </c>
      <c r="R206" s="212">
        <f t="shared" si="33"/>
        <v>150.66666666666669</v>
      </c>
      <c r="S206" s="260" t="s">
        <v>1244</v>
      </c>
      <c r="T206" s="260" t="s">
        <v>1246</v>
      </c>
      <c r="U206" s="272">
        <f>24+24+30</f>
        <v>78</v>
      </c>
      <c r="V206" s="272">
        <f>24+24+30</f>
        <v>78</v>
      </c>
      <c r="W206" s="245">
        <v>44074</v>
      </c>
      <c r="X206" s="245">
        <v>44145</v>
      </c>
      <c r="Y206" s="186">
        <v>44215</v>
      </c>
      <c r="Z206" s="311">
        <f t="shared" si="26"/>
        <v>2021</v>
      </c>
      <c r="AA206" s="311">
        <f t="shared" si="27"/>
        <v>1</v>
      </c>
      <c r="AB206" s="243" t="s">
        <v>920</v>
      </c>
      <c r="AC206" s="243" t="s">
        <v>449</v>
      </c>
      <c r="AD206" s="243" t="s">
        <v>422</v>
      </c>
      <c r="AE206" s="243" t="s">
        <v>422</v>
      </c>
      <c r="AF206" s="243" t="s">
        <v>422</v>
      </c>
      <c r="AG206" s="243" t="s">
        <v>422</v>
      </c>
      <c r="AH206" s="243" t="s">
        <v>422</v>
      </c>
      <c r="AI206" s="243" t="s">
        <v>423</v>
      </c>
      <c r="AJ206" s="243" t="s">
        <v>423</v>
      </c>
      <c r="AK206" s="244" t="s">
        <v>1240</v>
      </c>
      <c r="AL206" s="241"/>
      <c r="AM206" s="241"/>
    </row>
    <row r="207" spans="1:39" ht="15" customHeight="1" x14ac:dyDescent="0.3">
      <c r="A207" s="185">
        <v>165</v>
      </c>
      <c r="B207" s="247" t="s">
        <v>1134</v>
      </c>
      <c r="C207" s="247" t="s">
        <v>1623</v>
      </c>
      <c r="D207" s="199" t="s">
        <v>1848</v>
      </c>
      <c r="E207" s="247"/>
      <c r="F207" s="247"/>
      <c r="G207" s="281" t="s">
        <v>1953</v>
      </c>
      <c r="H207" s="248" t="s">
        <v>1956</v>
      </c>
      <c r="I207" s="359">
        <v>2</v>
      </c>
      <c r="J207" s="248">
        <v>10</v>
      </c>
      <c r="K207" s="359">
        <v>13</v>
      </c>
      <c r="L207" s="212">
        <v>1</v>
      </c>
      <c r="M207" s="212">
        <f t="shared" si="28"/>
        <v>26</v>
      </c>
      <c r="N207" s="212">
        <f t="shared" si="29"/>
        <v>16</v>
      </c>
      <c r="O207" s="212">
        <f t="shared" si="30"/>
        <v>40</v>
      </c>
      <c r="P207" s="212">
        <f t="shared" si="31"/>
        <v>86.666666666666671</v>
      </c>
      <c r="Q207" s="212">
        <f t="shared" si="32"/>
        <v>8</v>
      </c>
      <c r="R207" s="212">
        <f t="shared" si="33"/>
        <v>150.66666666666669</v>
      </c>
      <c r="S207" s="260" t="s">
        <v>1247</v>
      </c>
      <c r="T207" s="260" t="s">
        <v>1251</v>
      </c>
      <c r="U207" s="272">
        <v>12</v>
      </c>
      <c r="V207" s="272">
        <v>12</v>
      </c>
      <c r="W207" s="245">
        <v>44074</v>
      </c>
      <c r="X207" s="245">
        <v>44175</v>
      </c>
      <c r="Y207" s="186">
        <v>44215</v>
      </c>
      <c r="Z207" s="311">
        <f t="shared" si="26"/>
        <v>2021</v>
      </c>
      <c r="AA207" s="311">
        <f t="shared" si="27"/>
        <v>1</v>
      </c>
      <c r="AB207" s="243" t="s">
        <v>920</v>
      </c>
      <c r="AC207" s="243" t="s">
        <v>449</v>
      </c>
      <c r="AD207" s="243" t="s">
        <v>422</v>
      </c>
      <c r="AE207" s="243" t="s">
        <v>422</v>
      </c>
      <c r="AF207" s="243" t="s">
        <v>422</v>
      </c>
      <c r="AG207" s="243" t="s">
        <v>422</v>
      </c>
      <c r="AH207" s="243" t="s">
        <v>422</v>
      </c>
      <c r="AI207" s="243" t="s">
        <v>423</v>
      </c>
      <c r="AJ207" s="243" t="s">
        <v>423</v>
      </c>
      <c r="AK207" s="244" t="s">
        <v>1240</v>
      </c>
      <c r="AL207" s="241"/>
      <c r="AM207" s="241"/>
    </row>
    <row r="208" spans="1:39" ht="15" customHeight="1" x14ac:dyDescent="0.3">
      <c r="A208" s="185">
        <v>166</v>
      </c>
      <c r="B208" s="247" t="s">
        <v>1135</v>
      </c>
      <c r="C208" s="247" t="s">
        <v>1623</v>
      </c>
      <c r="D208" s="199" t="s">
        <v>1848</v>
      </c>
      <c r="E208" s="247"/>
      <c r="F208" s="247"/>
      <c r="G208" s="281" t="s">
        <v>1953</v>
      </c>
      <c r="H208" s="248" t="s">
        <v>1956</v>
      </c>
      <c r="I208" s="359">
        <v>1</v>
      </c>
      <c r="J208" s="248">
        <v>2.5</v>
      </c>
      <c r="K208" s="248">
        <v>5.5</v>
      </c>
      <c r="L208" s="212">
        <v>0.5</v>
      </c>
      <c r="M208" s="212">
        <f t="shared" si="28"/>
        <v>9.5</v>
      </c>
      <c r="N208" s="212">
        <f t="shared" si="29"/>
        <v>8</v>
      </c>
      <c r="O208" s="212">
        <f t="shared" si="30"/>
        <v>10</v>
      </c>
      <c r="P208" s="212">
        <f t="shared" si="31"/>
        <v>36.666666666666671</v>
      </c>
      <c r="Q208" s="212">
        <f t="shared" si="32"/>
        <v>4</v>
      </c>
      <c r="R208" s="212">
        <f t="shared" si="33"/>
        <v>58.666666666666671</v>
      </c>
      <c r="S208" s="260" t="s">
        <v>1248</v>
      </c>
      <c r="T208" s="260" t="s">
        <v>1248</v>
      </c>
      <c r="U208" s="272">
        <v>12</v>
      </c>
      <c r="V208" s="272">
        <v>12</v>
      </c>
      <c r="W208" s="245">
        <v>44074</v>
      </c>
      <c r="X208" s="245">
        <v>44177</v>
      </c>
      <c r="Y208" s="186">
        <v>44215</v>
      </c>
      <c r="Z208" s="311">
        <f t="shared" si="26"/>
        <v>2021</v>
      </c>
      <c r="AA208" s="311">
        <f t="shared" si="27"/>
        <v>1</v>
      </c>
      <c r="AB208" s="243" t="s">
        <v>920</v>
      </c>
      <c r="AC208" s="243" t="s">
        <v>449</v>
      </c>
      <c r="AD208" s="243" t="s">
        <v>422</v>
      </c>
      <c r="AE208" s="243" t="s">
        <v>422</v>
      </c>
      <c r="AF208" s="243" t="s">
        <v>422</v>
      </c>
      <c r="AG208" s="243" t="s">
        <v>423</v>
      </c>
      <c r="AH208" s="243" t="s">
        <v>422</v>
      </c>
      <c r="AI208" s="243" t="s">
        <v>423</v>
      </c>
      <c r="AJ208" s="243" t="s">
        <v>423</v>
      </c>
      <c r="AK208" s="244" t="s">
        <v>1240</v>
      </c>
      <c r="AL208" s="241"/>
      <c r="AM208" s="241"/>
    </row>
    <row r="209" spans="1:45" ht="15" customHeight="1" x14ac:dyDescent="0.3">
      <c r="A209" s="185">
        <v>167</v>
      </c>
      <c r="B209" s="281" t="s">
        <v>1136</v>
      </c>
      <c r="C209" s="247" t="s">
        <v>1623</v>
      </c>
      <c r="D209" s="199" t="s">
        <v>1848</v>
      </c>
      <c r="E209" s="247"/>
      <c r="F209" s="281"/>
      <c r="G209" s="281" t="s">
        <v>1953</v>
      </c>
      <c r="H209" s="248" t="s">
        <v>1956</v>
      </c>
      <c r="I209" s="359">
        <v>2</v>
      </c>
      <c r="J209" s="317">
        <v>9</v>
      </c>
      <c r="K209" s="317">
        <v>10</v>
      </c>
      <c r="L209" s="212">
        <v>1</v>
      </c>
      <c r="M209" s="212">
        <f t="shared" si="28"/>
        <v>22</v>
      </c>
      <c r="N209" s="212">
        <f t="shared" si="29"/>
        <v>16</v>
      </c>
      <c r="O209" s="212">
        <f t="shared" si="30"/>
        <v>36</v>
      </c>
      <c r="P209" s="212">
        <f t="shared" si="31"/>
        <v>66.666666666666671</v>
      </c>
      <c r="Q209" s="212">
        <f t="shared" si="32"/>
        <v>8</v>
      </c>
      <c r="R209" s="212">
        <f t="shared" si="33"/>
        <v>126.66666666666667</v>
      </c>
      <c r="S209" s="339" t="s">
        <v>1137</v>
      </c>
      <c r="T209" s="339" t="s">
        <v>1252</v>
      </c>
      <c r="U209" s="272">
        <f>4+8+8</f>
        <v>20</v>
      </c>
      <c r="V209" s="272">
        <f>4+8+8</f>
        <v>20</v>
      </c>
      <c r="W209" s="245">
        <v>44074</v>
      </c>
      <c r="X209" s="245">
        <v>44145</v>
      </c>
      <c r="Y209" s="262">
        <v>44215</v>
      </c>
      <c r="Z209" s="311">
        <f t="shared" si="26"/>
        <v>2021</v>
      </c>
      <c r="AA209" s="311">
        <f t="shared" si="27"/>
        <v>1</v>
      </c>
      <c r="AB209" s="243" t="s">
        <v>920</v>
      </c>
      <c r="AC209" s="243" t="s">
        <v>449</v>
      </c>
      <c r="AD209" s="243" t="s">
        <v>422</v>
      </c>
      <c r="AE209" s="243" t="s">
        <v>422</v>
      </c>
      <c r="AF209" s="243" t="s">
        <v>422</v>
      </c>
      <c r="AG209" s="243" t="s">
        <v>422</v>
      </c>
      <c r="AH209" s="243" t="s">
        <v>422</v>
      </c>
      <c r="AI209" s="243" t="s">
        <v>423</v>
      </c>
      <c r="AJ209" s="243" t="s">
        <v>423</v>
      </c>
      <c r="AK209" s="244" t="s">
        <v>1240</v>
      </c>
      <c r="AL209" s="241"/>
      <c r="AM209" s="241"/>
    </row>
    <row r="210" spans="1:45" ht="15" customHeight="1" x14ac:dyDescent="0.3">
      <c r="A210" s="185">
        <v>168</v>
      </c>
      <c r="B210" s="247" t="s">
        <v>1151</v>
      </c>
      <c r="C210" s="247" t="s">
        <v>1616</v>
      </c>
      <c r="D210" s="199" t="s">
        <v>1848</v>
      </c>
      <c r="E210" s="196" t="s">
        <v>1596</v>
      </c>
      <c r="F210" s="281"/>
      <c r="G210" s="317" t="s">
        <v>355</v>
      </c>
      <c r="H210" s="248" t="s">
        <v>1010</v>
      </c>
      <c r="I210" s="359">
        <v>1</v>
      </c>
      <c r="J210" s="317">
        <v>2.5</v>
      </c>
      <c r="K210" s="317">
        <v>5.5</v>
      </c>
      <c r="L210" s="212">
        <v>0.5</v>
      </c>
      <c r="M210" s="212">
        <f t="shared" si="28"/>
        <v>9.5</v>
      </c>
      <c r="N210" s="212">
        <f t="shared" si="29"/>
        <v>8</v>
      </c>
      <c r="O210" s="212">
        <f t="shared" si="30"/>
        <v>10</v>
      </c>
      <c r="P210" s="212">
        <f t="shared" si="31"/>
        <v>36.666666666666671</v>
      </c>
      <c r="Q210" s="212">
        <f t="shared" si="32"/>
        <v>4</v>
      </c>
      <c r="R210" s="212">
        <f t="shared" si="33"/>
        <v>58.666666666666671</v>
      </c>
      <c r="S210" s="339" t="s">
        <v>731</v>
      </c>
      <c r="T210" s="341" t="s">
        <v>1112</v>
      </c>
      <c r="U210" s="272">
        <f>52+18</f>
        <v>70</v>
      </c>
      <c r="V210" s="272">
        <f t="shared" ref="V210:V218" si="34">+U210</f>
        <v>70</v>
      </c>
      <c r="W210" s="245">
        <v>44063</v>
      </c>
      <c r="X210" s="245">
        <v>44180</v>
      </c>
      <c r="Y210" s="262">
        <v>44211</v>
      </c>
      <c r="Z210" s="311">
        <f t="shared" si="26"/>
        <v>2021</v>
      </c>
      <c r="AA210" s="311">
        <f t="shared" si="27"/>
        <v>1</v>
      </c>
      <c r="AB210" s="243" t="s">
        <v>920</v>
      </c>
      <c r="AC210" s="243" t="s">
        <v>422</v>
      </c>
      <c r="AD210" s="243" t="s">
        <v>423</v>
      </c>
      <c r="AE210" s="243" t="s">
        <v>422</v>
      </c>
      <c r="AF210" s="243" t="s">
        <v>422</v>
      </c>
      <c r="AG210" s="243" t="s">
        <v>423</v>
      </c>
      <c r="AH210" s="243" t="s">
        <v>422</v>
      </c>
      <c r="AI210" s="243" t="s">
        <v>423</v>
      </c>
      <c r="AJ210" s="243" t="s">
        <v>423</v>
      </c>
      <c r="AK210" s="244" t="s">
        <v>140</v>
      </c>
      <c r="AL210" s="241"/>
      <c r="AM210" s="243" t="s">
        <v>1433</v>
      </c>
    </row>
    <row r="211" spans="1:45" ht="15" customHeight="1" x14ac:dyDescent="0.3">
      <c r="A211" s="185">
        <v>169</v>
      </c>
      <c r="B211" s="247" t="s">
        <v>1152</v>
      </c>
      <c r="C211" s="247" t="s">
        <v>1616</v>
      </c>
      <c r="D211" s="199" t="s">
        <v>1848</v>
      </c>
      <c r="E211" s="196" t="s">
        <v>1596</v>
      </c>
      <c r="F211" s="281"/>
      <c r="G211" s="317" t="s">
        <v>1596</v>
      </c>
      <c r="H211" s="248" t="s">
        <v>1010</v>
      </c>
      <c r="I211" s="359">
        <v>1</v>
      </c>
      <c r="J211" s="317">
        <v>2.5</v>
      </c>
      <c r="K211" s="359">
        <v>5.5</v>
      </c>
      <c r="L211" s="212">
        <v>0.5</v>
      </c>
      <c r="M211" s="212">
        <f t="shared" si="28"/>
        <v>9.5</v>
      </c>
      <c r="N211" s="212">
        <f t="shared" si="29"/>
        <v>8</v>
      </c>
      <c r="O211" s="212">
        <f t="shared" si="30"/>
        <v>10</v>
      </c>
      <c r="P211" s="212">
        <f t="shared" si="31"/>
        <v>36.666666666666671</v>
      </c>
      <c r="Q211" s="212">
        <f t="shared" si="32"/>
        <v>4</v>
      </c>
      <c r="R211" s="212">
        <f t="shared" si="33"/>
        <v>58.666666666666671</v>
      </c>
      <c r="S211" s="339" t="s">
        <v>732</v>
      </c>
      <c r="T211" s="341" t="s">
        <v>1113</v>
      </c>
      <c r="U211" s="272">
        <f>84+56</f>
        <v>140</v>
      </c>
      <c r="V211" s="272">
        <f t="shared" si="34"/>
        <v>140</v>
      </c>
      <c r="W211" s="245">
        <v>44063</v>
      </c>
      <c r="X211" s="245">
        <v>44180</v>
      </c>
      <c r="Y211" s="262">
        <v>44211</v>
      </c>
      <c r="Z211" s="311">
        <f t="shared" si="26"/>
        <v>2021</v>
      </c>
      <c r="AA211" s="311">
        <f t="shared" si="27"/>
        <v>1</v>
      </c>
      <c r="AB211" s="243" t="s">
        <v>920</v>
      </c>
      <c r="AC211" s="243" t="s">
        <v>422</v>
      </c>
      <c r="AD211" s="243" t="s">
        <v>423</v>
      </c>
      <c r="AE211" s="243" t="s">
        <v>422</v>
      </c>
      <c r="AF211" s="243" t="s">
        <v>422</v>
      </c>
      <c r="AG211" s="243" t="s">
        <v>423</v>
      </c>
      <c r="AH211" s="243" t="s">
        <v>422</v>
      </c>
      <c r="AI211" s="243" t="s">
        <v>423</v>
      </c>
      <c r="AJ211" s="243" t="s">
        <v>423</v>
      </c>
      <c r="AK211" s="244" t="s">
        <v>140</v>
      </c>
      <c r="AL211" s="241"/>
      <c r="AM211" s="243" t="s">
        <v>1433</v>
      </c>
    </row>
    <row r="212" spans="1:45" ht="15" customHeight="1" x14ac:dyDescent="0.3">
      <c r="A212" s="185">
        <v>170</v>
      </c>
      <c r="B212" s="247" t="s">
        <v>1153</v>
      </c>
      <c r="C212" s="247" t="s">
        <v>1616</v>
      </c>
      <c r="D212" s="200" t="s">
        <v>1848</v>
      </c>
      <c r="E212" s="197" t="s">
        <v>1596</v>
      </c>
      <c r="F212" s="281" t="s">
        <v>1600</v>
      </c>
      <c r="G212" s="317" t="s">
        <v>355</v>
      </c>
      <c r="H212" s="248" t="s">
        <v>1010</v>
      </c>
      <c r="I212" s="317">
        <v>1</v>
      </c>
      <c r="J212" s="317">
        <v>2.5</v>
      </c>
      <c r="K212" s="317">
        <v>6.5</v>
      </c>
      <c r="L212" s="212">
        <v>1</v>
      </c>
      <c r="M212" s="212">
        <f t="shared" si="28"/>
        <v>11</v>
      </c>
      <c r="N212" s="212">
        <f t="shared" si="29"/>
        <v>8</v>
      </c>
      <c r="O212" s="212">
        <f t="shared" si="30"/>
        <v>10</v>
      </c>
      <c r="P212" s="212">
        <f t="shared" si="31"/>
        <v>43.333333333333336</v>
      </c>
      <c r="Q212" s="212">
        <f t="shared" si="32"/>
        <v>8</v>
      </c>
      <c r="R212" s="212">
        <f t="shared" si="33"/>
        <v>69.333333333333343</v>
      </c>
      <c r="S212" s="339" t="s">
        <v>734</v>
      </c>
      <c r="T212" s="341" t="s">
        <v>1115</v>
      </c>
      <c r="U212" s="272">
        <f>50+28</f>
        <v>78</v>
      </c>
      <c r="V212" s="272">
        <f t="shared" si="34"/>
        <v>78</v>
      </c>
      <c r="W212" s="245">
        <v>44063</v>
      </c>
      <c r="X212" s="245">
        <v>44180</v>
      </c>
      <c r="Y212" s="262">
        <v>44211</v>
      </c>
      <c r="Z212" s="311">
        <f t="shared" si="26"/>
        <v>2021</v>
      </c>
      <c r="AA212" s="311">
        <f t="shared" si="27"/>
        <v>1</v>
      </c>
      <c r="AB212" s="243" t="s">
        <v>920</v>
      </c>
      <c r="AC212" s="243" t="s">
        <v>422</v>
      </c>
      <c r="AD212" s="243" t="s">
        <v>423</v>
      </c>
      <c r="AE212" s="243" t="s">
        <v>422</v>
      </c>
      <c r="AF212" s="243" t="s">
        <v>422</v>
      </c>
      <c r="AG212" s="243" t="s">
        <v>423</v>
      </c>
      <c r="AH212" s="243" t="s">
        <v>422</v>
      </c>
      <c r="AI212" s="243" t="s">
        <v>423</v>
      </c>
      <c r="AJ212" s="243" t="s">
        <v>423</v>
      </c>
      <c r="AK212" s="244" t="s">
        <v>140</v>
      </c>
      <c r="AL212" s="241"/>
      <c r="AM212" s="243" t="s">
        <v>1433</v>
      </c>
    </row>
    <row r="213" spans="1:45" ht="15" customHeight="1" x14ac:dyDescent="0.3">
      <c r="A213" s="185">
        <v>171</v>
      </c>
      <c r="B213" s="247" t="s">
        <v>1154</v>
      </c>
      <c r="C213" s="247" t="s">
        <v>1616</v>
      </c>
      <c r="D213" s="200" t="s">
        <v>1848</v>
      </c>
      <c r="E213" s="197" t="s">
        <v>1596</v>
      </c>
      <c r="F213" s="281" t="s">
        <v>1600</v>
      </c>
      <c r="G213" s="248" t="s">
        <v>355</v>
      </c>
      <c r="H213" s="248" t="s">
        <v>1010</v>
      </c>
      <c r="I213" s="317">
        <v>1</v>
      </c>
      <c r="J213" s="317">
        <v>9</v>
      </c>
      <c r="K213" s="317">
        <v>9</v>
      </c>
      <c r="L213" s="212">
        <v>1</v>
      </c>
      <c r="M213" s="212">
        <f t="shared" si="28"/>
        <v>20</v>
      </c>
      <c r="N213" s="212">
        <f t="shared" si="29"/>
        <v>8</v>
      </c>
      <c r="O213" s="212">
        <f t="shared" si="30"/>
        <v>36</v>
      </c>
      <c r="P213" s="212">
        <f t="shared" si="31"/>
        <v>60</v>
      </c>
      <c r="Q213" s="212">
        <f t="shared" si="32"/>
        <v>8</v>
      </c>
      <c r="R213" s="212">
        <f t="shared" si="33"/>
        <v>112</v>
      </c>
      <c r="S213" s="339" t="s">
        <v>1162</v>
      </c>
      <c r="T213" s="341" t="s">
        <v>1160</v>
      </c>
      <c r="U213" s="272">
        <v>232</v>
      </c>
      <c r="V213" s="272">
        <f t="shared" si="34"/>
        <v>232</v>
      </c>
      <c r="W213" s="245">
        <v>44063</v>
      </c>
      <c r="X213" s="245">
        <v>44180</v>
      </c>
      <c r="Y213" s="262">
        <v>44211</v>
      </c>
      <c r="Z213" s="311">
        <f t="shared" si="26"/>
        <v>2021</v>
      </c>
      <c r="AA213" s="311">
        <f t="shared" si="27"/>
        <v>1</v>
      </c>
      <c r="AB213" s="243" t="s">
        <v>920</v>
      </c>
      <c r="AC213" s="243" t="s">
        <v>422</v>
      </c>
      <c r="AD213" s="243" t="s">
        <v>422</v>
      </c>
      <c r="AE213" s="243" t="s">
        <v>422</v>
      </c>
      <c r="AF213" s="243" t="s">
        <v>422</v>
      </c>
      <c r="AG213" s="243" t="s">
        <v>422</v>
      </c>
      <c r="AH213" s="243" t="s">
        <v>422</v>
      </c>
      <c r="AI213" s="243" t="s">
        <v>423</v>
      </c>
      <c r="AJ213" s="243" t="s">
        <v>423</v>
      </c>
      <c r="AK213" s="244" t="s">
        <v>140</v>
      </c>
      <c r="AL213" s="241"/>
      <c r="AM213" s="243" t="s">
        <v>1433</v>
      </c>
    </row>
    <row r="214" spans="1:45" ht="15" customHeight="1" x14ac:dyDescent="0.3">
      <c r="A214" s="185">
        <v>172</v>
      </c>
      <c r="B214" s="247" t="s">
        <v>1155</v>
      </c>
      <c r="C214" s="247" t="s">
        <v>1616</v>
      </c>
      <c r="D214" s="200" t="s">
        <v>1848</v>
      </c>
      <c r="E214" s="197" t="s">
        <v>1596</v>
      </c>
      <c r="F214" s="281" t="s">
        <v>1600</v>
      </c>
      <c r="G214" s="248" t="s">
        <v>1596</v>
      </c>
      <c r="H214" s="248" t="s">
        <v>1010</v>
      </c>
      <c r="I214" s="317">
        <v>1</v>
      </c>
      <c r="J214" s="317">
        <v>9</v>
      </c>
      <c r="K214" s="356">
        <v>9</v>
      </c>
      <c r="L214" s="212">
        <v>1</v>
      </c>
      <c r="M214" s="212">
        <f t="shared" si="28"/>
        <v>20</v>
      </c>
      <c r="N214" s="212">
        <f t="shared" si="29"/>
        <v>8</v>
      </c>
      <c r="O214" s="212">
        <f t="shared" si="30"/>
        <v>36</v>
      </c>
      <c r="P214" s="212">
        <f t="shared" si="31"/>
        <v>60</v>
      </c>
      <c r="Q214" s="212">
        <f t="shared" si="32"/>
        <v>8</v>
      </c>
      <c r="R214" s="212">
        <f t="shared" si="33"/>
        <v>112</v>
      </c>
      <c r="S214" s="339" t="s">
        <v>1163</v>
      </c>
      <c r="T214" s="341" t="s">
        <v>1117</v>
      </c>
      <c r="U214" s="272">
        <v>140</v>
      </c>
      <c r="V214" s="272">
        <f t="shared" si="34"/>
        <v>140</v>
      </c>
      <c r="W214" s="245">
        <v>44063</v>
      </c>
      <c r="X214" s="245">
        <v>44180</v>
      </c>
      <c r="Y214" s="262">
        <v>44211</v>
      </c>
      <c r="Z214" s="311">
        <f t="shared" si="26"/>
        <v>2021</v>
      </c>
      <c r="AA214" s="311">
        <f t="shared" si="27"/>
        <v>1</v>
      </c>
      <c r="AB214" s="243" t="s">
        <v>920</v>
      </c>
      <c r="AC214" s="243" t="s">
        <v>422</v>
      </c>
      <c r="AD214" s="243" t="s">
        <v>422</v>
      </c>
      <c r="AE214" s="243" t="s">
        <v>422</v>
      </c>
      <c r="AF214" s="243" t="s">
        <v>422</v>
      </c>
      <c r="AG214" s="243" t="s">
        <v>422</v>
      </c>
      <c r="AH214" s="243" t="s">
        <v>422</v>
      </c>
      <c r="AI214" s="243" t="s">
        <v>423</v>
      </c>
      <c r="AJ214" s="243" t="s">
        <v>423</v>
      </c>
      <c r="AK214" s="244" t="s">
        <v>140</v>
      </c>
      <c r="AL214" s="241"/>
      <c r="AM214" s="243" t="s">
        <v>1433</v>
      </c>
    </row>
    <row r="215" spans="1:45" ht="15" customHeight="1" x14ac:dyDescent="0.3">
      <c r="A215" s="185">
        <v>173</v>
      </c>
      <c r="B215" s="247" t="s">
        <v>1156</v>
      </c>
      <c r="C215" s="247" t="s">
        <v>1616</v>
      </c>
      <c r="D215" s="200" t="s">
        <v>1848</v>
      </c>
      <c r="E215" s="197" t="s">
        <v>1596</v>
      </c>
      <c r="F215" s="281" t="s">
        <v>1600</v>
      </c>
      <c r="G215" s="248" t="s">
        <v>1596</v>
      </c>
      <c r="H215" s="248" t="s">
        <v>1010</v>
      </c>
      <c r="I215" s="317">
        <v>1</v>
      </c>
      <c r="J215" s="317">
        <v>9</v>
      </c>
      <c r="K215" s="356">
        <v>9</v>
      </c>
      <c r="L215" s="212">
        <v>1</v>
      </c>
      <c r="M215" s="212">
        <f t="shared" si="28"/>
        <v>20</v>
      </c>
      <c r="N215" s="212">
        <f t="shared" si="29"/>
        <v>8</v>
      </c>
      <c r="O215" s="212">
        <f t="shared" si="30"/>
        <v>36</v>
      </c>
      <c r="P215" s="212">
        <f t="shared" si="31"/>
        <v>60</v>
      </c>
      <c r="Q215" s="212">
        <f t="shared" si="32"/>
        <v>8</v>
      </c>
      <c r="R215" s="212">
        <f t="shared" si="33"/>
        <v>112</v>
      </c>
      <c r="S215" s="339" t="s">
        <v>1164</v>
      </c>
      <c r="T215" s="341" t="s">
        <v>1161</v>
      </c>
      <c r="U215" s="272">
        <v>82</v>
      </c>
      <c r="V215" s="272">
        <f t="shared" si="34"/>
        <v>82</v>
      </c>
      <c r="W215" s="245">
        <v>44063</v>
      </c>
      <c r="X215" s="245">
        <v>44180</v>
      </c>
      <c r="Y215" s="262">
        <v>44211</v>
      </c>
      <c r="Z215" s="311">
        <f t="shared" si="26"/>
        <v>2021</v>
      </c>
      <c r="AA215" s="311">
        <f t="shared" si="27"/>
        <v>1</v>
      </c>
      <c r="AB215" s="243" t="s">
        <v>920</v>
      </c>
      <c r="AC215" s="243" t="s">
        <v>422</v>
      </c>
      <c r="AD215" s="243" t="s">
        <v>422</v>
      </c>
      <c r="AE215" s="243" t="s">
        <v>422</v>
      </c>
      <c r="AF215" s="243" t="s">
        <v>422</v>
      </c>
      <c r="AG215" s="243" t="s">
        <v>422</v>
      </c>
      <c r="AH215" s="243" t="s">
        <v>422</v>
      </c>
      <c r="AI215" s="243" t="s">
        <v>423</v>
      </c>
      <c r="AJ215" s="243" t="s">
        <v>423</v>
      </c>
      <c r="AK215" s="244" t="s">
        <v>140</v>
      </c>
      <c r="AL215" s="241"/>
      <c r="AM215" s="243" t="s">
        <v>1433</v>
      </c>
    </row>
    <row r="216" spans="1:45" ht="15" customHeight="1" x14ac:dyDescent="0.3">
      <c r="A216" s="185">
        <v>174</v>
      </c>
      <c r="B216" s="247" t="s">
        <v>1157</v>
      </c>
      <c r="C216" s="247" t="s">
        <v>1616</v>
      </c>
      <c r="D216" s="200" t="s">
        <v>1848</v>
      </c>
      <c r="E216" s="197" t="s">
        <v>1596</v>
      </c>
      <c r="F216" s="281" t="s">
        <v>1600</v>
      </c>
      <c r="G216" s="248" t="s">
        <v>1596</v>
      </c>
      <c r="H216" s="248" t="s">
        <v>1010</v>
      </c>
      <c r="I216" s="317">
        <v>1</v>
      </c>
      <c r="J216" s="317">
        <v>9</v>
      </c>
      <c r="K216" s="356">
        <v>9</v>
      </c>
      <c r="L216" s="212">
        <v>1</v>
      </c>
      <c r="M216" s="212">
        <f t="shared" si="28"/>
        <v>20</v>
      </c>
      <c r="N216" s="212">
        <f t="shared" si="29"/>
        <v>8</v>
      </c>
      <c r="O216" s="212">
        <f t="shared" si="30"/>
        <v>36</v>
      </c>
      <c r="P216" s="212">
        <f t="shared" si="31"/>
        <v>60</v>
      </c>
      <c r="Q216" s="212">
        <f t="shared" si="32"/>
        <v>8</v>
      </c>
      <c r="R216" s="212">
        <f t="shared" si="33"/>
        <v>112</v>
      </c>
      <c r="S216" s="339" t="s">
        <v>1164</v>
      </c>
      <c r="T216" s="341" t="s">
        <v>1161</v>
      </c>
      <c r="U216" s="272">
        <v>92</v>
      </c>
      <c r="V216" s="272">
        <f t="shared" si="34"/>
        <v>92</v>
      </c>
      <c r="W216" s="245">
        <v>44063</v>
      </c>
      <c r="X216" s="245">
        <v>44180</v>
      </c>
      <c r="Y216" s="262">
        <v>44211</v>
      </c>
      <c r="Z216" s="311">
        <f t="shared" si="26"/>
        <v>2021</v>
      </c>
      <c r="AA216" s="311">
        <f t="shared" si="27"/>
        <v>1</v>
      </c>
      <c r="AB216" s="243" t="s">
        <v>920</v>
      </c>
      <c r="AC216" s="243" t="s">
        <v>422</v>
      </c>
      <c r="AD216" s="243" t="s">
        <v>422</v>
      </c>
      <c r="AE216" s="243" t="s">
        <v>422</v>
      </c>
      <c r="AF216" s="243" t="s">
        <v>422</v>
      </c>
      <c r="AG216" s="243" t="s">
        <v>422</v>
      </c>
      <c r="AH216" s="243" t="s">
        <v>422</v>
      </c>
      <c r="AI216" s="243" t="s">
        <v>423</v>
      </c>
      <c r="AJ216" s="243" t="s">
        <v>423</v>
      </c>
      <c r="AK216" s="244" t="s">
        <v>140</v>
      </c>
      <c r="AL216" s="241"/>
      <c r="AM216" s="243" t="s">
        <v>1433</v>
      </c>
    </row>
    <row r="217" spans="1:45" ht="15" customHeight="1" x14ac:dyDescent="0.3">
      <c r="A217" s="185">
        <v>175</v>
      </c>
      <c r="B217" s="247" t="s">
        <v>1158</v>
      </c>
      <c r="C217" s="247" t="s">
        <v>1616</v>
      </c>
      <c r="D217" s="200" t="s">
        <v>1848</v>
      </c>
      <c r="E217" s="197" t="s">
        <v>1596</v>
      </c>
      <c r="F217" s="281" t="s">
        <v>1600</v>
      </c>
      <c r="G217" s="248" t="s">
        <v>1596</v>
      </c>
      <c r="H217" s="248" t="s">
        <v>1010</v>
      </c>
      <c r="I217" s="317">
        <v>1</v>
      </c>
      <c r="J217" s="317">
        <v>9</v>
      </c>
      <c r="K217" s="356">
        <v>9</v>
      </c>
      <c r="L217" s="212">
        <v>1</v>
      </c>
      <c r="M217" s="212">
        <f t="shared" si="28"/>
        <v>20</v>
      </c>
      <c r="N217" s="212">
        <f t="shared" si="29"/>
        <v>8</v>
      </c>
      <c r="O217" s="212">
        <f t="shared" si="30"/>
        <v>36</v>
      </c>
      <c r="P217" s="212">
        <f t="shared" si="31"/>
        <v>60</v>
      </c>
      <c r="Q217" s="212">
        <f t="shared" si="32"/>
        <v>8</v>
      </c>
      <c r="R217" s="212">
        <f t="shared" si="33"/>
        <v>112</v>
      </c>
      <c r="S217" s="339" t="s">
        <v>1165</v>
      </c>
      <c r="T217" s="341" t="s">
        <v>1119</v>
      </c>
      <c r="U217" s="272">
        <v>110</v>
      </c>
      <c r="V217" s="272">
        <f t="shared" si="34"/>
        <v>110</v>
      </c>
      <c r="W217" s="245">
        <v>44063</v>
      </c>
      <c r="X217" s="245">
        <v>44180</v>
      </c>
      <c r="Y217" s="262">
        <v>44211</v>
      </c>
      <c r="Z217" s="311">
        <f t="shared" si="26"/>
        <v>2021</v>
      </c>
      <c r="AA217" s="311">
        <f t="shared" si="27"/>
        <v>1</v>
      </c>
      <c r="AB217" s="243" t="s">
        <v>920</v>
      </c>
      <c r="AC217" s="243" t="s">
        <v>422</v>
      </c>
      <c r="AD217" s="243" t="s">
        <v>422</v>
      </c>
      <c r="AE217" s="243" t="s">
        <v>422</v>
      </c>
      <c r="AF217" s="243" t="s">
        <v>422</v>
      </c>
      <c r="AG217" s="243" t="s">
        <v>422</v>
      </c>
      <c r="AH217" s="243" t="s">
        <v>422</v>
      </c>
      <c r="AI217" s="243" t="s">
        <v>423</v>
      </c>
      <c r="AJ217" s="243" t="s">
        <v>423</v>
      </c>
      <c r="AK217" s="244" t="s">
        <v>140</v>
      </c>
      <c r="AL217" s="241"/>
      <c r="AM217" s="243" t="s">
        <v>1433</v>
      </c>
    </row>
    <row r="218" spans="1:45" ht="15" customHeight="1" x14ac:dyDescent="0.3">
      <c r="A218" s="185">
        <v>176</v>
      </c>
      <c r="B218" s="247" t="s">
        <v>1159</v>
      </c>
      <c r="C218" s="247" t="s">
        <v>1616</v>
      </c>
      <c r="D218" s="200" t="s">
        <v>1848</v>
      </c>
      <c r="E218" s="196" t="s">
        <v>1596</v>
      </c>
      <c r="F218" s="281" t="s">
        <v>1600</v>
      </c>
      <c r="G218" s="317" t="s">
        <v>1596</v>
      </c>
      <c r="H218" s="248" t="s">
        <v>1010</v>
      </c>
      <c r="I218" s="317">
        <v>1</v>
      </c>
      <c r="J218" s="317">
        <v>7</v>
      </c>
      <c r="K218" s="356">
        <v>9</v>
      </c>
      <c r="L218" s="212">
        <v>1</v>
      </c>
      <c r="M218" s="212">
        <f t="shared" si="28"/>
        <v>18</v>
      </c>
      <c r="N218" s="212">
        <f t="shared" si="29"/>
        <v>8</v>
      </c>
      <c r="O218" s="212">
        <f t="shared" si="30"/>
        <v>28</v>
      </c>
      <c r="P218" s="212">
        <f t="shared" si="31"/>
        <v>60</v>
      </c>
      <c r="Q218" s="212">
        <f t="shared" si="32"/>
        <v>8</v>
      </c>
      <c r="R218" s="212">
        <f t="shared" si="33"/>
        <v>104</v>
      </c>
      <c r="S218" s="339" t="s">
        <v>729</v>
      </c>
      <c r="T218" s="341" t="s">
        <v>1125</v>
      </c>
      <c r="U218" s="272">
        <f>60+84</f>
        <v>144</v>
      </c>
      <c r="V218" s="272">
        <f t="shared" si="34"/>
        <v>144</v>
      </c>
      <c r="W218" s="245">
        <v>44063</v>
      </c>
      <c r="X218" s="245">
        <v>44180</v>
      </c>
      <c r="Y218" s="262">
        <v>44211</v>
      </c>
      <c r="Z218" s="311">
        <f t="shared" si="26"/>
        <v>2021</v>
      </c>
      <c r="AA218" s="311">
        <f t="shared" si="27"/>
        <v>1</v>
      </c>
      <c r="AB218" s="243" t="s">
        <v>920</v>
      </c>
      <c r="AC218" s="243" t="s">
        <v>422</v>
      </c>
      <c r="AD218" s="243" t="s">
        <v>422</v>
      </c>
      <c r="AE218" s="243" t="s">
        <v>422</v>
      </c>
      <c r="AF218" s="243" t="s">
        <v>422</v>
      </c>
      <c r="AG218" s="243" t="s">
        <v>422</v>
      </c>
      <c r="AH218" s="243" t="s">
        <v>422</v>
      </c>
      <c r="AI218" s="243" t="s">
        <v>423</v>
      </c>
      <c r="AJ218" s="243" t="s">
        <v>423</v>
      </c>
      <c r="AK218" s="244" t="s">
        <v>140</v>
      </c>
      <c r="AL218" s="241"/>
      <c r="AM218" s="243" t="s">
        <v>1433</v>
      </c>
    </row>
    <row r="219" spans="1:45" ht="15" customHeight="1" x14ac:dyDescent="0.3">
      <c r="A219" s="185">
        <v>187</v>
      </c>
      <c r="B219" s="247" t="s">
        <v>1199</v>
      </c>
      <c r="C219" s="247" t="s">
        <v>1618</v>
      </c>
      <c r="D219" s="200" t="s">
        <v>1881</v>
      </c>
      <c r="E219" s="247"/>
      <c r="F219" s="281" t="s">
        <v>1598</v>
      </c>
      <c r="G219" s="317" t="s">
        <v>1596</v>
      </c>
      <c r="H219" s="248" t="s">
        <v>1010</v>
      </c>
      <c r="I219" s="317">
        <v>1.2</v>
      </c>
      <c r="J219" s="361">
        <v>9</v>
      </c>
      <c r="K219" s="317">
        <v>15</v>
      </c>
      <c r="L219" s="212">
        <v>1</v>
      </c>
      <c r="M219" s="212">
        <f t="shared" si="28"/>
        <v>26.2</v>
      </c>
      <c r="N219" s="212">
        <f t="shared" si="29"/>
        <v>9.6</v>
      </c>
      <c r="O219" s="212">
        <f t="shared" si="30"/>
        <v>36</v>
      </c>
      <c r="P219" s="212">
        <f t="shared" si="31"/>
        <v>100</v>
      </c>
      <c r="Q219" s="212">
        <f t="shared" si="32"/>
        <v>8</v>
      </c>
      <c r="R219" s="212">
        <f t="shared" si="33"/>
        <v>153.6</v>
      </c>
      <c r="S219" s="339" t="s">
        <v>1264</v>
      </c>
      <c r="T219" s="341" t="s">
        <v>1187</v>
      </c>
      <c r="U219" s="272">
        <v>89</v>
      </c>
      <c r="V219" s="272">
        <v>89</v>
      </c>
      <c r="W219" s="245">
        <v>44073</v>
      </c>
      <c r="X219" s="245">
        <v>44166</v>
      </c>
      <c r="Y219" s="245">
        <v>44223</v>
      </c>
      <c r="Z219" s="311">
        <f t="shared" si="26"/>
        <v>2021</v>
      </c>
      <c r="AA219" s="311">
        <f t="shared" si="27"/>
        <v>1</v>
      </c>
      <c r="AB219" s="243" t="s">
        <v>920</v>
      </c>
      <c r="AC219" s="243" t="s">
        <v>422</v>
      </c>
      <c r="AD219" s="243" t="s">
        <v>423</v>
      </c>
      <c r="AE219" s="243" t="s">
        <v>422</v>
      </c>
      <c r="AF219" s="243" t="s">
        <v>422</v>
      </c>
      <c r="AG219" s="243" t="s">
        <v>423</v>
      </c>
      <c r="AH219" s="243" t="s">
        <v>422</v>
      </c>
      <c r="AI219" s="243" t="s">
        <v>423</v>
      </c>
      <c r="AJ219" s="243" t="s">
        <v>423</v>
      </c>
      <c r="AK219" s="244" t="s">
        <v>140</v>
      </c>
      <c r="AL219" s="241"/>
      <c r="AM219" s="242" t="s">
        <v>1594</v>
      </c>
    </row>
    <row r="220" spans="1:45" ht="15" customHeight="1" x14ac:dyDescent="0.3">
      <c r="A220" s="185">
        <v>188</v>
      </c>
      <c r="B220" s="247" t="s">
        <v>1200</v>
      </c>
      <c r="C220" s="247" t="s">
        <v>1618</v>
      </c>
      <c r="D220" s="200" t="s">
        <v>1881</v>
      </c>
      <c r="E220" s="281"/>
      <c r="F220" s="281" t="s">
        <v>1598</v>
      </c>
      <c r="G220" s="317" t="s">
        <v>1596</v>
      </c>
      <c r="H220" s="248" t="s">
        <v>1010</v>
      </c>
      <c r="I220" s="317">
        <v>0.8</v>
      </c>
      <c r="J220" s="361">
        <v>9</v>
      </c>
      <c r="K220" s="317">
        <v>15</v>
      </c>
      <c r="L220" s="212">
        <v>1</v>
      </c>
      <c r="M220" s="212">
        <f t="shared" si="28"/>
        <v>25.8</v>
      </c>
      <c r="N220" s="212">
        <f t="shared" si="29"/>
        <v>6.4</v>
      </c>
      <c r="O220" s="212">
        <f t="shared" si="30"/>
        <v>36</v>
      </c>
      <c r="P220" s="212">
        <f t="shared" si="31"/>
        <v>100</v>
      </c>
      <c r="Q220" s="212">
        <f t="shared" si="32"/>
        <v>8</v>
      </c>
      <c r="R220" s="212">
        <f t="shared" si="33"/>
        <v>150.4</v>
      </c>
      <c r="S220" s="339" t="s">
        <v>1264</v>
      </c>
      <c r="T220" s="341" t="s">
        <v>1188</v>
      </c>
      <c r="U220" s="272">
        <v>86</v>
      </c>
      <c r="V220" s="272">
        <v>86</v>
      </c>
      <c r="W220" s="245">
        <v>44073</v>
      </c>
      <c r="X220" s="245">
        <v>44166</v>
      </c>
      <c r="Y220" s="245">
        <v>44223</v>
      </c>
      <c r="Z220" s="311">
        <f t="shared" si="26"/>
        <v>2021</v>
      </c>
      <c r="AA220" s="311">
        <f t="shared" si="27"/>
        <v>1</v>
      </c>
      <c r="AB220" s="243" t="s">
        <v>920</v>
      </c>
      <c r="AC220" s="243" t="s">
        <v>422</v>
      </c>
      <c r="AD220" s="243" t="s">
        <v>423</v>
      </c>
      <c r="AE220" s="243" t="s">
        <v>422</v>
      </c>
      <c r="AF220" s="243" t="s">
        <v>422</v>
      </c>
      <c r="AG220" s="243" t="s">
        <v>423</v>
      </c>
      <c r="AH220" s="243" t="s">
        <v>422</v>
      </c>
      <c r="AI220" s="243" t="s">
        <v>423</v>
      </c>
      <c r="AJ220" s="243" t="s">
        <v>423</v>
      </c>
      <c r="AK220" s="244" t="s">
        <v>140</v>
      </c>
      <c r="AL220" s="241"/>
      <c r="AM220" s="242" t="s">
        <v>1594</v>
      </c>
    </row>
    <row r="221" spans="1:45" ht="15" customHeight="1" x14ac:dyDescent="0.3">
      <c r="A221" s="185">
        <v>189</v>
      </c>
      <c r="B221" s="247" t="s">
        <v>1201</v>
      </c>
      <c r="C221" s="247" t="s">
        <v>1618</v>
      </c>
      <c r="D221" s="200" t="s">
        <v>1881</v>
      </c>
      <c r="E221" s="281"/>
      <c r="F221" s="281" t="s">
        <v>1598</v>
      </c>
      <c r="G221" s="317" t="s">
        <v>1596</v>
      </c>
      <c r="H221" s="317" t="s">
        <v>1010</v>
      </c>
      <c r="I221" s="317">
        <v>0.9</v>
      </c>
      <c r="J221" s="361">
        <v>9</v>
      </c>
      <c r="K221" s="317">
        <v>12</v>
      </c>
      <c r="L221" s="212">
        <v>1</v>
      </c>
      <c r="M221" s="212">
        <f t="shared" si="28"/>
        <v>22.9</v>
      </c>
      <c r="N221" s="212">
        <f t="shared" si="29"/>
        <v>7.2</v>
      </c>
      <c r="O221" s="212">
        <f t="shared" si="30"/>
        <v>36</v>
      </c>
      <c r="P221" s="212">
        <f t="shared" si="31"/>
        <v>80</v>
      </c>
      <c r="Q221" s="212">
        <f t="shared" si="32"/>
        <v>8</v>
      </c>
      <c r="R221" s="212">
        <f t="shared" si="33"/>
        <v>131.19999999999999</v>
      </c>
      <c r="S221" s="339" t="s">
        <v>1265</v>
      </c>
      <c r="T221" s="341" t="s">
        <v>1189</v>
      </c>
      <c r="U221" s="272">
        <v>45</v>
      </c>
      <c r="V221" s="272">
        <v>46</v>
      </c>
      <c r="W221" s="245">
        <v>44073</v>
      </c>
      <c r="X221" s="245">
        <v>44166</v>
      </c>
      <c r="Y221" s="245">
        <v>44223</v>
      </c>
      <c r="Z221" s="311">
        <f t="shared" si="26"/>
        <v>2021</v>
      </c>
      <c r="AA221" s="311">
        <f t="shared" si="27"/>
        <v>1</v>
      </c>
      <c r="AB221" s="243" t="s">
        <v>920</v>
      </c>
      <c r="AC221" s="243" t="s">
        <v>422</v>
      </c>
      <c r="AD221" s="243" t="s">
        <v>423</v>
      </c>
      <c r="AE221" s="243" t="s">
        <v>422</v>
      </c>
      <c r="AF221" s="243" t="s">
        <v>422</v>
      </c>
      <c r="AG221" s="243" t="s">
        <v>423</v>
      </c>
      <c r="AH221" s="243" t="s">
        <v>422</v>
      </c>
      <c r="AI221" s="243" t="s">
        <v>423</v>
      </c>
      <c r="AJ221" s="243" t="s">
        <v>423</v>
      </c>
      <c r="AK221" s="244" t="s">
        <v>140</v>
      </c>
      <c r="AL221" s="241"/>
      <c r="AM221" s="242" t="s">
        <v>1594</v>
      </c>
      <c r="AN221" s="188"/>
      <c r="AO221" s="188"/>
      <c r="AP221" s="188"/>
      <c r="AQ221" s="188"/>
      <c r="AR221" s="188"/>
      <c r="AS221" s="188"/>
    </row>
    <row r="222" spans="1:45" ht="15" customHeight="1" x14ac:dyDescent="0.3">
      <c r="A222" s="185">
        <v>191</v>
      </c>
      <c r="B222" s="247" t="s">
        <v>1203</v>
      </c>
      <c r="C222" s="247" t="s">
        <v>1618</v>
      </c>
      <c r="D222" s="200" t="s">
        <v>1881</v>
      </c>
      <c r="E222" s="281"/>
      <c r="F222" s="281"/>
      <c r="G222" s="338" t="s">
        <v>1604</v>
      </c>
      <c r="H222" s="317" t="s">
        <v>1956</v>
      </c>
      <c r="I222" s="356">
        <v>2</v>
      </c>
      <c r="J222" s="317">
        <v>7.5</v>
      </c>
      <c r="K222" s="317">
        <v>0</v>
      </c>
      <c r="L222" s="212">
        <v>1</v>
      </c>
      <c r="M222" s="212">
        <f t="shared" si="28"/>
        <v>10.5</v>
      </c>
      <c r="N222" s="212">
        <f t="shared" si="29"/>
        <v>16</v>
      </c>
      <c r="O222" s="212">
        <f t="shared" si="30"/>
        <v>30</v>
      </c>
      <c r="P222" s="212">
        <f t="shared" si="31"/>
        <v>0</v>
      </c>
      <c r="Q222" s="212">
        <f t="shared" si="32"/>
        <v>8</v>
      </c>
      <c r="R222" s="212">
        <f t="shared" si="33"/>
        <v>54</v>
      </c>
      <c r="S222" s="339" t="s">
        <v>1268</v>
      </c>
      <c r="T222" s="341" t="s">
        <v>1190</v>
      </c>
      <c r="U222" s="272">
        <v>210</v>
      </c>
      <c r="V222" s="272">
        <v>210</v>
      </c>
      <c r="W222" s="245">
        <v>44073</v>
      </c>
      <c r="X222" s="245">
        <v>44166</v>
      </c>
      <c r="Y222" s="245">
        <v>44223</v>
      </c>
      <c r="Z222" s="311">
        <f t="shared" si="26"/>
        <v>2021</v>
      </c>
      <c r="AA222" s="311">
        <f t="shared" si="27"/>
        <v>1</v>
      </c>
      <c r="AB222" s="243" t="s">
        <v>920</v>
      </c>
      <c r="AC222" s="243" t="s">
        <v>422</v>
      </c>
      <c r="AD222" s="243" t="s">
        <v>423</v>
      </c>
      <c r="AE222" s="243" t="s">
        <v>422</v>
      </c>
      <c r="AF222" s="243" t="s">
        <v>422</v>
      </c>
      <c r="AG222" s="243" t="s">
        <v>423</v>
      </c>
      <c r="AH222" s="243" t="s">
        <v>422</v>
      </c>
      <c r="AI222" s="243" t="s">
        <v>423</v>
      </c>
      <c r="AJ222" s="243" t="s">
        <v>423</v>
      </c>
      <c r="AK222" s="244" t="s">
        <v>1240</v>
      </c>
      <c r="AL222" s="241"/>
      <c r="AM222" s="241"/>
      <c r="AN222" s="188"/>
      <c r="AO222" s="188"/>
      <c r="AP222" s="188"/>
      <c r="AQ222" s="188"/>
      <c r="AR222" s="188"/>
      <c r="AS222" s="188"/>
    </row>
    <row r="223" spans="1:45" ht="15" customHeight="1" x14ac:dyDescent="0.3">
      <c r="A223" s="185">
        <v>192</v>
      </c>
      <c r="B223" s="247" t="s">
        <v>1204</v>
      </c>
      <c r="C223" s="247" t="s">
        <v>1618</v>
      </c>
      <c r="D223" s="200" t="s">
        <v>1881</v>
      </c>
      <c r="E223" s="247"/>
      <c r="F223" s="281"/>
      <c r="G223" s="338" t="s">
        <v>1604</v>
      </c>
      <c r="H223" s="248" t="s">
        <v>1956</v>
      </c>
      <c r="I223" s="317">
        <v>5.5</v>
      </c>
      <c r="J223" s="361">
        <v>10</v>
      </c>
      <c r="K223" s="317">
        <v>0</v>
      </c>
      <c r="L223" s="212">
        <v>1</v>
      </c>
      <c r="M223" s="212">
        <f t="shared" si="28"/>
        <v>16.5</v>
      </c>
      <c r="N223" s="212">
        <f t="shared" si="29"/>
        <v>44</v>
      </c>
      <c r="O223" s="212">
        <f t="shared" si="30"/>
        <v>40</v>
      </c>
      <c r="P223" s="212">
        <f t="shared" si="31"/>
        <v>0</v>
      </c>
      <c r="Q223" s="212">
        <f t="shared" si="32"/>
        <v>8</v>
      </c>
      <c r="R223" s="212">
        <f t="shared" si="33"/>
        <v>92</v>
      </c>
      <c r="S223" s="339" t="s">
        <v>1269</v>
      </c>
      <c r="T223" s="341" t="s">
        <v>1191</v>
      </c>
      <c r="U223" s="272">
        <v>210</v>
      </c>
      <c r="V223" s="272">
        <v>210</v>
      </c>
      <c r="W223" s="245">
        <v>44073</v>
      </c>
      <c r="X223" s="245">
        <v>44166</v>
      </c>
      <c r="Y223" s="245">
        <v>44223</v>
      </c>
      <c r="Z223" s="311">
        <f t="shared" si="26"/>
        <v>2021</v>
      </c>
      <c r="AA223" s="311">
        <f t="shared" si="27"/>
        <v>1</v>
      </c>
      <c r="AB223" s="243" t="s">
        <v>920</v>
      </c>
      <c r="AC223" s="243" t="s">
        <v>422</v>
      </c>
      <c r="AD223" s="243" t="s">
        <v>423</v>
      </c>
      <c r="AE223" s="243" t="s">
        <v>422</v>
      </c>
      <c r="AF223" s="243" t="s">
        <v>422</v>
      </c>
      <c r="AG223" s="243" t="s">
        <v>423</v>
      </c>
      <c r="AH223" s="243" t="s">
        <v>422</v>
      </c>
      <c r="AI223" s="243" t="s">
        <v>423</v>
      </c>
      <c r="AJ223" s="243" t="s">
        <v>423</v>
      </c>
      <c r="AK223" s="244" t="s">
        <v>1240</v>
      </c>
      <c r="AL223" s="241"/>
      <c r="AM223" s="241"/>
    </row>
    <row r="224" spans="1:45" ht="15" customHeight="1" x14ac:dyDescent="0.3">
      <c r="A224" s="185">
        <v>193</v>
      </c>
      <c r="B224" s="247" t="s">
        <v>1205</v>
      </c>
      <c r="C224" s="247" t="s">
        <v>1618</v>
      </c>
      <c r="D224" s="200" t="s">
        <v>1881</v>
      </c>
      <c r="E224" s="247"/>
      <c r="F224" s="269" t="s">
        <v>1598</v>
      </c>
      <c r="G224" s="338" t="s">
        <v>1604</v>
      </c>
      <c r="H224" s="248" t="s">
        <v>1956</v>
      </c>
      <c r="I224" s="317">
        <v>1.8</v>
      </c>
      <c r="J224" s="317">
        <v>13</v>
      </c>
      <c r="K224" s="317">
        <v>0</v>
      </c>
      <c r="L224" s="212">
        <v>1</v>
      </c>
      <c r="M224" s="212">
        <f t="shared" si="28"/>
        <v>15.8</v>
      </c>
      <c r="N224" s="212">
        <f t="shared" si="29"/>
        <v>14.4</v>
      </c>
      <c r="O224" s="212">
        <f t="shared" si="30"/>
        <v>52</v>
      </c>
      <c r="P224" s="212">
        <f t="shared" si="31"/>
        <v>0</v>
      </c>
      <c r="Q224" s="212">
        <f t="shared" si="32"/>
        <v>8</v>
      </c>
      <c r="R224" s="212">
        <f t="shared" si="33"/>
        <v>74.400000000000006</v>
      </c>
      <c r="S224" s="339" t="s">
        <v>1270</v>
      </c>
      <c r="T224" s="341" t="s">
        <v>1192</v>
      </c>
      <c r="U224" s="272">
        <v>90</v>
      </c>
      <c r="V224" s="272">
        <v>90</v>
      </c>
      <c r="W224" s="245">
        <v>44073</v>
      </c>
      <c r="X224" s="245">
        <v>44166</v>
      </c>
      <c r="Y224" s="245">
        <v>44223</v>
      </c>
      <c r="Z224" s="311">
        <f t="shared" si="26"/>
        <v>2021</v>
      </c>
      <c r="AA224" s="311">
        <f t="shared" si="27"/>
        <v>1</v>
      </c>
      <c r="AB224" s="243" t="s">
        <v>920</v>
      </c>
      <c r="AC224" s="243" t="s">
        <v>422</v>
      </c>
      <c r="AD224" s="243" t="s">
        <v>422</v>
      </c>
      <c r="AE224" s="243" t="s">
        <v>422</v>
      </c>
      <c r="AF224" s="243" t="s">
        <v>422</v>
      </c>
      <c r="AG224" s="243" t="s">
        <v>422</v>
      </c>
      <c r="AH224" s="243" t="s">
        <v>422</v>
      </c>
      <c r="AI224" s="243" t="s">
        <v>423</v>
      </c>
      <c r="AJ224" s="243" t="s">
        <v>423</v>
      </c>
      <c r="AK224" s="244" t="s">
        <v>1240</v>
      </c>
      <c r="AL224" s="241"/>
      <c r="AM224" s="241"/>
    </row>
    <row r="225" spans="1:39" ht="15" customHeight="1" x14ac:dyDescent="0.3">
      <c r="A225" s="185">
        <v>211</v>
      </c>
      <c r="B225" s="267" t="s">
        <v>1224</v>
      </c>
      <c r="C225" s="247" t="s">
        <v>1615</v>
      </c>
      <c r="D225" s="200" t="s">
        <v>1881</v>
      </c>
      <c r="E225" s="267"/>
      <c r="F225" s="269" t="s">
        <v>1598</v>
      </c>
      <c r="G225" s="338" t="s">
        <v>1604</v>
      </c>
      <c r="H225" s="248" t="s">
        <v>422</v>
      </c>
      <c r="I225" s="317">
        <v>1.8</v>
      </c>
      <c r="J225" s="317">
        <v>10.5</v>
      </c>
      <c r="K225" s="317">
        <v>0</v>
      </c>
      <c r="L225" s="212">
        <v>1</v>
      </c>
      <c r="M225" s="212">
        <f t="shared" si="28"/>
        <v>13.3</v>
      </c>
      <c r="N225" s="212">
        <f t="shared" si="29"/>
        <v>14.4</v>
      </c>
      <c r="O225" s="212">
        <f t="shared" si="30"/>
        <v>42</v>
      </c>
      <c r="P225" s="212">
        <f t="shared" si="31"/>
        <v>0</v>
      </c>
      <c r="Q225" s="212">
        <f t="shared" si="32"/>
        <v>8</v>
      </c>
      <c r="R225" s="212">
        <f t="shared" si="33"/>
        <v>64.400000000000006</v>
      </c>
      <c r="S225" s="270" t="s">
        <v>1235</v>
      </c>
      <c r="T225" s="270" t="s">
        <v>1255</v>
      </c>
      <c r="U225" s="272">
        <v>70</v>
      </c>
      <c r="V225" s="272">
        <v>72</v>
      </c>
      <c r="W225" s="246">
        <v>44089</v>
      </c>
      <c r="X225" s="246">
        <v>44211</v>
      </c>
      <c r="Y225" s="245">
        <v>44211</v>
      </c>
      <c r="Z225" s="311">
        <f t="shared" si="26"/>
        <v>2021</v>
      </c>
      <c r="AA225" s="311">
        <f t="shared" si="27"/>
        <v>1</v>
      </c>
      <c r="AB225" s="243" t="s">
        <v>920</v>
      </c>
      <c r="AC225" s="243" t="s">
        <v>422</v>
      </c>
      <c r="AD225" s="243" t="s">
        <v>422</v>
      </c>
      <c r="AE225" s="243" t="s">
        <v>422</v>
      </c>
      <c r="AF225" s="243" t="s">
        <v>422</v>
      </c>
      <c r="AG225" s="243" t="s">
        <v>422</v>
      </c>
      <c r="AH225" s="243" t="s">
        <v>423</v>
      </c>
      <c r="AI225" s="243" t="s">
        <v>423</v>
      </c>
      <c r="AJ225" s="243" t="s">
        <v>423</v>
      </c>
      <c r="AK225" s="244" t="s">
        <v>138</v>
      </c>
      <c r="AL225" s="241"/>
      <c r="AM225" s="241"/>
    </row>
    <row r="226" spans="1:39" ht="15" customHeight="1" x14ac:dyDescent="0.3">
      <c r="A226" s="185">
        <v>216</v>
      </c>
      <c r="B226" s="267" t="s">
        <v>1229</v>
      </c>
      <c r="C226" s="247" t="s">
        <v>1615</v>
      </c>
      <c r="D226" s="200" t="s">
        <v>1881</v>
      </c>
      <c r="E226" s="196" t="s">
        <v>1596</v>
      </c>
      <c r="F226" s="269" t="s">
        <v>1600</v>
      </c>
      <c r="G226" s="338" t="s">
        <v>1604</v>
      </c>
      <c r="H226" s="248" t="s">
        <v>1943</v>
      </c>
      <c r="I226" s="356">
        <v>1</v>
      </c>
      <c r="J226" s="317">
        <v>10</v>
      </c>
      <c r="K226" s="317">
        <v>0</v>
      </c>
      <c r="L226" s="212">
        <v>1</v>
      </c>
      <c r="M226" s="212">
        <f t="shared" si="28"/>
        <v>12</v>
      </c>
      <c r="N226" s="212">
        <f t="shared" si="29"/>
        <v>8</v>
      </c>
      <c r="O226" s="212">
        <f t="shared" si="30"/>
        <v>40</v>
      </c>
      <c r="P226" s="212">
        <f t="shared" si="31"/>
        <v>0</v>
      </c>
      <c r="Q226" s="212">
        <f t="shared" si="32"/>
        <v>8</v>
      </c>
      <c r="R226" s="212">
        <f t="shared" si="33"/>
        <v>56</v>
      </c>
      <c r="S226" s="270" t="s">
        <v>1233</v>
      </c>
      <c r="T226" s="270" t="s">
        <v>1260</v>
      </c>
      <c r="U226" s="272">
        <v>112</v>
      </c>
      <c r="V226" s="272">
        <v>112</v>
      </c>
      <c r="W226" s="246">
        <v>44089</v>
      </c>
      <c r="X226" s="246">
        <v>44211</v>
      </c>
      <c r="Y226" s="245">
        <v>44211</v>
      </c>
      <c r="Z226" s="311">
        <f t="shared" si="26"/>
        <v>2021</v>
      </c>
      <c r="AA226" s="311">
        <f t="shared" si="27"/>
        <v>1</v>
      </c>
      <c r="AB226" s="243" t="s">
        <v>920</v>
      </c>
      <c r="AC226" s="243" t="s">
        <v>422</v>
      </c>
      <c r="AD226" s="243" t="s">
        <v>422</v>
      </c>
      <c r="AE226" s="243" t="s">
        <v>422</v>
      </c>
      <c r="AF226" s="243" t="s">
        <v>422</v>
      </c>
      <c r="AG226" s="243" t="s">
        <v>422</v>
      </c>
      <c r="AH226" s="243" t="s">
        <v>423</v>
      </c>
      <c r="AI226" s="243" t="s">
        <v>422</v>
      </c>
      <c r="AJ226" s="243" t="s">
        <v>423</v>
      </c>
      <c r="AK226" s="244" t="s">
        <v>1372</v>
      </c>
      <c r="AL226" s="241"/>
      <c r="AM226" s="241"/>
    </row>
    <row r="227" spans="1:39" ht="15" customHeight="1" x14ac:dyDescent="0.3">
      <c r="A227" s="185">
        <v>257</v>
      </c>
      <c r="B227" s="267" t="s">
        <v>1374</v>
      </c>
      <c r="C227" s="247" t="s">
        <v>1618</v>
      </c>
      <c r="D227" s="200" t="s">
        <v>1881</v>
      </c>
      <c r="E227" s="269"/>
      <c r="F227" s="269"/>
      <c r="G227" s="259" t="s">
        <v>1604</v>
      </c>
      <c r="H227" s="248" t="s">
        <v>422</v>
      </c>
      <c r="I227" s="356">
        <v>2</v>
      </c>
      <c r="J227" s="317">
        <v>7.5</v>
      </c>
      <c r="K227" s="317">
        <v>0</v>
      </c>
      <c r="L227" s="212">
        <v>1.5</v>
      </c>
      <c r="M227" s="212">
        <f t="shared" si="28"/>
        <v>11</v>
      </c>
      <c r="N227" s="212">
        <f t="shared" si="29"/>
        <v>16</v>
      </c>
      <c r="O227" s="212">
        <f t="shared" si="30"/>
        <v>30</v>
      </c>
      <c r="P227" s="212">
        <f t="shared" si="31"/>
        <v>0</v>
      </c>
      <c r="Q227" s="212">
        <f t="shared" si="32"/>
        <v>12</v>
      </c>
      <c r="R227" s="212">
        <f t="shared" si="33"/>
        <v>58</v>
      </c>
      <c r="S227" s="270" t="s">
        <v>1380</v>
      </c>
      <c r="T227" s="270" t="s">
        <v>1380</v>
      </c>
      <c r="U227" s="272">
        <v>80</v>
      </c>
      <c r="V227" s="272">
        <v>81</v>
      </c>
      <c r="W227" s="246">
        <v>44123</v>
      </c>
      <c r="X227" s="246">
        <v>44173</v>
      </c>
      <c r="Y227" s="245">
        <v>44223</v>
      </c>
      <c r="Z227" s="311">
        <f t="shared" si="26"/>
        <v>2021</v>
      </c>
      <c r="AA227" s="311">
        <f t="shared" si="27"/>
        <v>1</v>
      </c>
      <c r="AB227" s="243" t="s">
        <v>920</v>
      </c>
      <c r="AC227" s="243" t="s">
        <v>422</v>
      </c>
      <c r="AD227" s="243" t="s">
        <v>423</v>
      </c>
      <c r="AE227" s="243" t="s">
        <v>422</v>
      </c>
      <c r="AF227" s="243" t="s">
        <v>422</v>
      </c>
      <c r="AG227" s="243" t="s">
        <v>422</v>
      </c>
      <c r="AH227" s="243" t="s">
        <v>423</v>
      </c>
      <c r="AI227" s="243" t="s">
        <v>423</v>
      </c>
      <c r="AJ227" s="243" t="s">
        <v>423</v>
      </c>
      <c r="AK227" s="244" t="s">
        <v>1240</v>
      </c>
      <c r="AL227" s="241"/>
      <c r="AM227" s="241"/>
    </row>
    <row r="228" spans="1:39" ht="15" customHeight="1" x14ac:dyDescent="0.3">
      <c r="A228" s="185">
        <v>258</v>
      </c>
      <c r="B228" s="267" t="s">
        <v>1375</v>
      </c>
      <c r="C228" s="247" t="s">
        <v>1618</v>
      </c>
      <c r="D228" s="200" t="s">
        <v>1881</v>
      </c>
      <c r="E228" s="269"/>
      <c r="F228" s="269" t="s">
        <v>1600</v>
      </c>
      <c r="G228" s="259" t="s">
        <v>1604</v>
      </c>
      <c r="H228" s="248" t="s">
        <v>422</v>
      </c>
      <c r="I228" s="356">
        <v>1.5</v>
      </c>
      <c r="J228" s="317">
        <v>6.3</v>
      </c>
      <c r="K228" s="317">
        <v>5.5</v>
      </c>
      <c r="L228" s="212">
        <v>1</v>
      </c>
      <c r="M228" s="212">
        <f t="shared" si="28"/>
        <v>14.3</v>
      </c>
      <c r="N228" s="212">
        <f t="shared" si="29"/>
        <v>12</v>
      </c>
      <c r="O228" s="212">
        <f t="shared" si="30"/>
        <v>25.2</v>
      </c>
      <c r="P228" s="212">
        <f t="shared" si="31"/>
        <v>36.666666666666671</v>
      </c>
      <c r="Q228" s="212">
        <f t="shared" si="32"/>
        <v>8</v>
      </c>
      <c r="R228" s="212">
        <f t="shared" si="33"/>
        <v>81.866666666666674</v>
      </c>
      <c r="S228" s="270" t="s">
        <v>1381</v>
      </c>
      <c r="T228" s="270" t="s">
        <v>1381</v>
      </c>
      <c r="U228" s="272">
        <v>80</v>
      </c>
      <c r="V228" s="272">
        <v>80</v>
      </c>
      <c r="W228" s="246">
        <v>44123</v>
      </c>
      <c r="X228" s="246">
        <v>44173</v>
      </c>
      <c r="Y228" s="245">
        <v>44223</v>
      </c>
      <c r="Z228" s="311">
        <f t="shared" si="26"/>
        <v>2021</v>
      </c>
      <c r="AA228" s="311">
        <f t="shared" si="27"/>
        <v>1</v>
      </c>
      <c r="AB228" s="243" t="s">
        <v>920</v>
      </c>
      <c r="AC228" s="243" t="s">
        <v>422</v>
      </c>
      <c r="AD228" s="243" t="s">
        <v>423</v>
      </c>
      <c r="AE228" s="243" t="s">
        <v>422</v>
      </c>
      <c r="AF228" s="243" t="s">
        <v>422</v>
      </c>
      <c r="AG228" s="243" t="s">
        <v>422</v>
      </c>
      <c r="AH228" s="243" t="s">
        <v>423</v>
      </c>
      <c r="AI228" s="243" t="s">
        <v>423</v>
      </c>
      <c r="AJ228" s="243" t="s">
        <v>423</v>
      </c>
      <c r="AK228" s="244" t="s">
        <v>1240</v>
      </c>
      <c r="AL228" s="241"/>
      <c r="AM228" s="241"/>
    </row>
    <row r="229" spans="1:39" ht="15" customHeight="1" x14ac:dyDescent="0.3">
      <c r="A229" s="185">
        <v>259</v>
      </c>
      <c r="B229" s="267" t="s">
        <v>1376</v>
      </c>
      <c r="C229" s="247" t="s">
        <v>1618</v>
      </c>
      <c r="D229" s="200" t="s">
        <v>1881</v>
      </c>
      <c r="E229" s="269"/>
      <c r="F229" s="269" t="s">
        <v>1598</v>
      </c>
      <c r="G229" s="259" t="s">
        <v>1604</v>
      </c>
      <c r="H229" s="248" t="s">
        <v>1956</v>
      </c>
      <c r="I229" s="317">
        <v>0.8</v>
      </c>
      <c r="J229" s="317">
        <v>5</v>
      </c>
      <c r="K229" s="317">
        <v>0</v>
      </c>
      <c r="L229" s="212">
        <v>1</v>
      </c>
      <c r="M229" s="212">
        <f t="shared" si="28"/>
        <v>6.8</v>
      </c>
      <c r="N229" s="212">
        <f t="shared" si="29"/>
        <v>6.4</v>
      </c>
      <c r="O229" s="212">
        <f t="shared" si="30"/>
        <v>20</v>
      </c>
      <c r="P229" s="212">
        <f t="shared" si="31"/>
        <v>0</v>
      </c>
      <c r="Q229" s="212">
        <f t="shared" si="32"/>
        <v>8</v>
      </c>
      <c r="R229" s="212">
        <f t="shared" si="33"/>
        <v>34.4</v>
      </c>
      <c r="S229" s="270" t="s">
        <v>1382</v>
      </c>
      <c r="T229" s="270" t="s">
        <v>1383</v>
      </c>
      <c r="U229" s="272">
        <v>80</v>
      </c>
      <c r="V229" s="272">
        <v>80</v>
      </c>
      <c r="W229" s="246">
        <v>44123</v>
      </c>
      <c r="X229" s="246">
        <v>44173</v>
      </c>
      <c r="Y229" s="245">
        <v>44223</v>
      </c>
      <c r="Z229" s="311">
        <f t="shared" si="26"/>
        <v>2021</v>
      </c>
      <c r="AA229" s="311">
        <f t="shared" si="27"/>
        <v>1</v>
      </c>
      <c r="AB229" s="243" t="s">
        <v>920</v>
      </c>
      <c r="AC229" s="243" t="s">
        <v>422</v>
      </c>
      <c r="AD229" s="243" t="s">
        <v>422</v>
      </c>
      <c r="AE229" s="243" t="s">
        <v>422</v>
      </c>
      <c r="AF229" s="243" t="s">
        <v>422</v>
      </c>
      <c r="AG229" s="243" t="s">
        <v>422</v>
      </c>
      <c r="AH229" s="243" t="s">
        <v>423</v>
      </c>
      <c r="AI229" s="243" t="s">
        <v>423</v>
      </c>
      <c r="AJ229" s="243" t="s">
        <v>423</v>
      </c>
      <c r="AK229" s="244" t="s">
        <v>1240</v>
      </c>
      <c r="AL229" s="241"/>
      <c r="AM229" s="241"/>
    </row>
    <row r="230" spans="1:39" ht="15" customHeight="1" x14ac:dyDescent="0.3">
      <c r="A230" s="185">
        <v>260</v>
      </c>
      <c r="B230" s="267" t="s">
        <v>1377</v>
      </c>
      <c r="C230" s="247" t="s">
        <v>1618</v>
      </c>
      <c r="D230" s="200" t="s">
        <v>1881</v>
      </c>
      <c r="E230" s="269"/>
      <c r="F230" s="269" t="s">
        <v>1598</v>
      </c>
      <c r="G230" s="259" t="s">
        <v>1604</v>
      </c>
      <c r="H230" s="248" t="s">
        <v>422</v>
      </c>
      <c r="I230" s="317">
        <v>1.8</v>
      </c>
      <c r="J230" s="361">
        <v>10</v>
      </c>
      <c r="K230" s="317">
        <v>0</v>
      </c>
      <c r="L230" s="212">
        <v>1</v>
      </c>
      <c r="M230" s="212">
        <f t="shared" si="28"/>
        <v>12.8</v>
      </c>
      <c r="N230" s="212">
        <f t="shared" si="29"/>
        <v>14.4</v>
      </c>
      <c r="O230" s="212">
        <f t="shared" si="30"/>
        <v>40</v>
      </c>
      <c r="P230" s="212">
        <f t="shared" si="31"/>
        <v>0</v>
      </c>
      <c r="Q230" s="212">
        <f t="shared" si="32"/>
        <v>8</v>
      </c>
      <c r="R230" s="212">
        <f t="shared" si="33"/>
        <v>62.4</v>
      </c>
      <c r="S230" s="270" t="s">
        <v>1270</v>
      </c>
      <c r="T230" s="270" t="s">
        <v>1270</v>
      </c>
      <c r="U230" s="272">
        <v>45</v>
      </c>
      <c r="V230" s="272">
        <v>45</v>
      </c>
      <c r="W230" s="246">
        <v>44123</v>
      </c>
      <c r="X230" s="246">
        <v>44173</v>
      </c>
      <c r="Y230" s="245">
        <v>44223</v>
      </c>
      <c r="Z230" s="311">
        <f t="shared" si="26"/>
        <v>2021</v>
      </c>
      <c r="AA230" s="311">
        <f t="shared" si="27"/>
        <v>1</v>
      </c>
      <c r="AB230" s="243" t="s">
        <v>920</v>
      </c>
      <c r="AC230" s="243" t="s">
        <v>422</v>
      </c>
      <c r="AD230" s="243" t="s">
        <v>422</v>
      </c>
      <c r="AE230" s="243" t="s">
        <v>422</v>
      </c>
      <c r="AF230" s="243" t="s">
        <v>422</v>
      </c>
      <c r="AG230" s="243" t="s">
        <v>422</v>
      </c>
      <c r="AH230" s="243" t="s">
        <v>423</v>
      </c>
      <c r="AI230" s="243" t="s">
        <v>423</v>
      </c>
      <c r="AJ230" s="243" t="s">
        <v>423</v>
      </c>
      <c r="AK230" s="244" t="s">
        <v>1240</v>
      </c>
      <c r="AL230" s="241"/>
      <c r="AM230" s="241"/>
    </row>
    <row r="231" spans="1:39" ht="15" customHeight="1" x14ac:dyDescent="0.3">
      <c r="A231" s="185">
        <v>261</v>
      </c>
      <c r="B231" s="267" t="s">
        <v>1378</v>
      </c>
      <c r="C231" s="247" t="s">
        <v>1618</v>
      </c>
      <c r="D231" s="200" t="s">
        <v>1881</v>
      </c>
      <c r="E231" s="267"/>
      <c r="F231" s="269" t="s">
        <v>1598</v>
      </c>
      <c r="G231" s="259" t="s">
        <v>1604</v>
      </c>
      <c r="H231" s="248" t="s">
        <v>422</v>
      </c>
      <c r="I231" s="317">
        <v>1.8</v>
      </c>
      <c r="J231" s="317">
        <v>7.8</v>
      </c>
      <c r="K231" s="317">
        <v>0</v>
      </c>
      <c r="L231" s="212">
        <v>1</v>
      </c>
      <c r="M231" s="212">
        <f t="shared" si="28"/>
        <v>10.6</v>
      </c>
      <c r="N231" s="212">
        <f t="shared" si="29"/>
        <v>14.4</v>
      </c>
      <c r="O231" s="212">
        <f t="shared" si="30"/>
        <v>31.2</v>
      </c>
      <c r="P231" s="212">
        <f t="shared" si="31"/>
        <v>0</v>
      </c>
      <c r="Q231" s="212">
        <f t="shared" si="32"/>
        <v>8</v>
      </c>
      <c r="R231" s="212">
        <f t="shared" si="33"/>
        <v>53.6</v>
      </c>
      <c r="S231" s="270" t="s">
        <v>1384</v>
      </c>
      <c r="T231" s="270" t="s">
        <v>1385</v>
      </c>
      <c r="U231" s="272">
        <v>90</v>
      </c>
      <c r="V231" s="272">
        <v>91</v>
      </c>
      <c r="W231" s="246">
        <v>44123</v>
      </c>
      <c r="X231" s="246">
        <v>44173</v>
      </c>
      <c r="Y231" s="245">
        <v>44223</v>
      </c>
      <c r="Z231" s="311">
        <f t="shared" si="26"/>
        <v>2021</v>
      </c>
      <c r="AA231" s="311">
        <f t="shared" si="27"/>
        <v>1</v>
      </c>
      <c r="AB231" s="243" t="s">
        <v>920</v>
      </c>
      <c r="AC231" s="243" t="s">
        <v>422</v>
      </c>
      <c r="AD231" s="243" t="s">
        <v>423</v>
      </c>
      <c r="AE231" s="243" t="s">
        <v>422</v>
      </c>
      <c r="AF231" s="243" t="s">
        <v>422</v>
      </c>
      <c r="AG231" s="243" t="s">
        <v>422</v>
      </c>
      <c r="AH231" s="243" t="s">
        <v>423</v>
      </c>
      <c r="AI231" s="243" t="s">
        <v>423</v>
      </c>
      <c r="AJ231" s="243" t="s">
        <v>423</v>
      </c>
      <c r="AK231" s="244" t="s">
        <v>1240</v>
      </c>
      <c r="AL231" s="241"/>
      <c r="AM231" s="241"/>
    </row>
    <row r="232" spans="1:39" ht="15" customHeight="1" x14ac:dyDescent="0.3">
      <c r="A232" s="185">
        <v>194</v>
      </c>
      <c r="B232" s="267" t="s">
        <v>1206</v>
      </c>
      <c r="C232" s="247" t="s">
        <v>1616</v>
      </c>
      <c r="D232" s="200" t="s">
        <v>1848</v>
      </c>
      <c r="E232" s="196" t="s">
        <v>1596</v>
      </c>
      <c r="F232" s="269"/>
      <c r="G232" s="269" t="s">
        <v>1953</v>
      </c>
      <c r="H232" s="248" t="s">
        <v>422</v>
      </c>
      <c r="I232" s="356">
        <v>1</v>
      </c>
      <c r="J232" s="317">
        <v>2.5</v>
      </c>
      <c r="K232" s="317">
        <v>5.5</v>
      </c>
      <c r="L232" s="212">
        <v>0.5</v>
      </c>
      <c r="M232" s="212">
        <f t="shared" si="28"/>
        <v>9.5</v>
      </c>
      <c r="N232" s="212">
        <f t="shared" si="29"/>
        <v>8</v>
      </c>
      <c r="O232" s="212">
        <f t="shared" si="30"/>
        <v>10</v>
      </c>
      <c r="P232" s="212">
        <f t="shared" si="31"/>
        <v>36.666666666666671</v>
      </c>
      <c r="Q232" s="212">
        <f t="shared" si="32"/>
        <v>4</v>
      </c>
      <c r="R232" s="212">
        <f t="shared" si="33"/>
        <v>58.666666666666671</v>
      </c>
      <c r="S232" s="270" t="s">
        <v>731</v>
      </c>
      <c r="T232" s="270" t="s">
        <v>1112</v>
      </c>
      <c r="U232" s="343">
        <v>90</v>
      </c>
      <c r="V232" s="272">
        <v>90</v>
      </c>
      <c r="W232" s="246">
        <v>44091</v>
      </c>
      <c r="X232" s="246">
        <v>44211</v>
      </c>
      <c r="Y232" s="245">
        <v>44253</v>
      </c>
      <c r="Z232" s="311">
        <f t="shared" si="26"/>
        <v>2021</v>
      </c>
      <c r="AA232" s="311">
        <f t="shared" si="27"/>
        <v>2</v>
      </c>
      <c r="AB232" s="243" t="s">
        <v>920</v>
      </c>
      <c r="AC232" s="243" t="s">
        <v>422</v>
      </c>
      <c r="AD232" s="243" t="s">
        <v>423</v>
      </c>
      <c r="AE232" s="243" t="s">
        <v>422</v>
      </c>
      <c r="AF232" s="243" t="s">
        <v>422</v>
      </c>
      <c r="AG232" s="243" t="s">
        <v>422</v>
      </c>
      <c r="AH232" s="243" t="s">
        <v>422</v>
      </c>
      <c r="AI232" s="243" t="s">
        <v>423</v>
      </c>
      <c r="AJ232" s="243" t="s">
        <v>423</v>
      </c>
      <c r="AK232" s="244" t="s">
        <v>140</v>
      </c>
      <c r="AL232" s="241"/>
      <c r="AM232" s="241"/>
    </row>
    <row r="233" spans="1:39" ht="15" customHeight="1" x14ac:dyDescent="0.3">
      <c r="A233" s="185">
        <v>195</v>
      </c>
      <c r="B233" s="267" t="s">
        <v>1207</v>
      </c>
      <c r="C233" s="247" t="s">
        <v>1616</v>
      </c>
      <c r="D233" s="200" t="s">
        <v>1848</v>
      </c>
      <c r="E233" s="197" t="s">
        <v>1596</v>
      </c>
      <c r="F233" s="269"/>
      <c r="G233" s="269" t="s">
        <v>1953</v>
      </c>
      <c r="H233" s="248" t="s">
        <v>422</v>
      </c>
      <c r="I233" s="356">
        <v>1</v>
      </c>
      <c r="J233" s="317">
        <v>2.5</v>
      </c>
      <c r="K233" s="356">
        <v>5.5</v>
      </c>
      <c r="L233" s="212">
        <v>0.5</v>
      </c>
      <c r="M233" s="212">
        <f t="shared" si="28"/>
        <v>9.5</v>
      </c>
      <c r="N233" s="212">
        <f t="shared" si="29"/>
        <v>8</v>
      </c>
      <c r="O233" s="212">
        <f t="shared" si="30"/>
        <v>10</v>
      </c>
      <c r="P233" s="212">
        <f t="shared" si="31"/>
        <v>36.666666666666671</v>
      </c>
      <c r="Q233" s="212">
        <f t="shared" si="32"/>
        <v>4</v>
      </c>
      <c r="R233" s="212">
        <f t="shared" si="33"/>
        <v>58.666666666666671</v>
      </c>
      <c r="S233" s="270" t="s">
        <v>732</v>
      </c>
      <c r="T233" s="270" t="s">
        <v>1113</v>
      </c>
      <c r="U233" s="343">
        <f>56+86</f>
        <v>142</v>
      </c>
      <c r="V233" s="272">
        <v>142</v>
      </c>
      <c r="W233" s="246">
        <v>44091</v>
      </c>
      <c r="X233" s="246">
        <v>44211</v>
      </c>
      <c r="Y233" s="245">
        <v>44253</v>
      </c>
      <c r="Z233" s="311">
        <f t="shared" si="26"/>
        <v>2021</v>
      </c>
      <c r="AA233" s="311">
        <f t="shared" si="27"/>
        <v>2</v>
      </c>
      <c r="AB233" s="243" t="s">
        <v>920</v>
      </c>
      <c r="AC233" s="243" t="s">
        <v>422</v>
      </c>
      <c r="AD233" s="243" t="s">
        <v>423</v>
      </c>
      <c r="AE233" s="243" t="s">
        <v>422</v>
      </c>
      <c r="AF233" s="243" t="s">
        <v>422</v>
      </c>
      <c r="AG233" s="243" t="s">
        <v>422</v>
      </c>
      <c r="AH233" s="243" t="s">
        <v>422</v>
      </c>
      <c r="AI233" s="243" t="s">
        <v>423</v>
      </c>
      <c r="AJ233" s="243" t="s">
        <v>423</v>
      </c>
      <c r="AK233" s="244" t="s">
        <v>140</v>
      </c>
      <c r="AL233" s="241"/>
      <c r="AM233" s="241"/>
    </row>
    <row r="234" spans="1:39" ht="15" customHeight="1" x14ac:dyDescent="0.3">
      <c r="A234" s="185">
        <v>196</v>
      </c>
      <c r="B234" s="267" t="s">
        <v>1208</v>
      </c>
      <c r="C234" s="247" t="s">
        <v>1616</v>
      </c>
      <c r="D234" s="200" t="s">
        <v>1848</v>
      </c>
      <c r="E234" s="197" t="s">
        <v>1596</v>
      </c>
      <c r="F234" s="269"/>
      <c r="G234" s="269" t="s">
        <v>1953</v>
      </c>
      <c r="H234" s="317" t="s">
        <v>422</v>
      </c>
      <c r="I234" s="356">
        <v>2</v>
      </c>
      <c r="J234" s="317">
        <v>4.7</v>
      </c>
      <c r="K234" s="317">
        <v>8</v>
      </c>
      <c r="L234" s="212">
        <v>1</v>
      </c>
      <c r="M234" s="212">
        <f t="shared" si="28"/>
        <v>15.7</v>
      </c>
      <c r="N234" s="212">
        <f t="shared" si="29"/>
        <v>16</v>
      </c>
      <c r="O234" s="212">
        <f t="shared" si="30"/>
        <v>18.8</v>
      </c>
      <c r="P234" s="212">
        <f t="shared" si="31"/>
        <v>53.333333333333336</v>
      </c>
      <c r="Q234" s="212">
        <f t="shared" si="32"/>
        <v>8</v>
      </c>
      <c r="R234" s="212">
        <f t="shared" si="33"/>
        <v>96.133333333333326</v>
      </c>
      <c r="S234" s="270" t="s">
        <v>734</v>
      </c>
      <c r="T234" s="270" t="s">
        <v>1115</v>
      </c>
      <c r="U234" s="343">
        <v>46</v>
      </c>
      <c r="V234" s="272">
        <v>46</v>
      </c>
      <c r="W234" s="246">
        <v>44091</v>
      </c>
      <c r="X234" s="246">
        <v>44211</v>
      </c>
      <c r="Y234" s="245">
        <v>44253</v>
      </c>
      <c r="Z234" s="311">
        <f t="shared" si="26"/>
        <v>2021</v>
      </c>
      <c r="AA234" s="311">
        <f t="shared" si="27"/>
        <v>2</v>
      </c>
      <c r="AB234" s="243" t="s">
        <v>920</v>
      </c>
      <c r="AC234" s="243" t="s">
        <v>422</v>
      </c>
      <c r="AD234" s="243" t="s">
        <v>423</v>
      </c>
      <c r="AE234" s="243" t="s">
        <v>422</v>
      </c>
      <c r="AF234" s="243" t="s">
        <v>422</v>
      </c>
      <c r="AG234" s="243" t="s">
        <v>422</v>
      </c>
      <c r="AH234" s="243" t="s">
        <v>422</v>
      </c>
      <c r="AI234" s="243" t="s">
        <v>423</v>
      </c>
      <c r="AJ234" s="243" t="s">
        <v>423</v>
      </c>
      <c r="AK234" s="244" t="s">
        <v>140</v>
      </c>
      <c r="AL234" s="241"/>
      <c r="AM234" s="241"/>
    </row>
    <row r="235" spans="1:39" ht="15" customHeight="1" x14ac:dyDescent="0.3">
      <c r="A235" s="185">
        <v>197</v>
      </c>
      <c r="B235" s="267" t="s">
        <v>1209</v>
      </c>
      <c r="C235" s="247" t="s">
        <v>1616</v>
      </c>
      <c r="D235" s="200" t="s">
        <v>1848</v>
      </c>
      <c r="E235" s="197" t="s">
        <v>1596</v>
      </c>
      <c r="F235" s="269"/>
      <c r="G235" s="269" t="s">
        <v>1953</v>
      </c>
      <c r="H235" s="317" t="s">
        <v>422</v>
      </c>
      <c r="I235" s="356">
        <v>2</v>
      </c>
      <c r="J235" s="317">
        <v>9</v>
      </c>
      <c r="K235" s="356">
        <v>9</v>
      </c>
      <c r="L235" s="212">
        <v>1</v>
      </c>
      <c r="M235" s="212">
        <f t="shared" si="28"/>
        <v>21</v>
      </c>
      <c r="N235" s="212">
        <f t="shared" si="29"/>
        <v>16</v>
      </c>
      <c r="O235" s="212">
        <f t="shared" si="30"/>
        <v>36</v>
      </c>
      <c r="P235" s="212">
        <f t="shared" si="31"/>
        <v>60</v>
      </c>
      <c r="Q235" s="212">
        <f t="shared" si="32"/>
        <v>8</v>
      </c>
      <c r="R235" s="212">
        <f t="shared" si="33"/>
        <v>120</v>
      </c>
      <c r="S235" s="270" t="s">
        <v>1163</v>
      </c>
      <c r="T235" s="270" t="s">
        <v>1117</v>
      </c>
      <c r="U235" s="343">
        <f>106+80+52+72</f>
        <v>310</v>
      </c>
      <c r="V235" s="272">
        <v>310</v>
      </c>
      <c r="W235" s="246">
        <v>44091</v>
      </c>
      <c r="X235" s="246">
        <v>44211</v>
      </c>
      <c r="Y235" s="245">
        <v>44253</v>
      </c>
      <c r="Z235" s="311">
        <f t="shared" si="26"/>
        <v>2021</v>
      </c>
      <c r="AA235" s="311">
        <f t="shared" si="27"/>
        <v>2</v>
      </c>
      <c r="AB235" s="243" t="s">
        <v>920</v>
      </c>
      <c r="AC235" s="243" t="s">
        <v>422</v>
      </c>
      <c r="AD235" s="243" t="s">
        <v>422</v>
      </c>
      <c r="AE235" s="243" t="s">
        <v>422</v>
      </c>
      <c r="AF235" s="243" t="s">
        <v>422</v>
      </c>
      <c r="AG235" s="243" t="s">
        <v>422</v>
      </c>
      <c r="AH235" s="243" t="s">
        <v>422</v>
      </c>
      <c r="AI235" s="243" t="s">
        <v>423</v>
      </c>
      <c r="AJ235" s="243" t="s">
        <v>423</v>
      </c>
      <c r="AK235" s="244" t="s">
        <v>140</v>
      </c>
      <c r="AL235" s="241"/>
      <c r="AM235" s="241"/>
    </row>
    <row r="236" spans="1:39" ht="15" customHeight="1" x14ac:dyDescent="0.3">
      <c r="A236" s="185">
        <v>198</v>
      </c>
      <c r="B236" s="267" t="s">
        <v>1210</v>
      </c>
      <c r="C236" s="247" t="s">
        <v>1616</v>
      </c>
      <c r="D236" s="200" t="s">
        <v>1848</v>
      </c>
      <c r="E236" s="197" t="s">
        <v>1596</v>
      </c>
      <c r="F236" s="269"/>
      <c r="G236" s="269" t="s">
        <v>1953</v>
      </c>
      <c r="H236" s="317" t="s">
        <v>422</v>
      </c>
      <c r="I236" s="356">
        <v>2</v>
      </c>
      <c r="J236" s="317">
        <v>9</v>
      </c>
      <c r="K236" s="356">
        <v>9</v>
      </c>
      <c r="L236" s="212">
        <v>1</v>
      </c>
      <c r="M236" s="212">
        <f t="shared" si="28"/>
        <v>21</v>
      </c>
      <c r="N236" s="212">
        <f t="shared" si="29"/>
        <v>16</v>
      </c>
      <c r="O236" s="212">
        <f t="shared" si="30"/>
        <v>36</v>
      </c>
      <c r="P236" s="212">
        <f t="shared" si="31"/>
        <v>60</v>
      </c>
      <c r="Q236" s="212">
        <f t="shared" si="32"/>
        <v>8</v>
      </c>
      <c r="R236" s="212">
        <f t="shared" si="33"/>
        <v>120</v>
      </c>
      <c r="S236" s="270" t="s">
        <v>1165</v>
      </c>
      <c r="T236" s="270" t="s">
        <v>1119</v>
      </c>
      <c r="U236" s="343">
        <f>20+22+22+24</f>
        <v>88</v>
      </c>
      <c r="V236" s="272">
        <v>88</v>
      </c>
      <c r="W236" s="246">
        <v>44091</v>
      </c>
      <c r="X236" s="246">
        <v>44211</v>
      </c>
      <c r="Y236" s="245">
        <v>44253</v>
      </c>
      <c r="Z236" s="311">
        <f t="shared" si="26"/>
        <v>2021</v>
      </c>
      <c r="AA236" s="311">
        <f t="shared" si="27"/>
        <v>2</v>
      </c>
      <c r="AB236" s="243" t="s">
        <v>920</v>
      </c>
      <c r="AC236" s="243" t="s">
        <v>422</v>
      </c>
      <c r="AD236" s="243" t="s">
        <v>422</v>
      </c>
      <c r="AE236" s="243" t="s">
        <v>422</v>
      </c>
      <c r="AF236" s="243" t="s">
        <v>422</v>
      </c>
      <c r="AG236" s="243" t="s">
        <v>422</v>
      </c>
      <c r="AH236" s="243" t="s">
        <v>422</v>
      </c>
      <c r="AI236" s="243" t="s">
        <v>423</v>
      </c>
      <c r="AJ236" s="243" t="s">
        <v>423</v>
      </c>
      <c r="AK236" s="244" t="s">
        <v>140</v>
      </c>
      <c r="AL236" s="241"/>
      <c r="AM236" s="241"/>
    </row>
    <row r="237" spans="1:39" ht="15" customHeight="1" x14ac:dyDescent="0.3">
      <c r="A237" s="185">
        <v>199</v>
      </c>
      <c r="B237" s="267" t="s">
        <v>1211</v>
      </c>
      <c r="C237" s="247" t="s">
        <v>1616</v>
      </c>
      <c r="D237" s="200" t="s">
        <v>1848</v>
      </c>
      <c r="E237" s="197" t="s">
        <v>1596</v>
      </c>
      <c r="F237" s="269"/>
      <c r="G237" s="269" t="s">
        <v>1953</v>
      </c>
      <c r="H237" s="317" t="s">
        <v>422</v>
      </c>
      <c r="I237" s="356">
        <v>2</v>
      </c>
      <c r="J237" s="317">
        <v>9.5</v>
      </c>
      <c r="K237" s="356">
        <v>9</v>
      </c>
      <c r="L237" s="212">
        <v>1</v>
      </c>
      <c r="M237" s="212">
        <f t="shared" si="28"/>
        <v>21.5</v>
      </c>
      <c r="N237" s="212">
        <f t="shared" si="29"/>
        <v>16</v>
      </c>
      <c r="O237" s="212">
        <f t="shared" si="30"/>
        <v>38</v>
      </c>
      <c r="P237" s="212">
        <f t="shared" si="31"/>
        <v>60</v>
      </c>
      <c r="Q237" s="212">
        <f t="shared" si="32"/>
        <v>8</v>
      </c>
      <c r="R237" s="212">
        <f t="shared" si="33"/>
        <v>122</v>
      </c>
      <c r="S237" s="270" t="s">
        <v>1164</v>
      </c>
      <c r="T237" s="270" t="s">
        <v>1161</v>
      </c>
      <c r="U237" s="343">
        <f>46+66+64+50</f>
        <v>226</v>
      </c>
      <c r="V237" s="272">
        <v>226</v>
      </c>
      <c r="W237" s="246">
        <v>44091</v>
      </c>
      <c r="X237" s="246">
        <v>44211</v>
      </c>
      <c r="Y237" s="245">
        <v>44253</v>
      </c>
      <c r="Z237" s="311">
        <f t="shared" si="26"/>
        <v>2021</v>
      </c>
      <c r="AA237" s="311">
        <f t="shared" si="27"/>
        <v>2</v>
      </c>
      <c r="AB237" s="243" t="s">
        <v>920</v>
      </c>
      <c r="AC237" s="243" t="s">
        <v>422</v>
      </c>
      <c r="AD237" s="243" t="s">
        <v>422</v>
      </c>
      <c r="AE237" s="243" t="s">
        <v>422</v>
      </c>
      <c r="AF237" s="243" t="s">
        <v>422</v>
      </c>
      <c r="AG237" s="243" t="s">
        <v>422</v>
      </c>
      <c r="AH237" s="243" t="s">
        <v>422</v>
      </c>
      <c r="AI237" s="243" t="s">
        <v>423</v>
      </c>
      <c r="AJ237" s="243" t="s">
        <v>423</v>
      </c>
      <c r="AK237" s="244" t="s">
        <v>140</v>
      </c>
      <c r="AL237" s="241"/>
      <c r="AM237" s="241"/>
    </row>
    <row r="238" spans="1:39" ht="15" customHeight="1" x14ac:dyDescent="0.3">
      <c r="A238" s="185">
        <v>200</v>
      </c>
      <c r="B238" s="267" t="s">
        <v>1212</v>
      </c>
      <c r="C238" s="247" t="s">
        <v>1616</v>
      </c>
      <c r="D238" s="200" t="s">
        <v>1848</v>
      </c>
      <c r="E238" s="197" t="s">
        <v>1596</v>
      </c>
      <c r="F238" s="269"/>
      <c r="G238" s="269" t="s">
        <v>1953</v>
      </c>
      <c r="H238" s="317" t="s">
        <v>422</v>
      </c>
      <c r="I238" s="356">
        <v>2</v>
      </c>
      <c r="J238" s="317">
        <v>7</v>
      </c>
      <c r="K238" s="317">
        <v>9</v>
      </c>
      <c r="L238" s="212">
        <v>1</v>
      </c>
      <c r="M238" s="212">
        <f t="shared" si="28"/>
        <v>19</v>
      </c>
      <c r="N238" s="212">
        <f t="shared" si="29"/>
        <v>16</v>
      </c>
      <c r="O238" s="212">
        <f t="shared" si="30"/>
        <v>28</v>
      </c>
      <c r="P238" s="212">
        <f t="shared" si="31"/>
        <v>60</v>
      </c>
      <c r="Q238" s="212">
        <f t="shared" si="32"/>
        <v>8</v>
      </c>
      <c r="R238" s="212">
        <f t="shared" si="33"/>
        <v>112</v>
      </c>
      <c r="S238" s="270" t="s">
        <v>729</v>
      </c>
      <c r="T238" s="270" t="s">
        <v>1125</v>
      </c>
      <c r="U238" s="343">
        <f>70+88</f>
        <v>158</v>
      </c>
      <c r="V238" s="272">
        <v>158</v>
      </c>
      <c r="W238" s="246">
        <v>44091</v>
      </c>
      <c r="X238" s="246">
        <v>44211</v>
      </c>
      <c r="Y238" s="245">
        <v>44253</v>
      </c>
      <c r="Z238" s="311">
        <f t="shared" si="26"/>
        <v>2021</v>
      </c>
      <c r="AA238" s="311">
        <f t="shared" si="27"/>
        <v>2</v>
      </c>
      <c r="AB238" s="243" t="s">
        <v>920</v>
      </c>
      <c r="AC238" s="243" t="s">
        <v>422</v>
      </c>
      <c r="AD238" s="243" t="s">
        <v>422</v>
      </c>
      <c r="AE238" s="243" t="s">
        <v>422</v>
      </c>
      <c r="AF238" s="243" t="s">
        <v>422</v>
      </c>
      <c r="AG238" s="243" t="s">
        <v>422</v>
      </c>
      <c r="AH238" s="243" t="s">
        <v>422</v>
      </c>
      <c r="AI238" s="243" t="s">
        <v>423</v>
      </c>
      <c r="AJ238" s="243" t="s">
        <v>423</v>
      </c>
      <c r="AK238" s="244" t="s">
        <v>140</v>
      </c>
      <c r="AL238" s="241"/>
      <c r="AM238" s="241"/>
    </row>
    <row r="239" spans="1:39" ht="15" customHeight="1" x14ac:dyDescent="0.3">
      <c r="A239" s="185">
        <v>201</v>
      </c>
      <c r="B239" s="267" t="s">
        <v>1213</v>
      </c>
      <c r="C239" s="247" t="s">
        <v>1616</v>
      </c>
      <c r="D239" s="200" t="s">
        <v>1848</v>
      </c>
      <c r="E239" s="197" t="s">
        <v>1596</v>
      </c>
      <c r="F239" s="269"/>
      <c r="G239" s="269" t="s">
        <v>1953</v>
      </c>
      <c r="H239" s="317" t="s">
        <v>422</v>
      </c>
      <c r="I239" s="356">
        <v>1</v>
      </c>
      <c r="J239" s="317">
        <v>2.5</v>
      </c>
      <c r="K239" s="317">
        <v>4.5</v>
      </c>
      <c r="L239" s="212">
        <v>0.5</v>
      </c>
      <c r="M239" s="212">
        <f t="shared" si="28"/>
        <v>8.5</v>
      </c>
      <c r="N239" s="212">
        <f t="shared" si="29"/>
        <v>8</v>
      </c>
      <c r="O239" s="212">
        <f t="shared" si="30"/>
        <v>10</v>
      </c>
      <c r="P239" s="212">
        <f t="shared" si="31"/>
        <v>30</v>
      </c>
      <c r="Q239" s="212">
        <f t="shared" si="32"/>
        <v>4</v>
      </c>
      <c r="R239" s="212">
        <f t="shared" si="33"/>
        <v>52</v>
      </c>
      <c r="S239" s="270" t="s">
        <v>714</v>
      </c>
      <c r="T239" s="270" t="s">
        <v>1112</v>
      </c>
      <c r="U239" s="343">
        <v>90</v>
      </c>
      <c r="V239" s="272">
        <v>90</v>
      </c>
      <c r="W239" s="246">
        <v>44091</v>
      </c>
      <c r="X239" s="246">
        <v>44211</v>
      </c>
      <c r="Y239" s="245">
        <v>44253</v>
      </c>
      <c r="Z239" s="311">
        <f t="shared" si="26"/>
        <v>2021</v>
      </c>
      <c r="AA239" s="311">
        <f t="shared" si="27"/>
        <v>2</v>
      </c>
      <c r="AB239" s="243" t="s">
        <v>920</v>
      </c>
      <c r="AC239" s="243" t="s">
        <v>422</v>
      </c>
      <c r="AD239" s="243" t="s">
        <v>423</v>
      </c>
      <c r="AE239" s="243" t="s">
        <v>422</v>
      </c>
      <c r="AF239" s="243" t="s">
        <v>422</v>
      </c>
      <c r="AG239" s="243" t="s">
        <v>422</v>
      </c>
      <c r="AH239" s="243" t="s">
        <v>422</v>
      </c>
      <c r="AI239" s="243" t="s">
        <v>423</v>
      </c>
      <c r="AJ239" s="243" t="s">
        <v>423</v>
      </c>
      <c r="AK239" s="244" t="s">
        <v>254</v>
      </c>
      <c r="AL239" s="241"/>
      <c r="AM239" s="241"/>
    </row>
    <row r="240" spans="1:39" ht="15" customHeight="1" x14ac:dyDescent="0.3">
      <c r="A240" s="185">
        <v>202</v>
      </c>
      <c r="B240" s="267" t="s">
        <v>1214</v>
      </c>
      <c r="C240" s="247" t="s">
        <v>1616</v>
      </c>
      <c r="D240" s="200" t="s">
        <v>1848</v>
      </c>
      <c r="E240" s="197" t="s">
        <v>1596</v>
      </c>
      <c r="F240" s="269"/>
      <c r="G240" s="269" t="s">
        <v>1953</v>
      </c>
      <c r="H240" s="317" t="s">
        <v>422</v>
      </c>
      <c r="I240" s="356">
        <v>1</v>
      </c>
      <c r="J240" s="317">
        <v>2</v>
      </c>
      <c r="K240" s="356">
        <v>4.5</v>
      </c>
      <c r="L240" s="212">
        <v>0.5</v>
      </c>
      <c r="M240" s="212">
        <f t="shared" si="28"/>
        <v>8</v>
      </c>
      <c r="N240" s="212">
        <f t="shared" si="29"/>
        <v>8</v>
      </c>
      <c r="O240" s="212">
        <f t="shared" si="30"/>
        <v>8</v>
      </c>
      <c r="P240" s="212">
        <f t="shared" si="31"/>
        <v>30</v>
      </c>
      <c r="Q240" s="212">
        <f t="shared" si="32"/>
        <v>4</v>
      </c>
      <c r="R240" s="212">
        <f t="shared" si="33"/>
        <v>50</v>
      </c>
      <c r="S240" s="270" t="s">
        <v>716</v>
      </c>
      <c r="T240" s="270" t="s">
        <v>1113</v>
      </c>
      <c r="U240" s="343">
        <f>80+84</f>
        <v>164</v>
      </c>
      <c r="V240" s="272">
        <v>164</v>
      </c>
      <c r="W240" s="246">
        <v>44091</v>
      </c>
      <c r="X240" s="246">
        <v>44211</v>
      </c>
      <c r="Y240" s="245">
        <v>44253</v>
      </c>
      <c r="Z240" s="311">
        <f t="shared" si="26"/>
        <v>2021</v>
      </c>
      <c r="AA240" s="311">
        <f t="shared" si="27"/>
        <v>2</v>
      </c>
      <c r="AB240" s="243" t="s">
        <v>920</v>
      </c>
      <c r="AC240" s="243" t="s">
        <v>422</v>
      </c>
      <c r="AD240" s="243" t="s">
        <v>423</v>
      </c>
      <c r="AE240" s="243" t="s">
        <v>422</v>
      </c>
      <c r="AF240" s="243" t="s">
        <v>422</v>
      </c>
      <c r="AG240" s="243" t="s">
        <v>422</v>
      </c>
      <c r="AH240" s="243" t="s">
        <v>422</v>
      </c>
      <c r="AI240" s="243" t="s">
        <v>423</v>
      </c>
      <c r="AJ240" s="243" t="s">
        <v>423</v>
      </c>
      <c r="AK240" s="244" t="s">
        <v>254</v>
      </c>
      <c r="AL240" s="241"/>
      <c r="AM240" s="241"/>
    </row>
    <row r="241" spans="1:39" ht="15" customHeight="1" x14ac:dyDescent="0.3">
      <c r="A241" s="185">
        <v>203</v>
      </c>
      <c r="B241" s="267" t="s">
        <v>1215</v>
      </c>
      <c r="C241" s="247" t="s">
        <v>1616</v>
      </c>
      <c r="D241" s="200" t="s">
        <v>1848</v>
      </c>
      <c r="E241" s="196" t="s">
        <v>1596</v>
      </c>
      <c r="F241" s="269"/>
      <c r="G241" s="269" t="s">
        <v>1953</v>
      </c>
      <c r="H241" s="248" t="s">
        <v>422</v>
      </c>
      <c r="I241" s="356">
        <v>1</v>
      </c>
      <c r="J241" s="317">
        <v>4</v>
      </c>
      <c r="K241" s="317">
        <v>5.5</v>
      </c>
      <c r="L241" s="212">
        <v>0.8</v>
      </c>
      <c r="M241" s="212">
        <f t="shared" si="28"/>
        <v>11.3</v>
      </c>
      <c r="N241" s="212">
        <f t="shared" si="29"/>
        <v>8</v>
      </c>
      <c r="O241" s="212">
        <f t="shared" si="30"/>
        <v>16</v>
      </c>
      <c r="P241" s="212">
        <f t="shared" si="31"/>
        <v>36.666666666666671</v>
      </c>
      <c r="Q241" s="212">
        <f t="shared" si="32"/>
        <v>6.4</v>
      </c>
      <c r="R241" s="212">
        <f t="shared" si="33"/>
        <v>67.066666666666677</v>
      </c>
      <c r="S241" s="270" t="s">
        <v>736</v>
      </c>
      <c r="T241" s="270" t="s">
        <v>1114</v>
      </c>
      <c r="U241" s="272">
        <v>96</v>
      </c>
      <c r="V241" s="272">
        <v>96</v>
      </c>
      <c r="W241" s="246">
        <v>44091</v>
      </c>
      <c r="X241" s="246">
        <v>44211</v>
      </c>
      <c r="Y241" s="245">
        <v>44253</v>
      </c>
      <c r="Z241" s="311">
        <f t="shared" si="26"/>
        <v>2021</v>
      </c>
      <c r="AA241" s="311">
        <f t="shared" si="27"/>
        <v>2</v>
      </c>
      <c r="AB241" s="243" t="s">
        <v>920</v>
      </c>
      <c r="AC241" s="243" t="s">
        <v>422</v>
      </c>
      <c r="AD241" s="243" t="s">
        <v>423</v>
      </c>
      <c r="AE241" s="243" t="s">
        <v>422</v>
      </c>
      <c r="AF241" s="243" t="s">
        <v>422</v>
      </c>
      <c r="AG241" s="243" t="s">
        <v>422</v>
      </c>
      <c r="AH241" s="243" t="s">
        <v>422</v>
      </c>
      <c r="AI241" s="243" t="s">
        <v>423</v>
      </c>
      <c r="AJ241" s="243" t="s">
        <v>423</v>
      </c>
      <c r="AK241" s="244" t="s">
        <v>254</v>
      </c>
      <c r="AL241" s="241"/>
      <c r="AM241" s="241"/>
    </row>
    <row r="242" spans="1:39" ht="15" customHeight="1" x14ac:dyDescent="0.3">
      <c r="A242" s="185">
        <v>204</v>
      </c>
      <c r="B242" s="267" t="s">
        <v>1216</v>
      </c>
      <c r="C242" s="247" t="s">
        <v>1616</v>
      </c>
      <c r="D242" s="200" t="s">
        <v>1848</v>
      </c>
      <c r="E242" s="196" t="s">
        <v>1596</v>
      </c>
      <c r="F242" s="269"/>
      <c r="G242" s="269" t="s">
        <v>1953</v>
      </c>
      <c r="H242" s="248" t="s">
        <v>422</v>
      </c>
      <c r="I242" s="356">
        <v>2</v>
      </c>
      <c r="J242" s="317">
        <v>4.7</v>
      </c>
      <c r="K242" s="317">
        <v>10</v>
      </c>
      <c r="L242" s="212">
        <v>1</v>
      </c>
      <c r="M242" s="212">
        <f t="shared" si="28"/>
        <v>17.7</v>
      </c>
      <c r="N242" s="212">
        <f t="shared" si="29"/>
        <v>16</v>
      </c>
      <c r="O242" s="212">
        <f t="shared" si="30"/>
        <v>18.8</v>
      </c>
      <c r="P242" s="212">
        <f t="shared" si="31"/>
        <v>66.666666666666671</v>
      </c>
      <c r="Q242" s="212">
        <f t="shared" si="32"/>
        <v>8</v>
      </c>
      <c r="R242" s="212">
        <f t="shared" si="33"/>
        <v>109.46666666666667</v>
      </c>
      <c r="S242" s="270" t="s">
        <v>718</v>
      </c>
      <c r="T242" s="270" t="s">
        <v>1115</v>
      </c>
      <c r="U242" s="272">
        <v>104</v>
      </c>
      <c r="V242" s="272">
        <v>104</v>
      </c>
      <c r="W242" s="246">
        <v>44091</v>
      </c>
      <c r="X242" s="246">
        <v>44211</v>
      </c>
      <c r="Y242" s="245">
        <v>44253</v>
      </c>
      <c r="Z242" s="311">
        <f t="shared" si="26"/>
        <v>2021</v>
      </c>
      <c r="AA242" s="311">
        <f t="shared" si="27"/>
        <v>2</v>
      </c>
      <c r="AB242" s="243" t="s">
        <v>920</v>
      </c>
      <c r="AC242" s="243" t="s">
        <v>422</v>
      </c>
      <c r="AD242" s="243" t="s">
        <v>423</v>
      </c>
      <c r="AE242" s="243" t="s">
        <v>422</v>
      </c>
      <c r="AF242" s="243" t="s">
        <v>422</v>
      </c>
      <c r="AG242" s="243" t="s">
        <v>422</v>
      </c>
      <c r="AH242" s="243" t="s">
        <v>422</v>
      </c>
      <c r="AI242" s="243" t="s">
        <v>423</v>
      </c>
      <c r="AJ242" s="243" t="s">
        <v>423</v>
      </c>
      <c r="AK242" s="244" t="s">
        <v>254</v>
      </c>
      <c r="AL242" s="241"/>
      <c r="AM242" s="241"/>
    </row>
    <row r="243" spans="1:39" ht="15" customHeight="1" x14ac:dyDescent="0.3">
      <c r="A243" s="185">
        <v>205</v>
      </c>
      <c r="B243" s="267" t="s">
        <v>1218</v>
      </c>
      <c r="C243" s="247" t="s">
        <v>1616</v>
      </c>
      <c r="D243" s="200" t="s">
        <v>1848</v>
      </c>
      <c r="E243" s="196" t="s">
        <v>1596</v>
      </c>
      <c r="F243" s="269"/>
      <c r="G243" s="269" t="s">
        <v>1953</v>
      </c>
      <c r="H243" s="248" t="s">
        <v>422</v>
      </c>
      <c r="I243" s="356">
        <v>2</v>
      </c>
      <c r="J243" s="317">
        <v>10.5</v>
      </c>
      <c r="K243" s="317">
        <v>10</v>
      </c>
      <c r="L243" s="212">
        <v>1</v>
      </c>
      <c r="M243" s="212">
        <f t="shared" si="28"/>
        <v>23.5</v>
      </c>
      <c r="N243" s="212">
        <f t="shared" si="29"/>
        <v>16</v>
      </c>
      <c r="O243" s="212">
        <f t="shared" si="30"/>
        <v>42</v>
      </c>
      <c r="P243" s="212">
        <f t="shared" si="31"/>
        <v>66.666666666666671</v>
      </c>
      <c r="Q243" s="212">
        <f t="shared" si="32"/>
        <v>8</v>
      </c>
      <c r="R243" s="212">
        <f t="shared" si="33"/>
        <v>132.66666666666669</v>
      </c>
      <c r="S243" s="270" t="s">
        <v>1120</v>
      </c>
      <c r="T243" s="270" t="s">
        <v>1219</v>
      </c>
      <c r="U243" s="272">
        <f>72+85+80+64</f>
        <v>301</v>
      </c>
      <c r="V243" s="272">
        <v>301</v>
      </c>
      <c r="W243" s="246">
        <v>44091</v>
      </c>
      <c r="X243" s="246">
        <v>44211</v>
      </c>
      <c r="Y243" s="245">
        <v>44253</v>
      </c>
      <c r="Z243" s="311">
        <f t="shared" si="26"/>
        <v>2021</v>
      </c>
      <c r="AA243" s="311">
        <f t="shared" si="27"/>
        <v>2</v>
      </c>
      <c r="AB243" s="243" t="s">
        <v>920</v>
      </c>
      <c r="AC243" s="243" t="s">
        <v>422</v>
      </c>
      <c r="AD243" s="243" t="s">
        <v>422</v>
      </c>
      <c r="AE243" s="243" t="s">
        <v>422</v>
      </c>
      <c r="AF243" s="243" t="s">
        <v>422</v>
      </c>
      <c r="AG243" s="243" t="s">
        <v>422</v>
      </c>
      <c r="AH243" s="243" t="s">
        <v>422</v>
      </c>
      <c r="AI243" s="243" t="s">
        <v>423</v>
      </c>
      <c r="AJ243" s="243" t="s">
        <v>423</v>
      </c>
      <c r="AK243" s="244" t="s">
        <v>1372</v>
      </c>
      <c r="AL243" s="241"/>
      <c r="AM243" s="241"/>
    </row>
    <row r="244" spans="1:39" ht="15" customHeight="1" x14ac:dyDescent="0.3">
      <c r="A244" s="185">
        <v>206</v>
      </c>
      <c r="B244" s="267" t="s">
        <v>1217</v>
      </c>
      <c r="C244" s="247" t="s">
        <v>1616</v>
      </c>
      <c r="D244" s="200" t="s">
        <v>1848</v>
      </c>
      <c r="E244" s="196" t="s">
        <v>1596</v>
      </c>
      <c r="F244" s="269"/>
      <c r="G244" s="269" t="s">
        <v>1953</v>
      </c>
      <c r="H244" s="248" t="s">
        <v>422</v>
      </c>
      <c r="I244" s="356">
        <v>2</v>
      </c>
      <c r="J244" s="317">
        <v>11</v>
      </c>
      <c r="K244" s="317">
        <v>10</v>
      </c>
      <c r="L244" s="212">
        <v>1</v>
      </c>
      <c r="M244" s="212">
        <f t="shared" si="28"/>
        <v>24</v>
      </c>
      <c r="N244" s="212">
        <f t="shared" si="29"/>
        <v>16</v>
      </c>
      <c r="O244" s="212">
        <f t="shared" si="30"/>
        <v>44</v>
      </c>
      <c r="P244" s="212">
        <f t="shared" si="31"/>
        <v>66.666666666666671</v>
      </c>
      <c r="Q244" s="212">
        <f t="shared" si="32"/>
        <v>8</v>
      </c>
      <c r="R244" s="212">
        <f t="shared" si="33"/>
        <v>134.66666666666669</v>
      </c>
      <c r="S244" s="270" t="s">
        <v>1116</v>
      </c>
      <c r="T244" s="270" t="s">
        <v>1117</v>
      </c>
      <c r="U244" s="272">
        <f>96+88+60+86</f>
        <v>330</v>
      </c>
      <c r="V244" s="272">
        <v>330</v>
      </c>
      <c r="W244" s="246">
        <v>44091</v>
      </c>
      <c r="X244" s="246">
        <v>44211</v>
      </c>
      <c r="Y244" s="245">
        <v>44253</v>
      </c>
      <c r="Z244" s="311">
        <f t="shared" si="26"/>
        <v>2021</v>
      </c>
      <c r="AA244" s="311">
        <f t="shared" si="27"/>
        <v>2</v>
      </c>
      <c r="AB244" s="243" t="s">
        <v>920</v>
      </c>
      <c r="AC244" s="243" t="s">
        <v>422</v>
      </c>
      <c r="AD244" s="243" t="s">
        <v>422</v>
      </c>
      <c r="AE244" s="243" t="s">
        <v>422</v>
      </c>
      <c r="AF244" s="243" t="s">
        <v>422</v>
      </c>
      <c r="AG244" s="243" t="s">
        <v>422</v>
      </c>
      <c r="AH244" s="243" t="s">
        <v>422</v>
      </c>
      <c r="AI244" s="243" t="s">
        <v>423</v>
      </c>
      <c r="AJ244" s="243" t="s">
        <v>423</v>
      </c>
      <c r="AK244" s="244" t="s">
        <v>1372</v>
      </c>
      <c r="AL244" s="241"/>
      <c r="AM244" s="241"/>
    </row>
    <row r="245" spans="1:39" ht="15" customHeight="1" x14ac:dyDescent="0.3">
      <c r="A245" s="185">
        <v>207</v>
      </c>
      <c r="B245" s="267" t="s">
        <v>1221</v>
      </c>
      <c r="C245" s="247" t="s">
        <v>1616</v>
      </c>
      <c r="D245" s="200" t="s">
        <v>1848</v>
      </c>
      <c r="E245" s="197" t="s">
        <v>1596</v>
      </c>
      <c r="F245" s="269"/>
      <c r="G245" s="269" t="s">
        <v>1953</v>
      </c>
      <c r="H245" s="317" t="s">
        <v>422</v>
      </c>
      <c r="I245" s="356">
        <v>2</v>
      </c>
      <c r="J245" s="317">
        <v>9.3000000000000007</v>
      </c>
      <c r="K245" s="317">
        <v>10</v>
      </c>
      <c r="L245" s="212">
        <v>1</v>
      </c>
      <c r="M245" s="212">
        <f t="shared" si="28"/>
        <v>22.3</v>
      </c>
      <c r="N245" s="212">
        <f t="shared" si="29"/>
        <v>16</v>
      </c>
      <c r="O245" s="212">
        <f t="shared" si="30"/>
        <v>37.200000000000003</v>
      </c>
      <c r="P245" s="212">
        <f t="shared" si="31"/>
        <v>66.666666666666671</v>
      </c>
      <c r="Q245" s="212">
        <f t="shared" si="32"/>
        <v>8</v>
      </c>
      <c r="R245" s="212">
        <f t="shared" si="33"/>
        <v>127.86666666666667</v>
      </c>
      <c r="S245" s="270" t="s">
        <v>1118</v>
      </c>
      <c r="T245" s="270" t="s">
        <v>1119</v>
      </c>
      <c r="U245" s="272">
        <f>28+40+36+30</f>
        <v>134</v>
      </c>
      <c r="V245" s="272">
        <v>134</v>
      </c>
      <c r="W245" s="246">
        <v>44091</v>
      </c>
      <c r="X245" s="246">
        <v>44211</v>
      </c>
      <c r="Y245" s="245">
        <v>44253</v>
      </c>
      <c r="Z245" s="311">
        <f t="shared" si="26"/>
        <v>2021</v>
      </c>
      <c r="AA245" s="311">
        <f t="shared" si="27"/>
        <v>2</v>
      </c>
      <c r="AB245" s="243" t="s">
        <v>920</v>
      </c>
      <c r="AC245" s="243" t="s">
        <v>422</v>
      </c>
      <c r="AD245" s="243" t="s">
        <v>422</v>
      </c>
      <c r="AE245" s="243" t="s">
        <v>422</v>
      </c>
      <c r="AF245" s="243" t="s">
        <v>422</v>
      </c>
      <c r="AG245" s="243" t="s">
        <v>422</v>
      </c>
      <c r="AH245" s="243" t="s">
        <v>422</v>
      </c>
      <c r="AI245" s="243" t="s">
        <v>423</v>
      </c>
      <c r="AJ245" s="243" t="s">
        <v>423</v>
      </c>
      <c r="AK245" s="244" t="s">
        <v>1424</v>
      </c>
      <c r="AL245" s="241"/>
      <c r="AM245" s="241"/>
    </row>
    <row r="246" spans="1:39" ht="15" customHeight="1" x14ac:dyDescent="0.3">
      <c r="A246" s="185">
        <v>208</v>
      </c>
      <c r="B246" s="267" t="s">
        <v>1220</v>
      </c>
      <c r="C246" s="247" t="s">
        <v>1616</v>
      </c>
      <c r="D246" s="200" t="s">
        <v>1848</v>
      </c>
      <c r="E246" s="197" t="s">
        <v>1596</v>
      </c>
      <c r="F246" s="269"/>
      <c r="G246" s="269" t="s">
        <v>1953</v>
      </c>
      <c r="H246" s="317" t="s">
        <v>422</v>
      </c>
      <c r="I246" s="356">
        <v>2</v>
      </c>
      <c r="J246" s="317">
        <v>8.5</v>
      </c>
      <c r="K246" s="317">
        <v>10</v>
      </c>
      <c r="L246" s="212">
        <v>1</v>
      </c>
      <c r="M246" s="212">
        <f t="shared" si="28"/>
        <v>21.5</v>
      </c>
      <c r="N246" s="212">
        <f t="shared" si="29"/>
        <v>16</v>
      </c>
      <c r="O246" s="212">
        <f t="shared" si="30"/>
        <v>34</v>
      </c>
      <c r="P246" s="212">
        <f t="shared" si="31"/>
        <v>66.666666666666671</v>
      </c>
      <c r="Q246" s="212">
        <f t="shared" si="32"/>
        <v>8</v>
      </c>
      <c r="R246" s="212">
        <f t="shared" si="33"/>
        <v>124.66666666666667</v>
      </c>
      <c r="S246" s="270" t="s">
        <v>1124</v>
      </c>
      <c r="T246" s="270" t="s">
        <v>1125</v>
      </c>
      <c r="U246" s="272">
        <f>100+110</f>
        <v>210</v>
      </c>
      <c r="V246" s="272">
        <v>210</v>
      </c>
      <c r="W246" s="246">
        <v>44091</v>
      </c>
      <c r="X246" s="246">
        <v>44211</v>
      </c>
      <c r="Y246" s="245">
        <v>44253</v>
      </c>
      <c r="Z246" s="311">
        <f t="shared" si="26"/>
        <v>2021</v>
      </c>
      <c r="AA246" s="311">
        <f t="shared" si="27"/>
        <v>2</v>
      </c>
      <c r="AB246" s="243" t="s">
        <v>920</v>
      </c>
      <c r="AC246" s="243" t="s">
        <v>422</v>
      </c>
      <c r="AD246" s="243" t="s">
        <v>422</v>
      </c>
      <c r="AE246" s="243" t="s">
        <v>422</v>
      </c>
      <c r="AF246" s="243" t="s">
        <v>422</v>
      </c>
      <c r="AG246" s="243" t="s">
        <v>422</v>
      </c>
      <c r="AH246" s="243" t="s">
        <v>422</v>
      </c>
      <c r="AI246" s="243" t="s">
        <v>423</v>
      </c>
      <c r="AJ246" s="243" t="s">
        <v>423</v>
      </c>
      <c r="AK246" s="244" t="s">
        <v>1424</v>
      </c>
      <c r="AL246" s="241"/>
      <c r="AM246" s="241"/>
    </row>
    <row r="247" spans="1:39" ht="15" customHeight="1" x14ac:dyDescent="0.3">
      <c r="A247" s="185">
        <v>210</v>
      </c>
      <c r="B247" s="267" t="s">
        <v>1223</v>
      </c>
      <c r="C247" s="247" t="s">
        <v>1615</v>
      </c>
      <c r="D247" s="200" t="s">
        <v>1881</v>
      </c>
      <c r="E247" s="269"/>
      <c r="F247" s="269" t="s">
        <v>1600</v>
      </c>
      <c r="G247" s="338" t="s">
        <v>1604</v>
      </c>
      <c r="H247" s="317" t="s">
        <v>422</v>
      </c>
      <c r="I247" s="356">
        <v>1.5</v>
      </c>
      <c r="J247" s="317">
        <v>10</v>
      </c>
      <c r="K247" s="317">
        <v>0</v>
      </c>
      <c r="L247" s="212">
        <v>1</v>
      </c>
      <c r="M247" s="212">
        <f t="shared" si="28"/>
        <v>12.5</v>
      </c>
      <c r="N247" s="212">
        <f t="shared" si="29"/>
        <v>12</v>
      </c>
      <c r="O247" s="212">
        <f t="shared" si="30"/>
        <v>40</v>
      </c>
      <c r="P247" s="212">
        <f t="shared" si="31"/>
        <v>0</v>
      </c>
      <c r="Q247" s="212">
        <f t="shared" si="32"/>
        <v>8</v>
      </c>
      <c r="R247" s="212">
        <f t="shared" si="33"/>
        <v>60</v>
      </c>
      <c r="S247" s="270" t="s">
        <v>1234</v>
      </c>
      <c r="T247" s="270" t="s">
        <v>1254</v>
      </c>
      <c r="U247" s="272">
        <v>84</v>
      </c>
      <c r="V247" s="272">
        <v>86</v>
      </c>
      <c r="W247" s="246">
        <v>44089</v>
      </c>
      <c r="X247" s="246">
        <v>44211</v>
      </c>
      <c r="Y247" s="245">
        <v>44230</v>
      </c>
      <c r="Z247" s="311">
        <f t="shared" si="26"/>
        <v>2021</v>
      </c>
      <c r="AA247" s="311">
        <f t="shared" si="27"/>
        <v>2</v>
      </c>
      <c r="AB247" s="243" t="s">
        <v>920</v>
      </c>
      <c r="AC247" s="243" t="s">
        <v>422</v>
      </c>
      <c r="AD247" s="243" t="s">
        <v>422</v>
      </c>
      <c r="AE247" s="243" t="s">
        <v>422</v>
      </c>
      <c r="AF247" s="243" t="s">
        <v>422</v>
      </c>
      <c r="AG247" s="243" t="s">
        <v>422</v>
      </c>
      <c r="AH247" s="243" t="s">
        <v>423</v>
      </c>
      <c r="AI247" s="243" t="s">
        <v>422</v>
      </c>
      <c r="AJ247" s="243" t="s">
        <v>423</v>
      </c>
      <c r="AK247" s="244" t="s">
        <v>1240</v>
      </c>
      <c r="AL247" s="241"/>
      <c r="AM247" s="241"/>
    </row>
    <row r="248" spans="1:39" ht="15" customHeight="1" x14ac:dyDescent="0.3">
      <c r="A248" s="185">
        <v>212</v>
      </c>
      <c r="B248" s="267" t="s">
        <v>1225</v>
      </c>
      <c r="C248" s="247" t="s">
        <v>1615</v>
      </c>
      <c r="D248" s="200" t="s">
        <v>1881</v>
      </c>
      <c r="E248" s="269"/>
      <c r="F248" s="269"/>
      <c r="G248" s="338" t="s">
        <v>1604</v>
      </c>
      <c r="H248" s="317" t="s">
        <v>422</v>
      </c>
      <c r="I248" s="356">
        <v>2</v>
      </c>
      <c r="J248" s="317">
        <v>13</v>
      </c>
      <c r="K248" s="317">
        <v>0</v>
      </c>
      <c r="L248" s="212">
        <v>1</v>
      </c>
      <c r="M248" s="212">
        <f t="shared" si="28"/>
        <v>16</v>
      </c>
      <c r="N248" s="212">
        <f t="shared" si="29"/>
        <v>16</v>
      </c>
      <c r="O248" s="212">
        <f t="shared" si="30"/>
        <v>52</v>
      </c>
      <c r="P248" s="212">
        <f t="shared" si="31"/>
        <v>0</v>
      </c>
      <c r="Q248" s="212">
        <f t="shared" si="32"/>
        <v>8</v>
      </c>
      <c r="R248" s="212">
        <f t="shared" si="33"/>
        <v>76</v>
      </c>
      <c r="S248" s="270" t="s">
        <v>1236</v>
      </c>
      <c r="T248" s="270" t="s">
        <v>1256</v>
      </c>
      <c r="U248" s="272">
        <v>78</v>
      </c>
      <c r="V248" s="272">
        <v>80</v>
      </c>
      <c r="W248" s="246">
        <v>44089</v>
      </c>
      <c r="X248" s="246">
        <v>44211</v>
      </c>
      <c r="Y248" s="245">
        <v>44253</v>
      </c>
      <c r="Z248" s="311">
        <f t="shared" si="26"/>
        <v>2021</v>
      </c>
      <c r="AA248" s="311">
        <f t="shared" si="27"/>
        <v>2</v>
      </c>
      <c r="AB248" s="243" t="s">
        <v>920</v>
      </c>
      <c r="AC248" s="243" t="s">
        <v>422</v>
      </c>
      <c r="AD248" s="243" t="s">
        <v>422</v>
      </c>
      <c r="AE248" s="243" t="s">
        <v>422</v>
      </c>
      <c r="AF248" s="243" t="s">
        <v>422</v>
      </c>
      <c r="AG248" s="243" t="s">
        <v>422</v>
      </c>
      <c r="AH248" s="243" t="s">
        <v>422</v>
      </c>
      <c r="AI248" s="243" t="s">
        <v>423</v>
      </c>
      <c r="AJ248" s="243" t="s">
        <v>423</v>
      </c>
      <c r="AK248" s="244" t="s">
        <v>491</v>
      </c>
      <c r="AL248" s="241"/>
      <c r="AM248" s="242" t="s">
        <v>1603</v>
      </c>
    </row>
    <row r="249" spans="1:39" ht="15" customHeight="1" x14ac:dyDescent="0.3">
      <c r="A249" s="185">
        <v>213</v>
      </c>
      <c r="B249" s="267" t="s">
        <v>1226</v>
      </c>
      <c r="C249" s="247" t="s">
        <v>1615</v>
      </c>
      <c r="D249" s="200" t="s">
        <v>1881</v>
      </c>
      <c r="E249" s="269"/>
      <c r="F249" s="269"/>
      <c r="G249" s="338" t="s">
        <v>1604</v>
      </c>
      <c r="H249" s="317" t="s">
        <v>422</v>
      </c>
      <c r="I249" s="356">
        <v>2</v>
      </c>
      <c r="J249" s="317">
        <v>13</v>
      </c>
      <c r="K249" s="317">
        <v>0</v>
      </c>
      <c r="L249" s="212">
        <v>1</v>
      </c>
      <c r="M249" s="212">
        <f t="shared" si="28"/>
        <v>16</v>
      </c>
      <c r="N249" s="212">
        <f t="shared" si="29"/>
        <v>16</v>
      </c>
      <c r="O249" s="212">
        <f t="shared" si="30"/>
        <v>52</v>
      </c>
      <c r="P249" s="212">
        <f t="shared" si="31"/>
        <v>0</v>
      </c>
      <c r="Q249" s="212">
        <f t="shared" si="32"/>
        <v>8</v>
      </c>
      <c r="R249" s="212">
        <f t="shared" si="33"/>
        <v>76</v>
      </c>
      <c r="S249" s="270" t="s">
        <v>1237</v>
      </c>
      <c r="T249" s="270" t="s">
        <v>1257</v>
      </c>
      <c r="U249" s="272">
        <v>58</v>
      </c>
      <c r="V249" s="272">
        <v>58</v>
      </c>
      <c r="W249" s="246">
        <v>44089</v>
      </c>
      <c r="X249" s="246">
        <v>44211</v>
      </c>
      <c r="Y249" s="245">
        <v>44253</v>
      </c>
      <c r="Z249" s="311">
        <f t="shared" si="26"/>
        <v>2021</v>
      </c>
      <c r="AA249" s="311">
        <f t="shared" si="27"/>
        <v>2</v>
      </c>
      <c r="AB249" s="243" t="s">
        <v>920</v>
      </c>
      <c r="AC249" s="243" t="s">
        <v>422</v>
      </c>
      <c r="AD249" s="243" t="s">
        <v>422</v>
      </c>
      <c r="AE249" s="243" t="s">
        <v>422</v>
      </c>
      <c r="AF249" s="243" t="s">
        <v>422</v>
      </c>
      <c r="AG249" s="243" t="s">
        <v>422</v>
      </c>
      <c r="AH249" s="243" t="s">
        <v>423</v>
      </c>
      <c r="AI249" s="243" t="s">
        <v>423</v>
      </c>
      <c r="AJ249" s="243" t="s">
        <v>423</v>
      </c>
      <c r="AK249" s="244" t="s">
        <v>1240</v>
      </c>
      <c r="AL249" s="241"/>
      <c r="AM249" s="241"/>
    </row>
    <row r="250" spans="1:39" ht="15" customHeight="1" x14ac:dyDescent="0.3">
      <c r="A250" s="185">
        <v>214</v>
      </c>
      <c r="B250" s="267" t="s">
        <v>1227</v>
      </c>
      <c r="C250" s="247" t="s">
        <v>1615</v>
      </c>
      <c r="D250" s="200" t="s">
        <v>1881</v>
      </c>
      <c r="E250" s="269"/>
      <c r="F250" s="269"/>
      <c r="G250" s="338" t="s">
        <v>1604</v>
      </c>
      <c r="H250" s="317" t="s">
        <v>422</v>
      </c>
      <c r="I250" s="356">
        <v>2</v>
      </c>
      <c r="J250" s="317">
        <v>7</v>
      </c>
      <c r="K250" s="317">
        <v>0</v>
      </c>
      <c r="L250" s="212">
        <v>1</v>
      </c>
      <c r="M250" s="212">
        <f t="shared" si="28"/>
        <v>10</v>
      </c>
      <c r="N250" s="212">
        <f t="shared" si="29"/>
        <v>16</v>
      </c>
      <c r="O250" s="212">
        <f t="shared" si="30"/>
        <v>28</v>
      </c>
      <c r="P250" s="212">
        <f t="shared" si="31"/>
        <v>0</v>
      </c>
      <c r="Q250" s="212">
        <f t="shared" si="32"/>
        <v>8</v>
      </c>
      <c r="R250" s="212">
        <f t="shared" si="33"/>
        <v>52</v>
      </c>
      <c r="S250" s="270" t="s">
        <v>1238</v>
      </c>
      <c r="T250" s="270" t="s">
        <v>1258</v>
      </c>
      <c r="U250" s="272">
        <v>72</v>
      </c>
      <c r="V250" s="272">
        <v>74</v>
      </c>
      <c r="W250" s="246">
        <v>44089</v>
      </c>
      <c r="X250" s="246">
        <v>44211</v>
      </c>
      <c r="Y250" s="245">
        <v>44230</v>
      </c>
      <c r="Z250" s="311">
        <f t="shared" si="26"/>
        <v>2021</v>
      </c>
      <c r="AA250" s="311">
        <f t="shared" si="27"/>
        <v>2</v>
      </c>
      <c r="AB250" s="243" t="s">
        <v>920</v>
      </c>
      <c r="AC250" s="243" t="s">
        <v>422</v>
      </c>
      <c r="AD250" s="243" t="s">
        <v>423</v>
      </c>
      <c r="AE250" s="243" t="s">
        <v>422</v>
      </c>
      <c r="AF250" s="243" t="s">
        <v>422</v>
      </c>
      <c r="AG250" s="243" t="s">
        <v>423</v>
      </c>
      <c r="AH250" s="243" t="s">
        <v>423</v>
      </c>
      <c r="AI250" s="243" t="s">
        <v>423</v>
      </c>
      <c r="AJ250" s="243" t="s">
        <v>423</v>
      </c>
      <c r="AK250" s="244" t="s">
        <v>491</v>
      </c>
      <c r="AL250" s="241"/>
      <c r="AM250" s="241"/>
    </row>
    <row r="251" spans="1:39" ht="15" customHeight="1" x14ac:dyDescent="0.3">
      <c r="A251" s="185">
        <v>217</v>
      </c>
      <c r="B251" s="267" t="s">
        <v>1230</v>
      </c>
      <c r="C251" s="247" t="s">
        <v>1615</v>
      </c>
      <c r="D251" s="200" t="s">
        <v>1881</v>
      </c>
      <c r="E251" s="269"/>
      <c r="F251" s="269" t="s">
        <v>1600</v>
      </c>
      <c r="G251" s="269" t="s">
        <v>1596</v>
      </c>
      <c r="H251" s="317" t="s">
        <v>422</v>
      </c>
      <c r="I251" s="356">
        <v>1.5</v>
      </c>
      <c r="J251" s="317"/>
      <c r="K251" s="317">
        <v>10</v>
      </c>
      <c r="L251" s="212">
        <v>1</v>
      </c>
      <c r="M251" s="212">
        <f t="shared" si="28"/>
        <v>12.5</v>
      </c>
      <c r="N251" s="212">
        <f t="shared" si="29"/>
        <v>12</v>
      </c>
      <c r="O251" s="212">
        <f t="shared" si="30"/>
        <v>0</v>
      </c>
      <c r="P251" s="212">
        <f t="shared" si="31"/>
        <v>66.666666666666671</v>
      </c>
      <c r="Q251" s="212">
        <f t="shared" si="32"/>
        <v>8</v>
      </c>
      <c r="R251" s="212">
        <f t="shared" si="33"/>
        <v>86.666666666666671</v>
      </c>
      <c r="S251" s="270" t="s">
        <v>1232</v>
      </c>
      <c r="T251" s="270" t="s">
        <v>1305</v>
      </c>
      <c r="U251" s="272">
        <v>134</v>
      </c>
      <c r="V251" s="272">
        <v>134</v>
      </c>
      <c r="W251" s="246">
        <v>44089</v>
      </c>
      <c r="X251" s="246">
        <v>44211</v>
      </c>
      <c r="Y251" s="245">
        <v>44253</v>
      </c>
      <c r="Z251" s="311">
        <f t="shared" si="26"/>
        <v>2021</v>
      </c>
      <c r="AA251" s="311">
        <f t="shared" si="27"/>
        <v>2</v>
      </c>
      <c r="AB251" s="243" t="s">
        <v>920</v>
      </c>
      <c r="AC251" s="243" t="s">
        <v>422</v>
      </c>
      <c r="AD251" s="243" t="s">
        <v>422</v>
      </c>
      <c r="AE251" s="243" t="s">
        <v>422</v>
      </c>
      <c r="AF251" s="243" t="s">
        <v>422</v>
      </c>
      <c r="AG251" s="243" t="s">
        <v>422</v>
      </c>
      <c r="AH251" s="243" t="s">
        <v>422</v>
      </c>
      <c r="AI251" s="243" t="s">
        <v>422</v>
      </c>
      <c r="AJ251" s="243" t="s">
        <v>423</v>
      </c>
      <c r="AK251" s="244" t="s">
        <v>140</v>
      </c>
      <c r="AL251" s="241"/>
      <c r="AM251" s="241"/>
    </row>
    <row r="252" spans="1:39" ht="15" customHeight="1" x14ac:dyDescent="0.3">
      <c r="A252" s="185">
        <v>228</v>
      </c>
      <c r="B252" s="267" t="s">
        <v>1280</v>
      </c>
      <c r="C252" s="247" t="s">
        <v>1615</v>
      </c>
      <c r="D252" s="200" t="s">
        <v>1881</v>
      </c>
      <c r="E252" s="197" t="s">
        <v>1596</v>
      </c>
      <c r="F252" s="269" t="s">
        <v>1600</v>
      </c>
      <c r="G252" s="338" t="s">
        <v>1604</v>
      </c>
      <c r="H252" s="317" t="s">
        <v>422</v>
      </c>
      <c r="I252" s="356">
        <v>1.5</v>
      </c>
      <c r="J252" s="317">
        <v>6.4</v>
      </c>
      <c r="K252" s="317">
        <v>0</v>
      </c>
      <c r="L252" s="212">
        <v>1</v>
      </c>
      <c r="M252" s="212">
        <f t="shared" si="28"/>
        <v>8.9</v>
      </c>
      <c r="N252" s="212">
        <f t="shared" si="29"/>
        <v>12</v>
      </c>
      <c r="O252" s="212">
        <f t="shared" si="30"/>
        <v>25.6</v>
      </c>
      <c r="P252" s="212">
        <f t="shared" si="31"/>
        <v>0</v>
      </c>
      <c r="Q252" s="212">
        <f t="shared" si="32"/>
        <v>8</v>
      </c>
      <c r="R252" s="212">
        <f t="shared" si="33"/>
        <v>45.6</v>
      </c>
      <c r="S252" s="270" t="s">
        <v>1300</v>
      </c>
      <c r="T252" s="270" t="s">
        <v>1301</v>
      </c>
      <c r="U252" s="272">
        <v>64</v>
      </c>
      <c r="V252" s="272">
        <v>65</v>
      </c>
      <c r="W252" s="246">
        <v>44113</v>
      </c>
      <c r="X252" s="246">
        <v>44208</v>
      </c>
      <c r="Y252" s="245">
        <v>44230</v>
      </c>
      <c r="Z252" s="311">
        <f t="shared" si="26"/>
        <v>2021</v>
      </c>
      <c r="AA252" s="311">
        <f t="shared" si="27"/>
        <v>2</v>
      </c>
      <c r="AB252" s="243" t="s">
        <v>920</v>
      </c>
      <c r="AC252" s="243" t="s">
        <v>422</v>
      </c>
      <c r="AD252" s="243" t="s">
        <v>423</v>
      </c>
      <c r="AE252" s="243" t="s">
        <v>422</v>
      </c>
      <c r="AF252" s="243" t="s">
        <v>422</v>
      </c>
      <c r="AG252" s="243" t="s">
        <v>423</v>
      </c>
      <c r="AH252" s="243" t="s">
        <v>423</v>
      </c>
      <c r="AI252" s="243" t="s">
        <v>423</v>
      </c>
      <c r="AJ252" s="243" t="s">
        <v>423</v>
      </c>
      <c r="AK252" s="244" t="s">
        <v>140</v>
      </c>
      <c r="AL252" s="241"/>
      <c r="AM252" s="241"/>
    </row>
    <row r="253" spans="1:39" ht="15" customHeight="1" x14ac:dyDescent="0.3">
      <c r="A253" s="185">
        <v>229</v>
      </c>
      <c r="B253" s="267" t="s">
        <v>1302</v>
      </c>
      <c r="C253" s="247" t="s">
        <v>1615</v>
      </c>
      <c r="D253" s="200" t="s">
        <v>1881</v>
      </c>
      <c r="E253" s="197" t="s">
        <v>1596</v>
      </c>
      <c r="F253" s="269" t="s">
        <v>1600</v>
      </c>
      <c r="G253" s="338" t="s">
        <v>1604</v>
      </c>
      <c r="H253" s="317" t="s">
        <v>1943</v>
      </c>
      <c r="I253" s="317">
        <v>1</v>
      </c>
      <c r="J253" s="317">
        <v>4.5</v>
      </c>
      <c r="K253" s="317">
        <v>0</v>
      </c>
      <c r="L253" s="212">
        <v>1</v>
      </c>
      <c r="M253" s="212">
        <f t="shared" si="28"/>
        <v>6.5</v>
      </c>
      <c r="N253" s="212">
        <f t="shared" si="29"/>
        <v>8</v>
      </c>
      <c r="O253" s="212">
        <f t="shared" si="30"/>
        <v>18</v>
      </c>
      <c r="P253" s="212">
        <f t="shared" si="31"/>
        <v>0</v>
      </c>
      <c r="Q253" s="212">
        <f t="shared" si="32"/>
        <v>8</v>
      </c>
      <c r="R253" s="212">
        <f t="shared" si="33"/>
        <v>34</v>
      </c>
      <c r="S253" s="270" t="s">
        <v>1303</v>
      </c>
      <c r="T253" s="270" t="s">
        <v>1304</v>
      </c>
      <c r="U253" s="342">
        <v>128</v>
      </c>
      <c r="V253" s="272">
        <v>128</v>
      </c>
      <c r="W253" s="246">
        <v>44113</v>
      </c>
      <c r="X253" s="246">
        <v>44208</v>
      </c>
      <c r="Y253" s="245">
        <v>44230</v>
      </c>
      <c r="Z253" s="311">
        <f t="shared" si="26"/>
        <v>2021</v>
      </c>
      <c r="AA253" s="311">
        <f t="shared" si="27"/>
        <v>2</v>
      </c>
      <c r="AB253" s="243" t="s">
        <v>920</v>
      </c>
      <c r="AC253" s="243" t="s">
        <v>422</v>
      </c>
      <c r="AD253" s="243" t="s">
        <v>422</v>
      </c>
      <c r="AE253" s="243" t="s">
        <v>422</v>
      </c>
      <c r="AF253" s="243" t="s">
        <v>422</v>
      </c>
      <c r="AG253" s="243" t="s">
        <v>422</v>
      </c>
      <c r="AH253" s="243" t="s">
        <v>423</v>
      </c>
      <c r="AI253" s="243" t="s">
        <v>422</v>
      </c>
      <c r="AJ253" s="243" t="s">
        <v>423</v>
      </c>
      <c r="AK253" s="244" t="s">
        <v>1372</v>
      </c>
      <c r="AL253" s="241"/>
      <c r="AM253" s="241"/>
    </row>
    <row r="254" spans="1:39" ht="15" customHeight="1" x14ac:dyDescent="0.3">
      <c r="A254" s="185">
        <v>240</v>
      </c>
      <c r="B254" s="267" t="s">
        <v>1333</v>
      </c>
      <c r="C254" s="247" t="s">
        <v>1615</v>
      </c>
      <c r="D254" s="200" t="s">
        <v>1881</v>
      </c>
      <c r="E254" s="197" t="s">
        <v>1596</v>
      </c>
      <c r="F254" s="269" t="s">
        <v>1600</v>
      </c>
      <c r="G254" s="338" t="s">
        <v>1604</v>
      </c>
      <c r="H254" s="317" t="s">
        <v>1943</v>
      </c>
      <c r="I254" s="317">
        <v>1</v>
      </c>
      <c r="J254" s="317">
        <v>8</v>
      </c>
      <c r="K254" s="317">
        <v>0</v>
      </c>
      <c r="L254" s="212">
        <v>1</v>
      </c>
      <c r="M254" s="212">
        <f t="shared" si="28"/>
        <v>10</v>
      </c>
      <c r="N254" s="212">
        <f t="shared" si="29"/>
        <v>8</v>
      </c>
      <c r="O254" s="212">
        <f t="shared" si="30"/>
        <v>32</v>
      </c>
      <c r="P254" s="212">
        <f t="shared" si="31"/>
        <v>0</v>
      </c>
      <c r="Q254" s="212">
        <f t="shared" si="32"/>
        <v>8</v>
      </c>
      <c r="R254" s="212">
        <f t="shared" si="33"/>
        <v>48</v>
      </c>
      <c r="S254" s="270" t="s">
        <v>1327</v>
      </c>
      <c r="T254" s="270" t="s">
        <v>1328</v>
      </c>
      <c r="U254" s="272">
        <v>132</v>
      </c>
      <c r="V254" s="272">
        <v>132</v>
      </c>
      <c r="W254" s="246">
        <v>44119</v>
      </c>
      <c r="X254" s="246">
        <v>44166</v>
      </c>
      <c r="Y254" s="245">
        <v>44230</v>
      </c>
      <c r="Z254" s="311">
        <f t="shared" si="26"/>
        <v>2021</v>
      </c>
      <c r="AA254" s="311">
        <f t="shared" si="27"/>
        <v>2</v>
      </c>
      <c r="AB254" s="243" t="s">
        <v>920</v>
      </c>
      <c r="AC254" s="243" t="s">
        <v>422</v>
      </c>
      <c r="AD254" s="243" t="s">
        <v>422</v>
      </c>
      <c r="AE254" s="243" t="s">
        <v>422</v>
      </c>
      <c r="AF254" s="243" t="s">
        <v>422</v>
      </c>
      <c r="AG254" s="243" t="s">
        <v>422</v>
      </c>
      <c r="AH254" s="243" t="s">
        <v>423</v>
      </c>
      <c r="AI254" s="243" t="s">
        <v>422</v>
      </c>
      <c r="AJ254" s="243" t="s">
        <v>423</v>
      </c>
      <c r="AK254" s="244" t="s">
        <v>1534</v>
      </c>
      <c r="AL254" s="241"/>
      <c r="AM254" s="241"/>
    </row>
    <row r="255" spans="1:39" ht="15" customHeight="1" x14ac:dyDescent="0.3">
      <c r="A255" s="185">
        <v>263</v>
      </c>
      <c r="B255" s="267" t="s">
        <v>1386</v>
      </c>
      <c r="C255" s="247" t="s">
        <v>1615</v>
      </c>
      <c r="D255" s="200" t="s">
        <v>1881</v>
      </c>
      <c r="E255" s="197" t="s">
        <v>1596</v>
      </c>
      <c r="F255" s="269" t="s">
        <v>1598</v>
      </c>
      <c r="G255" s="338" t="s">
        <v>1604</v>
      </c>
      <c r="H255" s="317" t="s">
        <v>422</v>
      </c>
      <c r="I255" s="317">
        <v>1.2</v>
      </c>
      <c r="J255" s="317">
        <v>7</v>
      </c>
      <c r="K255" s="317">
        <v>0</v>
      </c>
      <c r="L255" s="212">
        <v>1</v>
      </c>
      <c r="M255" s="212">
        <f t="shared" si="28"/>
        <v>9.1999999999999993</v>
      </c>
      <c r="N255" s="212">
        <f t="shared" si="29"/>
        <v>9.6</v>
      </c>
      <c r="O255" s="212">
        <f t="shared" si="30"/>
        <v>28</v>
      </c>
      <c r="P255" s="212">
        <f t="shared" si="31"/>
        <v>0</v>
      </c>
      <c r="Q255" s="212">
        <f t="shared" si="32"/>
        <v>8</v>
      </c>
      <c r="R255" s="212">
        <f t="shared" si="33"/>
        <v>45.6</v>
      </c>
      <c r="S255" s="270" t="s">
        <v>1388</v>
      </c>
      <c r="T255" s="270" t="s">
        <v>1389</v>
      </c>
      <c r="U255" s="272">
        <v>53</v>
      </c>
      <c r="V255" s="272">
        <v>53</v>
      </c>
      <c r="W255" s="246">
        <v>44137</v>
      </c>
      <c r="X255" s="246">
        <v>44180</v>
      </c>
      <c r="Y255" s="245">
        <v>44230</v>
      </c>
      <c r="Z255" s="311">
        <f t="shared" si="26"/>
        <v>2021</v>
      </c>
      <c r="AA255" s="311">
        <f t="shared" si="27"/>
        <v>2</v>
      </c>
      <c r="AB255" s="243" t="s">
        <v>920</v>
      </c>
      <c r="AC255" s="243" t="s">
        <v>422</v>
      </c>
      <c r="AD255" s="243" t="s">
        <v>422</v>
      </c>
      <c r="AE255" s="243" t="s">
        <v>422</v>
      </c>
      <c r="AF255" s="243" t="s">
        <v>422</v>
      </c>
      <c r="AG255" s="243" t="s">
        <v>422</v>
      </c>
      <c r="AH255" s="243" t="s">
        <v>423</v>
      </c>
      <c r="AI255" s="243" t="s">
        <v>422</v>
      </c>
      <c r="AJ255" s="243" t="s">
        <v>423</v>
      </c>
      <c r="AK255" s="244" t="s">
        <v>138</v>
      </c>
      <c r="AL255" s="241"/>
      <c r="AM255" s="241"/>
    </row>
    <row r="256" spans="1:39" ht="15" customHeight="1" x14ac:dyDescent="0.3">
      <c r="A256" s="185">
        <v>267</v>
      </c>
      <c r="B256" s="267" t="s">
        <v>1398</v>
      </c>
      <c r="C256" s="247" t="s">
        <v>1615</v>
      </c>
      <c r="D256" s="200" t="s">
        <v>1881</v>
      </c>
      <c r="E256" s="197"/>
      <c r="F256" s="269"/>
      <c r="G256" s="338" t="s">
        <v>1604</v>
      </c>
      <c r="H256" s="317" t="s">
        <v>422</v>
      </c>
      <c r="I256" s="356">
        <v>2</v>
      </c>
      <c r="J256" s="317">
        <v>4.5</v>
      </c>
      <c r="K256" s="317">
        <v>0</v>
      </c>
      <c r="L256" s="212">
        <v>1</v>
      </c>
      <c r="M256" s="212">
        <f t="shared" si="28"/>
        <v>7.5</v>
      </c>
      <c r="N256" s="212">
        <f t="shared" si="29"/>
        <v>16</v>
      </c>
      <c r="O256" s="212">
        <f t="shared" si="30"/>
        <v>18</v>
      </c>
      <c r="P256" s="212">
        <f t="shared" si="31"/>
        <v>0</v>
      </c>
      <c r="Q256" s="212">
        <f t="shared" si="32"/>
        <v>8</v>
      </c>
      <c r="R256" s="212">
        <f t="shared" si="33"/>
        <v>42</v>
      </c>
      <c r="S256" s="270" t="s">
        <v>1400</v>
      </c>
      <c r="T256" s="270" t="s">
        <v>1401</v>
      </c>
      <c r="U256" s="272">
        <v>45</v>
      </c>
      <c r="V256" s="272">
        <v>45</v>
      </c>
      <c r="W256" s="246">
        <v>44137</v>
      </c>
      <c r="X256" s="246">
        <v>44180</v>
      </c>
      <c r="Y256" s="245">
        <v>44230</v>
      </c>
      <c r="Z256" s="311">
        <f t="shared" si="26"/>
        <v>2021</v>
      </c>
      <c r="AA256" s="311">
        <f t="shared" si="27"/>
        <v>2</v>
      </c>
      <c r="AB256" s="243" t="s">
        <v>920</v>
      </c>
      <c r="AC256" s="243" t="s">
        <v>422</v>
      </c>
      <c r="AD256" s="243" t="s">
        <v>422</v>
      </c>
      <c r="AE256" s="243" t="s">
        <v>422</v>
      </c>
      <c r="AF256" s="243" t="s">
        <v>422</v>
      </c>
      <c r="AG256" s="243" t="s">
        <v>422</v>
      </c>
      <c r="AH256" s="243" t="s">
        <v>423</v>
      </c>
      <c r="AI256" s="243" t="s">
        <v>422</v>
      </c>
      <c r="AJ256" s="243" t="s">
        <v>423</v>
      </c>
      <c r="AK256" s="244" t="s">
        <v>888</v>
      </c>
      <c r="AL256" s="241"/>
      <c r="AM256" s="241"/>
    </row>
    <row r="257" spans="1:39" ht="15" customHeight="1" x14ac:dyDescent="0.3">
      <c r="A257" s="185">
        <v>122</v>
      </c>
      <c r="B257" s="247" t="s">
        <v>1026</v>
      </c>
      <c r="C257" s="247" t="s">
        <v>1615</v>
      </c>
      <c r="D257" s="335" t="s">
        <v>1881</v>
      </c>
      <c r="E257" s="197" t="s">
        <v>1596</v>
      </c>
      <c r="F257" s="281" t="s">
        <v>1598</v>
      </c>
      <c r="G257" s="338" t="s">
        <v>1604</v>
      </c>
      <c r="H257" s="317" t="s">
        <v>422</v>
      </c>
      <c r="I257" s="356">
        <v>2</v>
      </c>
      <c r="J257" s="317">
        <v>6.5</v>
      </c>
      <c r="K257" s="317">
        <v>0</v>
      </c>
      <c r="L257" s="212">
        <v>1</v>
      </c>
      <c r="M257" s="212">
        <f t="shared" si="28"/>
        <v>9.5</v>
      </c>
      <c r="N257" s="212">
        <f t="shared" si="29"/>
        <v>16</v>
      </c>
      <c r="O257" s="212">
        <f t="shared" si="30"/>
        <v>26</v>
      </c>
      <c r="P257" s="212">
        <f t="shared" si="31"/>
        <v>0</v>
      </c>
      <c r="Q257" s="212">
        <f t="shared" si="32"/>
        <v>8</v>
      </c>
      <c r="R257" s="212">
        <f t="shared" si="33"/>
        <v>50</v>
      </c>
      <c r="S257" s="339" t="s">
        <v>1031</v>
      </c>
      <c r="T257" s="323" t="s">
        <v>1034</v>
      </c>
      <c r="U257" s="272">
        <v>62</v>
      </c>
      <c r="V257" s="272">
        <v>62</v>
      </c>
      <c r="W257" s="245">
        <v>44022</v>
      </c>
      <c r="X257" s="262">
        <v>44042</v>
      </c>
      <c r="Y257" s="186">
        <v>44281</v>
      </c>
      <c r="Z257" s="311">
        <f t="shared" si="26"/>
        <v>2021</v>
      </c>
      <c r="AA257" s="311">
        <f t="shared" si="27"/>
        <v>3</v>
      </c>
      <c r="AB257" s="243" t="s">
        <v>920</v>
      </c>
      <c r="AC257" s="243" t="s">
        <v>422</v>
      </c>
      <c r="AD257" s="243" t="s">
        <v>422</v>
      </c>
      <c r="AE257" s="243" t="s">
        <v>422</v>
      </c>
      <c r="AF257" s="243" t="s">
        <v>422</v>
      </c>
      <c r="AG257" s="243" t="s">
        <v>422</v>
      </c>
      <c r="AH257" s="243" t="s">
        <v>423</v>
      </c>
      <c r="AI257" s="243" t="s">
        <v>423</v>
      </c>
      <c r="AJ257" s="243" t="s">
        <v>423</v>
      </c>
      <c r="AK257" s="244" t="s">
        <v>138</v>
      </c>
      <c r="AL257" s="244"/>
      <c r="AM257" s="244"/>
    </row>
    <row r="258" spans="1:39" ht="15" customHeight="1" x14ac:dyDescent="0.3">
      <c r="A258" s="185">
        <v>123</v>
      </c>
      <c r="B258" s="247" t="s">
        <v>1028</v>
      </c>
      <c r="C258" s="247" t="s">
        <v>1615</v>
      </c>
      <c r="D258" s="335" t="s">
        <v>1881</v>
      </c>
      <c r="E258" s="197" t="s">
        <v>1596</v>
      </c>
      <c r="F258" s="281" t="s">
        <v>1598</v>
      </c>
      <c r="G258" s="338" t="s">
        <v>1604</v>
      </c>
      <c r="H258" s="317" t="s">
        <v>422</v>
      </c>
      <c r="I258" s="356">
        <v>2</v>
      </c>
      <c r="J258" s="317">
        <v>10</v>
      </c>
      <c r="K258" s="317">
        <v>0</v>
      </c>
      <c r="L258" s="212">
        <v>1</v>
      </c>
      <c r="M258" s="212">
        <f t="shared" si="28"/>
        <v>13</v>
      </c>
      <c r="N258" s="212">
        <f t="shared" si="29"/>
        <v>16</v>
      </c>
      <c r="O258" s="212">
        <f t="shared" si="30"/>
        <v>40</v>
      </c>
      <c r="P258" s="212">
        <f t="shared" si="31"/>
        <v>0</v>
      </c>
      <c r="Q258" s="212">
        <f t="shared" si="32"/>
        <v>8</v>
      </c>
      <c r="R258" s="212">
        <f t="shared" si="33"/>
        <v>64</v>
      </c>
      <c r="S258" s="339" t="s">
        <v>1029</v>
      </c>
      <c r="T258" s="323" t="s">
        <v>1032</v>
      </c>
      <c r="U258" s="272">
        <v>57</v>
      </c>
      <c r="V258" s="272">
        <v>57</v>
      </c>
      <c r="W258" s="245">
        <v>44026</v>
      </c>
      <c r="X258" s="262">
        <v>44042</v>
      </c>
      <c r="Y258" s="186">
        <v>44281</v>
      </c>
      <c r="Z258" s="311">
        <f t="shared" si="26"/>
        <v>2021</v>
      </c>
      <c r="AA258" s="311">
        <f t="shared" si="27"/>
        <v>3</v>
      </c>
      <c r="AB258" s="243" t="s">
        <v>920</v>
      </c>
      <c r="AC258" s="243" t="s">
        <v>422</v>
      </c>
      <c r="AD258" s="243" t="s">
        <v>422</v>
      </c>
      <c r="AE258" s="243" t="s">
        <v>422</v>
      </c>
      <c r="AF258" s="243" t="s">
        <v>422</v>
      </c>
      <c r="AG258" s="243" t="s">
        <v>422</v>
      </c>
      <c r="AH258" s="243" t="s">
        <v>423</v>
      </c>
      <c r="AI258" s="243" t="s">
        <v>423</v>
      </c>
      <c r="AJ258" s="243" t="s">
        <v>423</v>
      </c>
      <c r="AK258" s="244" t="s">
        <v>1240</v>
      </c>
      <c r="AL258" s="244"/>
      <c r="AM258" s="244"/>
    </row>
    <row r="259" spans="1:39" ht="15" customHeight="1" x14ac:dyDescent="0.3">
      <c r="A259" s="185">
        <v>162</v>
      </c>
      <c r="B259" s="247" t="s">
        <v>1622</v>
      </c>
      <c r="C259" s="247" t="s">
        <v>1615</v>
      </c>
      <c r="D259" s="200" t="s">
        <v>1881</v>
      </c>
      <c r="E259" s="281"/>
      <c r="F259" s="281"/>
      <c r="G259" s="281" t="s">
        <v>1596</v>
      </c>
      <c r="H259" s="317" t="s">
        <v>422</v>
      </c>
      <c r="I259" s="356">
        <v>2</v>
      </c>
      <c r="J259" s="317">
        <v>6</v>
      </c>
      <c r="K259" s="317">
        <v>8</v>
      </c>
      <c r="L259" s="212">
        <v>1</v>
      </c>
      <c r="M259" s="212">
        <f t="shared" si="28"/>
        <v>17</v>
      </c>
      <c r="N259" s="212">
        <f t="shared" si="29"/>
        <v>16</v>
      </c>
      <c r="O259" s="212">
        <f t="shared" si="30"/>
        <v>24</v>
      </c>
      <c r="P259" s="212">
        <f t="shared" si="31"/>
        <v>53.333333333333336</v>
      </c>
      <c r="Q259" s="212">
        <f t="shared" si="32"/>
        <v>8</v>
      </c>
      <c r="R259" s="212">
        <f t="shared" si="33"/>
        <v>101.33333333333334</v>
      </c>
      <c r="S259" s="339" t="s">
        <v>1130</v>
      </c>
      <c r="T259" s="341" t="s">
        <v>1131</v>
      </c>
      <c r="U259" s="272">
        <v>66</v>
      </c>
      <c r="V259" s="272">
        <v>67</v>
      </c>
      <c r="W259" s="245">
        <v>44064</v>
      </c>
      <c r="X259" s="245">
        <v>44094</v>
      </c>
      <c r="Y259" s="186">
        <v>44281</v>
      </c>
      <c r="Z259" s="311">
        <f t="shared" si="26"/>
        <v>2021</v>
      </c>
      <c r="AA259" s="311">
        <f t="shared" si="27"/>
        <v>3</v>
      </c>
      <c r="AB259" s="243" t="s">
        <v>920</v>
      </c>
      <c r="AC259" s="243" t="s">
        <v>422</v>
      </c>
      <c r="AD259" s="243" t="s">
        <v>422</v>
      </c>
      <c r="AE259" s="243" t="s">
        <v>422</v>
      </c>
      <c r="AF259" s="243" t="s">
        <v>422</v>
      </c>
      <c r="AG259" s="243" t="s">
        <v>422</v>
      </c>
      <c r="AH259" s="243" t="s">
        <v>422</v>
      </c>
      <c r="AI259" s="243" t="s">
        <v>422</v>
      </c>
      <c r="AJ259" s="243" t="s">
        <v>422</v>
      </c>
      <c r="AK259" s="244" t="s">
        <v>140</v>
      </c>
      <c r="AL259" s="241"/>
      <c r="AM259" s="241"/>
    </row>
    <row r="260" spans="1:39" ht="15" customHeight="1" x14ac:dyDescent="0.3">
      <c r="A260" s="185">
        <v>190</v>
      </c>
      <c r="B260" s="247" t="s">
        <v>1202</v>
      </c>
      <c r="C260" s="247" t="s">
        <v>1618</v>
      </c>
      <c r="D260" s="200" t="s">
        <v>1881</v>
      </c>
      <c r="E260" s="281"/>
      <c r="F260" s="281" t="s">
        <v>1598</v>
      </c>
      <c r="G260" s="259" t="s">
        <v>1604</v>
      </c>
      <c r="H260" s="248" t="s">
        <v>422</v>
      </c>
      <c r="I260" s="317">
        <v>1.7</v>
      </c>
      <c r="J260" s="317">
        <v>8.1999999999999993</v>
      </c>
      <c r="K260" s="317">
        <v>0</v>
      </c>
      <c r="L260" s="212">
        <v>1.5</v>
      </c>
      <c r="M260" s="212">
        <f t="shared" si="28"/>
        <v>11.399999999999999</v>
      </c>
      <c r="N260" s="212">
        <f t="shared" si="29"/>
        <v>13.6</v>
      </c>
      <c r="O260" s="212">
        <f t="shared" si="30"/>
        <v>32.799999999999997</v>
      </c>
      <c r="P260" s="212">
        <f t="shared" si="31"/>
        <v>0</v>
      </c>
      <c r="Q260" s="212">
        <f t="shared" si="32"/>
        <v>12</v>
      </c>
      <c r="R260" s="212">
        <f t="shared" si="33"/>
        <v>58.4</v>
      </c>
      <c r="S260" s="339" t="s">
        <v>1266</v>
      </c>
      <c r="T260" s="341" t="s">
        <v>1267</v>
      </c>
      <c r="U260" s="272">
        <v>65</v>
      </c>
      <c r="V260" s="272">
        <v>66</v>
      </c>
      <c r="W260" s="245">
        <v>44073</v>
      </c>
      <c r="X260" s="245">
        <v>44166</v>
      </c>
      <c r="Y260" s="245">
        <v>44268</v>
      </c>
      <c r="Z260" s="311">
        <f t="shared" ref="Z260:Z323" si="35">IF(YEAR(Y260)&gt;2000,YEAR(Y260),YEAR(X260))</f>
        <v>2021</v>
      </c>
      <c r="AA260" s="311">
        <f t="shared" ref="AA260:AA323" si="36">MONTH(Y260)</f>
        <v>3</v>
      </c>
      <c r="AB260" s="243" t="s">
        <v>920</v>
      </c>
      <c r="AC260" s="243" t="s">
        <v>422</v>
      </c>
      <c r="AD260" s="243" t="s">
        <v>422</v>
      </c>
      <c r="AE260" s="243" t="s">
        <v>422</v>
      </c>
      <c r="AF260" s="243" t="s">
        <v>422</v>
      </c>
      <c r="AG260" s="243" t="s">
        <v>422</v>
      </c>
      <c r="AH260" s="243" t="s">
        <v>423</v>
      </c>
      <c r="AI260" s="243" t="s">
        <v>422</v>
      </c>
      <c r="AJ260" s="243" t="s">
        <v>423</v>
      </c>
      <c r="AK260" s="244" t="s">
        <v>1240</v>
      </c>
      <c r="AL260" s="241"/>
      <c r="AM260" s="241"/>
    </row>
    <row r="261" spans="1:39" ht="15" customHeight="1" x14ac:dyDescent="0.3">
      <c r="A261" s="185">
        <v>220</v>
      </c>
      <c r="B261" s="267" t="s">
        <v>1272</v>
      </c>
      <c r="C261" s="247" t="s">
        <v>1615</v>
      </c>
      <c r="D261" s="200" t="s">
        <v>1881</v>
      </c>
      <c r="E261" s="197" t="s">
        <v>1596</v>
      </c>
      <c r="F261" s="269"/>
      <c r="G261" s="267" t="s">
        <v>1596</v>
      </c>
      <c r="H261" s="248" t="s">
        <v>422</v>
      </c>
      <c r="I261" s="356">
        <v>2</v>
      </c>
      <c r="J261" s="317">
        <v>7</v>
      </c>
      <c r="K261" s="317">
        <v>29</v>
      </c>
      <c r="L261" s="212">
        <v>1</v>
      </c>
      <c r="M261" s="212">
        <f t="shared" si="28"/>
        <v>39</v>
      </c>
      <c r="N261" s="212">
        <f t="shared" si="29"/>
        <v>16</v>
      </c>
      <c r="O261" s="212">
        <f t="shared" si="30"/>
        <v>28</v>
      </c>
      <c r="P261" s="212">
        <f t="shared" si="31"/>
        <v>193.33333333333334</v>
      </c>
      <c r="Q261" s="212">
        <f t="shared" si="32"/>
        <v>8</v>
      </c>
      <c r="R261" s="212">
        <f t="shared" si="33"/>
        <v>245.33333333333334</v>
      </c>
      <c r="S261" s="270" t="s">
        <v>1285</v>
      </c>
      <c r="T261" s="270" t="s">
        <v>1286</v>
      </c>
      <c r="U261" s="272">
        <v>94</v>
      </c>
      <c r="V261" s="272">
        <v>94</v>
      </c>
      <c r="W261" s="246">
        <v>44113</v>
      </c>
      <c r="X261" s="246">
        <v>44208</v>
      </c>
      <c r="Y261" s="245">
        <v>44281</v>
      </c>
      <c r="Z261" s="311">
        <f t="shared" si="35"/>
        <v>2021</v>
      </c>
      <c r="AA261" s="311">
        <f t="shared" si="36"/>
        <v>3</v>
      </c>
      <c r="AB261" s="243" t="s">
        <v>920</v>
      </c>
      <c r="AC261" s="243" t="s">
        <v>422</v>
      </c>
      <c r="AD261" s="243" t="s">
        <v>422</v>
      </c>
      <c r="AE261" s="243" t="s">
        <v>422</v>
      </c>
      <c r="AF261" s="243" t="s">
        <v>422</v>
      </c>
      <c r="AG261" s="243" t="s">
        <v>422</v>
      </c>
      <c r="AH261" s="243" t="s">
        <v>422</v>
      </c>
      <c r="AI261" s="243" t="s">
        <v>422</v>
      </c>
      <c r="AJ261" s="243" t="s">
        <v>423</v>
      </c>
      <c r="AK261" s="244" t="s">
        <v>1910</v>
      </c>
      <c r="AL261" s="241"/>
      <c r="AM261" s="241"/>
    </row>
    <row r="262" spans="1:39" ht="15" customHeight="1" x14ac:dyDescent="0.3">
      <c r="A262" s="185">
        <v>221</v>
      </c>
      <c r="B262" s="267" t="s">
        <v>1273</v>
      </c>
      <c r="C262" s="247" t="s">
        <v>1615</v>
      </c>
      <c r="D262" s="200" t="s">
        <v>1881</v>
      </c>
      <c r="E262" s="197" t="s">
        <v>1596</v>
      </c>
      <c r="F262" s="269"/>
      <c r="G262" s="267" t="s">
        <v>1596</v>
      </c>
      <c r="H262" s="248" t="s">
        <v>422</v>
      </c>
      <c r="I262" s="356">
        <v>2</v>
      </c>
      <c r="J262" s="317">
        <v>7.5</v>
      </c>
      <c r="K262" s="317">
        <v>29</v>
      </c>
      <c r="L262" s="212">
        <v>1</v>
      </c>
      <c r="M262" s="212">
        <f t="shared" si="28"/>
        <v>39.5</v>
      </c>
      <c r="N262" s="212">
        <f t="shared" si="29"/>
        <v>16</v>
      </c>
      <c r="O262" s="212">
        <f t="shared" si="30"/>
        <v>30</v>
      </c>
      <c r="P262" s="212">
        <f t="shared" si="31"/>
        <v>193.33333333333334</v>
      </c>
      <c r="Q262" s="212">
        <f t="shared" si="32"/>
        <v>8</v>
      </c>
      <c r="R262" s="212">
        <f t="shared" si="33"/>
        <v>247.33333333333334</v>
      </c>
      <c r="S262" s="270" t="s">
        <v>1287</v>
      </c>
      <c r="T262" s="270" t="s">
        <v>1288</v>
      </c>
      <c r="U262" s="272">
        <v>82</v>
      </c>
      <c r="V262" s="272">
        <v>82</v>
      </c>
      <c r="W262" s="246">
        <v>44113</v>
      </c>
      <c r="X262" s="246">
        <v>44208</v>
      </c>
      <c r="Y262" s="245">
        <v>44281</v>
      </c>
      <c r="Z262" s="311">
        <f t="shared" si="35"/>
        <v>2021</v>
      </c>
      <c r="AA262" s="311">
        <f t="shared" si="36"/>
        <v>3</v>
      </c>
      <c r="AB262" s="243" t="s">
        <v>920</v>
      </c>
      <c r="AC262" s="243" t="s">
        <v>422</v>
      </c>
      <c r="AD262" s="243" t="s">
        <v>422</v>
      </c>
      <c r="AE262" s="243" t="s">
        <v>422</v>
      </c>
      <c r="AF262" s="243" t="s">
        <v>422</v>
      </c>
      <c r="AG262" s="243" t="s">
        <v>422</v>
      </c>
      <c r="AH262" s="243" t="s">
        <v>422</v>
      </c>
      <c r="AI262" s="243" t="s">
        <v>422</v>
      </c>
      <c r="AJ262" s="243" t="s">
        <v>423</v>
      </c>
      <c r="AK262" s="244" t="s">
        <v>1910</v>
      </c>
      <c r="AL262" s="241"/>
      <c r="AM262" s="241"/>
    </row>
    <row r="263" spans="1:39" ht="15" customHeight="1" x14ac:dyDescent="0.3">
      <c r="A263" s="185">
        <v>222</v>
      </c>
      <c r="B263" s="267" t="s">
        <v>1274</v>
      </c>
      <c r="C263" s="247" t="s">
        <v>1615</v>
      </c>
      <c r="D263" s="200" t="s">
        <v>1881</v>
      </c>
      <c r="E263" s="197" t="s">
        <v>1596</v>
      </c>
      <c r="F263" s="269"/>
      <c r="G263" s="267" t="s">
        <v>1596</v>
      </c>
      <c r="H263" s="248" t="s">
        <v>422</v>
      </c>
      <c r="I263" s="356">
        <v>2</v>
      </c>
      <c r="J263" s="317">
        <v>7.5</v>
      </c>
      <c r="K263" s="317">
        <v>29</v>
      </c>
      <c r="L263" s="212">
        <v>1</v>
      </c>
      <c r="M263" s="212">
        <f t="shared" ref="M263:M326" si="37">SUM((I263:L263))</f>
        <v>39.5</v>
      </c>
      <c r="N263" s="212">
        <f t="shared" ref="N263:N326" si="38">+I263/0.125</f>
        <v>16</v>
      </c>
      <c r="O263" s="212">
        <f t="shared" ref="O263:O326" si="39">+J263/0.25</f>
        <v>30</v>
      </c>
      <c r="P263" s="212">
        <f t="shared" ref="P263:P326" si="40">+K263/0.15</f>
        <v>193.33333333333334</v>
      </c>
      <c r="Q263" s="212">
        <f t="shared" ref="Q263:Q326" si="41">+L263/0.125</f>
        <v>8</v>
      </c>
      <c r="R263" s="212">
        <f t="shared" ref="R263:R326" si="42">SUM(N263:Q263)</f>
        <v>247.33333333333334</v>
      </c>
      <c r="S263" s="270" t="s">
        <v>1289</v>
      </c>
      <c r="T263" s="270" t="s">
        <v>1290</v>
      </c>
      <c r="U263" s="272">
        <v>86</v>
      </c>
      <c r="V263" s="272">
        <v>86</v>
      </c>
      <c r="W263" s="246">
        <v>44113</v>
      </c>
      <c r="X263" s="246">
        <v>44208</v>
      </c>
      <c r="Y263" s="245">
        <v>44281</v>
      </c>
      <c r="Z263" s="311">
        <f t="shared" si="35"/>
        <v>2021</v>
      </c>
      <c r="AA263" s="311">
        <f t="shared" si="36"/>
        <v>3</v>
      </c>
      <c r="AB263" s="243" t="s">
        <v>920</v>
      </c>
      <c r="AC263" s="243" t="s">
        <v>422</v>
      </c>
      <c r="AD263" s="243" t="s">
        <v>422</v>
      </c>
      <c r="AE263" s="243" t="s">
        <v>422</v>
      </c>
      <c r="AF263" s="243" t="s">
        <v>422</v>
      </c>
      <c r="AG263" s="243" t="s">
        <v>422</v>
      </c>
      <c r="AH263" s="243" t="s">
        <v>422</v>
      </c>
      <c r="AI263" s="243" t="s">
        <v>422</v>
      </c>
      <c r="AJ263" s="243" t="s">
        <v>423</v>
      </c>
      <c r="AK263" s="244" t="s">
        <v>1910</v>
      </c>
      <c r="AL263" s="241"/>
      <c r="AM263" s="241"/>
    </row>
    <row r="264" spans="1:39" ht="15" customHeight="1" x14ac:dyDescent="0.3">
      <c r="A264" s="185">
        <v>223</v>
      </c>
      <c r="B264" s="267" t="s">
        <v>1275</v>
      </c>
      <c r="C264" s="247" t="s">
        <v>1615</v>
      </c>
      <c r="D264" s="200" t="s">
        <v>1881</v>
      </c>
      <c r="E264" s="197" t="s">
        <v>1596</v>
      </c>
      <c r="F264" s="269"/>
      <c r="G264" s="267" t="s">
        <v>1596</v>
      </c>
      <c r="H264" s="248" t="s">
        <v>422</v>
      </c>
      <c r="I264" s="356">
        <v>2</v>
      </c>
      <c r="J264" s="317">
        <v>8</v>
      </c>
      <c r="K264" s="317">
        <v>29</v>
      </c>
      <c r="L264" s="212">
        <v>1</v>
      </c>
      <c r="M264" s="212">
        <f t="shared" si="37"/>
        <v>40</v>
      </c>
      <c r="N264" s="212">
        <f t="shared" si="38"/>
        <v>16</v>
      </c>
      <c r="O264" s="212">
        <f t="shared" si="39"/>
        <v>32</v>
      </c>
      <c r="P264" s="212">
        <f t="shared" si="40"/>
        <v>193.33333333333334</v>
      </c>
      <c r="Q264" s="212">
        <f t="shared" si="41"/>
        <v>8</v>
      </c>
      <c r="R264" s="212">
        <f t="shared" si="42"/>
        <v>249.33333333333334</v>
      </c>
      <c r="S264" s="270" t="s">
        <v>1291</v>
      </c>
      <c r="T264" s="270" t="s">
        <v>697</v>
      </c>
      <c r="U264" s="272">
        <v>24</v>
      </c>
      <c r="V264" s="272">
        <v>24</v>
      </c>
      <c r="W264" s="246">
        <v>44113</v>
      </c>
      <c r="X264" s="246">
        <v>44208</v>
      </c>
      <c r="Y264" s="245">
        <v>44281</v>
      </c>
      <c r="Z264" s="311">
        <f t="shared" si="35"/>
        <v>2021</v>
      </c>
      <c r="AA264" s="311">
        <f t="shared" si="36"/>
        <v>3</v>
      </c>
      <c r="AB264" s="243" t="s">
        <v>920</v>
      </c>
      <c r="AC264" s="243" t="s">
        <v>422</v>
      </c>
      <c r="AD264" s="243" t="s">
        <v>422</v>
      </c>
      <c r="AE264" s="243" t="s">
        <v>422</v>
      </c>
      <c r="AF264" s="243" t="s">
        <v>422</v>
      </c>
      <c r="AG264" s="243" t="s">
        <v>422</v>
      </c>
      <c r="AH264" s="243" t="s">
        <v>422</v>
      </c>
      <c r="AI264" s="243" t="s">
        <v>422</v>
      </c>
      <c r="AJ264" s="243" t="s">
        <v>423</v>
      </c>
      <c r="AK264" s="244" t="s">
        <v>1533</v>
      </c>
      <c r="AL264" s="241"/>
      <c r="AM264" s="241"/>
    </row>
    <row r="265" spans="1:39" ht="15" customHeight="1" x14ac:dyDescent="0.3">
      <c r="A265" s="185">
        <v>224</v>
      </c>
      <c r="B265" s="267" t="s">
        <v>1276</v>
      </c>
      <c r="C265" s="247" t="s">
        <v>1615</v>
      </c>
      <c r="D265" s="200" t="s">
        <v>1881</v>
      </c>
      <c r="E265" s="269"/>
      <c r="F265" s="269"/>
      <c r="G265" s="259" t="s">
        <v>1604</v>
      </c>
      <c r="H265" s="248" t="s">
        <v>422</v>
      </c>
      <c r="I265" s="356">
        <v>2</v>
      </c>
      <c r="J265" s="317">
        <v>6</v>
      </c>
      <c r="K265" s="317">
        <v>0</v>
      </c>
      <c r="L265" s="212">
        <v>1</v>
      </c>
      <c r="M265" s="212">
        <f t="shared" si="37"/>
        <v>9</v>
      </c>
      <c r="N265" s="212">
        <f t="shared" si="38"/>
        <v>16</v>
      </c>
      <c r="O265" s="212">
        <f t="shared" si="39"/>
        <v>24</v>
      </c>
      <c r="P265" s="212">
        <f t="shared" si="40"/>
        <v>0</v>
      </c>
      <c r="Q265" s="212">
        <f t="shared" si="41"/>
        <v>8</v>
      </c>
      <c r="R265" s="212">
        <f t="shared" si="42"/>
        <v>48</v>
      </c>
      <c r="S265" s="270" t="s">
        <v>1292</v>
      </c>
      <c r="T265" s="270" t="s">
        <v>1293</v>
      </c>
      <c r="U265" s="272">
        <v>54</v>
      </c>
      <c r="V265" s="272">
        <v>56</v>
      </c>
      <c r="W265" s="246">
        <v>44113</v>
      </c>
      <c r="X265" s="246">
        <v>44208</v>
      </c>
      <c r="Y265" s="245">
        <v>44281</v>
      </c>
      <c r="Z265" s="311">
        <f t="shared" si="35"/>
        <v>2021</v>
      </c>
      <c r="AA265" s="311">
        <f t="shared" si="36"/>
        <v>3</v>
      </c>
      <c r="AB265" s="243" t="s">
        <v>920</v>
      </c>
      <c r="AC265" s="243" t="s">
        <v>422</v>
      </c>
      <c r="AD265" s="243" t="s">
        <v>422</v>
      </c>
      <c r="AE265" s="243" t="s">
        <v>422</v>
      </c>
      <c r="AF265" s="243" t="s">
        <v>422</v>
      </c>
      <c r="AG265" s="243" t="s">
        <v>422</v>
      </c>
      <c r="AH265" s="243" t="s">
        <v>423</v>
      </c>
      <c r="AI265" s="243" t="s">
        <v>422</v>
      </c>
      <c r="AJ265" s="243" t="s">
        <v>423</v>
      </c>
      <c r="AK265" s="244" t="s">
        <v>1372</v>
      </c>
      <c r="AL265" s="241"/>
      <c r="AM265" s="241"/>
    </row>
    <row r="266" spans="1:39" ht="15" customHeight="1" x14ac:dyDescent="0.3">
      <c r="A266" s="185">
        <v>225</v>
      </c>
      <c r="B266" s="267" t="s">
        <v>1277</v>
      </c>
      <c r="C266" s="247" t="s">
        <v>1615</v>
      </c>
      <c r="D266" s="200" t="s">
        <v>1881</v>
      </c>
      <c r="E266" s="267"/>
      <c r="F266" s="269"/>
      <c r="G266" s="259" t="s">
        <v>1604</v>
      </c>
      <c r="H266" s="248" t="s">
        <v>422</v>
      </c>
      <c r="I266" s="356">
        <v>2</v>
      </c>
      <c r="J266" s="317">
        <v>6.5</v>
      </c>
      <c r="K266" s="317">
        <v>0</v>
      </c>
      <c r="L266" s="212">
        <v>1</v>
      </c>
      <c r="M266" s="212">
        <f t="shared" si="37"/>
        <v>9.5</v>
      </c>
      <c r="N266" s="212">
        <f t="shared" si="38"/>
        <v>16</v>
      </c>
      <c r="O266" s="212">
        <f t="shared" si="39"/>
        <v>26</v>
      </c>
      <c r="P266" s="212">
        <f t="shared" si="40"/>
        <v>0</v>
      </c>
      <c r="Q266" s="212">
        <f t="shared" si="41"/>
        <v>8</v>
      </c>
      <c r="R266" s="212">
        <f t="shared" si="42"/>
        <v>50</v>
      </c>
      <c r="S266" s="270" t="s">
        <v>1294</v>
      </c>
      <c r="T266" s="270" t="s">
        <v>1295</v>
      </c>
      <c r="U266" s="272">
        <v>45</v>
      </c>
      <c r="V266" s="272">
        <v>47</v>
      </c>
      <c r="W266" s="246">
        <v>44113</v>
      </c>
      <c r="X266" s="246">
        <v>44208</v>
      </c>
      <c r="Y266" s="245">
        <v>44281</v>
      </c>
      <c r="Z266" s="311">
        <f t="shared" si="35"/>
        <v>2021</v>
      </c>
      <c r="AA266" s="311">
        <f t="shared" si="36"/>
        <v>3</v>
      </c>
      <c r="AB266" s="243" t="s">
        <v>920</v>
      </c>
      <c r="AC266" s="243" t="s">
        <v>422</v>
      </c>
      <c r="AD266" s="243" t="s">
        <v>422</v>
      </c>
      <c r="AE266" s="243" t="s">
        <v>422</v>
      </c>
      <c r="AF266" s="243" t="s">
        <v>422</v>
      </c>
      <c r="AG266" s="243" t="s">
        <v>422</v>
      </c>
      <c r="AH266" s="243" t="s">
        <v>423</v>
      </c>
      <c r="AI266" s="243" t="s">
        <v>422</v>
      </c>
      <c r="AJ266" s="243" t="s">
        <v>423</v>
      </c>
      <c r="AK266" s="244" t="s">
        <v>1372</v>
      </c>
      <c r="AL266" s="241"/>
      <c r="AM266" s="241"/>
    </row>
    <row r="267" spans="1:39" ht="15" customHeight="1" x14ac:dyDescent="0.3">
      <c r="A267" s="185">
        <v>226</v>
      </c>
      <c r="B267" s="267" t="s">
        <v>1278</v>
      </c>
      <c r="C267" s="247" t="s">
        <v>1615</v>
      </c>
      <c r="D267" s="200" t="s">
        <v>1881</v>
      </c>
      <c r="E267" s="267"/>
      <c r="F267" s="269"/>
      <c r="G267" s="259" t="s">
        <v>1604</v>
      </c>
      <c r="H267" s="248" t="s">
        <v>422</v>
      </c>
      <c r="I267" s="356">
        <v>2</v>
      </c>
      <c r="J267" s="317">
        <v>7</v>
      </c>
      <c r="K267" s="317">
        <v>0</v>
      </c>
      <c r="L267" s="212">
        <v>1</v>
      </c>
      <c r="M267" s="212">
        <f t="shared" si="37"/>
        <v>10</v>
      </c>
      <c r="N267" s="212">
        <f t="shared" si="38"/>
        <v>16</v>
      </c>
      <c r="O267" s="212">
        <f t="shared" si="39"/>
        <v>28</v>
      </c>
      <c r="P267" s="212">
        <f t="shared" si="40"/>
        <v>0</v>
      </c>
      <c r="Q267" s="212">
        <f t="shared" si="41"/>
        <v>8</v>
      </c>
      <c r="R267" s="212">
        <f t="shared" si="42"/>
        <v>52</v>
      </c>
      <c r="S267" s="270" t="s">
        <v>1296</v>
      </c>
      <c r="T267" s="270" t="s">
        <v>1297</v>
      </c>
      <c r="U267" s="272">
        <v>73</v>
      </c>
      <c r="V267" s="272">
        <v>69</v>
      </c>
      <c r="W267" s="246">
        <v>44113</v>
      </c>
      <c r="X267" s="246">
        <v>44208</v>
      </c>
      <c r="Y267" s="245">
        <v>44281</v>
      </c>
      <c r="Z267" s="311">
        <f t="shared" si="35"/>
        <v>2021</v>
      </c>
      <c r="AA267" s="311">
        <f t="shared" si="36"/>
        <v>3</v>
      </c>
      <c r="AB267" s="243" t="s">
        <v>920</v>
      </c>
      <c r="AC267" s="243" t="s">
        <v>422</v>
      </c>
      <c r="AD267" s="243" t="s">
        <v>422</v>
      </c>
      <c r="AE267" s="243" t="s">
        <v>422</v>
      </c>
      <c r="AF267" s="243" t="s">
        <v>422</v>
      </c>
      <c r="AG267" s="243" t="s">
        <v>422</v>
      </c>
      <c r="AH267" s="243" t="s">
        <v>423</v>
      </c>
      <c r="AI267" s="243" t="s">
        <v>422</v>
      </c>
      <c r="AJ267" s="243" t="s">
        <v>423</v>
      </c>
      <c r="AK267" s="244" t="s">
        <v>1372</v>
      </c>
      <c r="AL267" s="241"/>
      <c r="AM267" s="241"/>
    </row>
    <row r="268" spans="1:39" ht="15" customHeight="1" x14ac:dyDescent="0.3">
      <c r="A268" s="185">
        <v>227</v>
      </c>
      <c r="B268" s="267" t="s">
        <v>1279</v>
      </c>
      <c r="C268" s="247" t="s">
        <v>1615</v>
      </c>
      <c r="D268" s="200" t="s">
        <v>1881</v>
      </c>
      <c r="E268" s="267"/>
      <c r="F268" s="269" t="s">
        <v>1598</v>
      </c>
      <c r="G268" s="259" t="s">
        <v>1604</v>
      </c>
      <c r="H268" s="248" t="s">
        <v>422</v>
      </c>
      <c r="I268" s="317">
        <v>1.8</v>
      </c>
      <c r="J268" s="317">
        <v>15</v>
      </c>
      <c r="K268" s="317">
        <v>0</v>
      </c>
      <c r="L268" s="212">
        <v>1</v>
      </c>
      <c r="M268" s="212">
        <f t="shared" si="37"/>
        <v>17.8</v>
      </c>
      <c r="N268" s="212">
        <f t="shared" si="38"/>
        <v>14.4</v>
      </c>
      <c r="O268" s="212">
        <f t="shared" si="39"/>
        <v>60</v>
      </c>
      <c r="P268" s="212">
        <f t="shared" si="40"/>
        <v>0</v>
      </c>
      <c r="Q268" s="212">
        <f t="shared" si="41"/>
        <v>8</v>
      </c>
      <c r="R268" s="212">
        <f t="shared" si="42"/>
        <v>82.4</v>
      </c>
      <c r="S268" s="270" t="s">
        <v>1298</v>
      </c>
      <c r="T268" s="270" t="s">
        <v>1299</v>
      </c>
      <c r="U268" s="272">
        <v>168</v>
      </c>
      <c r="V268" s="272">
        <v>170</v>
      </c>
      <c r="W268" s="246">
        <v>44113</v>
      </c>
      <c r="X268" s="246">
        <v>44208</v>
      </c>
      <c r="Y268" s="245">
        <v>44281</v>
      </c>
      <c r="Z268" s="311">
        <f t="shared" si="35"/>
        <v>2021</v>
      </c>
      <c r="AA268" s="311">
        <f t="shared" si="36"/>
        <v>3</v>
      </c>
      <c r="AB268" s="243" t="s">
        <v>920</v>
      </c>
      <c r="AC268" s="243" t="s">
        <v>422</v>
      </c>
      <c r="AD268" s="243" t="s">
        <v>422</v>
      </c>
      <c r="AE268" s="243" t="s">
        <v>422</v>
      </c>
      <c r="AF268" s="243" t="s">
        <v>422</v>
      </c>
      <c r="AG268" s="243" t="s">
        <v>422</v>
      </c>
      <c r="AH268" s="243" t="s">
        <v>423</v>
      </c>
      <c r="AI268" s="243" t="s">
        <v>423</v>
      </c>
      <c r="AJ268" s="243" t="s">
        <v>422</v>
      </c>
      <c r="AK268" s="244" t="s">
        <v>140</v>
      </c>
      <c r="AL268" s="241"/>
      <c r="AM268" s="241"/>
    </row>
    <row r="269" spans="1:39" ht="15" customHeight="1" x14ac:dyDescent="0.3">
      <c r="A269" s="185">
        <v>238</v>
      </c>
      <c r="B269" s="267" t="s">
        <v>1331</v>
      </c>
      <c r="C269" s="247" t="s">
        <v>1615</v>
      </c>
      <c r="D269" s="200" t="s">
        <v>1881</v>
      </c>
      <c r="E269" s="196" t="s">
        <v>1596</v>
      </c>
      <c r="F269" s="269" t="s">
        <v>1600</v>
      </c>
      <c r="G269" s="259" t="s">
        <v>1604</v>
      </c>
      <c r="H269" s="248" t="s">
        <v>422</v>
      </c>
      <c r="I269" s="317">
        <v>1</v>
      </c>
      <c r="J269" s="317">
        <v>10.8</v>
      </c>
      <c r="K269" s="317">
        <v>0</v>
      </c>
      <c r="L269" s="212">
        <v>1.5</v>
      </c>
      <c r="M269" s="212">
        <f t="shared" si="37"/>
        <v>13.3</v>
      </c>
      <c r="N269" s="212">
        <f t="shared" si="38"/>
        <v>8</v>
      </c>
      <c r="O269" s="212">
        <f t="shared" si="39"/>
        <v>43.2</v>
      </c>
      <c r="P269" s="212">
        <f t="shared" si="40"/>
        <v>0</v>
      </c>
      <c r="Q269" s="212">
        <f t="shared" si="41"/>
        <v>12</v>
      </c>
      <c r="R269" s="212">
        <f t="shared" si="42"/>
        <v>63.2</v>
      </c>
      <c r="S269" s="270" t="s">
        <v>1323</v>
      </c>
      <c r="T269" s="270" t="s">
        <v>1324</v>
      </c>
      <c r="U269" s="272">
        <v>140</v>
      </c>
      <c r="V269" s="272">
        <v>140</v>
      </c>
      <c r="W269" s="246">
        <v>44119</v>
      </c>
      <c r="X269" s="246">
        <v>44166</v>
      </c>
      <c r="Y269" s="245">
        <v>44281</v>
      </c>
      <c r="Z269" s="311">
        <f t="shared" si="35"/>
        <v>2021</v>
      </c>
      <c r="AA269" s="311">
        <f t="shared" si="36"/>
        <v>3</v>
      </c>
      <c r="AB269" s="243" t="s">
        <v>920</v>
      </c>
      <c r="AC269" s="243" t="s">
        <v>422</v>
      </c>
      <c r="AD269" s="243" t="s">
        <v>422</v>
      </c>
      <c r="AE269" s="243" t="s">
        <v>422</v>
      </c>
      <c r="AF269" s="243" t="s">
        <v>422</v>
      </c>
      <c r="AG269" s="243" t="s">
        <v>422</v>
      </c>
      <c r="AH269" s="243" t="s">
        <v>423</v>
      </c>
      <c r="AI269" s="243" t="s">
        <v>422</v>
      </c>
      <c r="AJ269" s="243" t="s">
        <v>423</v>
      </c>
      <c r="AK269" s="244" t="s">
        <v>1372</v>
      </c>
      <c r="AL269" s="241"/>
      <c r="AM269" s="241"/>
    </row>
    <row r="270" spans="1:39" ht="15" customHeight="1" x14ac:dyDescent="0.3">
      <c r="A270" s="185">
        <v>239</v>
      </c>
      <c r="B270" s="267" t="s">
        <v>1332</v>
      </c>
      <c r="C270" s="247" t="s">
        <v>1615</v>
      </c>
      <c r="D270" s="200" t="s">
        <v>1881</v>
      </c>
      <c r="E270" s="196" t="s">
        <v>1596</v>
      </c>
      <c r="F270" s="269" t="s">
        <v>1600</v>
      </c>
      <c r="G270" s="259" t="s">
        <v>1604</v>
      </c>
      <c r="H270" s="248" t="s">
        <v>422</v>
      </c>
      <c r="I270" s="317">
        <v>1</v>
      </c>
      <c r="J270" s="317">
        <v>10.8</v>
      </c>
      <c r="K270" s="317">
        <v>0</v>
      </c>
      <c r="L270" s="212">
        <v>1.5</v>
      </c>
      <c r="M270" s="212">
        <f t="shared" si="37"/>
        <v>13.3</v>
      </c>
      <c r="N270" s="212">
        <f t="shared" si="38"/>
        <v>8</v>
      </c>
      <c r="O270" s="212">
        <f t="shared" si="39"/>
        <v>43.2</v>
      </c>
      <c r="P270" s="212">
        <f t="shared" si="40"/>
        <v>0</v>
      </c>
      <c r="Q270" s="212">
        <f t="shared" si="41"/>
        <v>12</v>
      </c>
      <c r="R270" s="212">
        <f t="shared" si="42"/>
        <v>63.2</v>
      </c>
      <c r="S270" s="270" t="s">
        <v>1325</v>
      </c>
      <c r="T270" s="270" t="s">
        <v>1326</v>
      </c>
      <c r="U270" s="272">
        <v>54</v>
      </c>
      <c r="V270" s="272">
        <v>54</v>
      </c>
      <c r="W270" s="246">
        <v>44119</v>
      </c>
      <c r="X270" s="246">
        <v>44166</v>
      </c>
      <c r="Y270" s="245">
        <v>44281</v>
      </c>
      <c r="Z270" s="311">
        <f t="shared" si="35"/>
        <v>2021</v>
      </c>
      <c r="AA270" s="311">
        <f t="shared" si="36"/>
        <v>3</v>
      </c>
      <c r="AB270" s="243" t="s">
        <v>920</v>
      </c>
      <c r="AC270" s="243" t="s">
        <v>422</v>
      </c>
      <c r="AD270" s="243" t="s">
        <v>422</v>
      </c>
      <c r="AE270" s="243" t="s">
        <v>422</v>
      </c>
      <c r="AF270" s="243" t="s">
        <v>422</v>
      </c>
      <c r="AG270" s="243" t="s">
        <v>422</v>
      </c>
      <c r="AH270" s="243" t="s">
        <v>423</v>
      </c>
      <c r="AI270" s="243" t="s">
        <v>422</v>
      </c>
      <c r="AJ270" s="243" t="s">
        <v>423</v>
      </c>
      <c r="AK270" s="244" t="s">
        <v>1372</v>
      </c>
      <c r="AL270" s="241"/>
      <c r="AM270" s="241"/>
    </row>
    <row r="271" spans="1:39" ht="15" customHeight="1" x14ac:dyDescent="0.3">
      <c r="A271" s="185">
        <v>241</v>
      </c>
      <c r="B271" s="267" t="s">
        <v>1334</v>
      </c>
      <c r="C271" s="247" t="s">
        <v>1615</v>
      </c>
      <c r="D271" s="200" t="s">
        <v>1881</v>
      </c>
      <c r="E271" s="196" t="s">
        <v>1596</v>
      </c>
      <c r="F271" s="269" t="s">
        <v>1600</v>
      </c>
      <c r="G271" s="259" t="s">
        <v>1604</v>
      </c>
      <c r="H271" s="248" t="s">
        <v>422</v>
      </c>
      <c r="I271" s="317">
        <v>1</v>
      </c>
      <c r="J271" s="317">
        <v>4.5</v>
      </c>
      <c r="K271" s="317">
        <v>0</v>
      </c>
      <c r="L271" s="212">
        <v>1</v>
      </c>
      <c r="M271" s="212">
        <f t="shared" si="37"/>
        <v>6.5</v>
      </c>
      <c r="N271" s="212">
        <f t="shared" si="38"/>
        <v>8</v>
      </c>
      <c r="O271" s="212">
        <f t="shared" si="39"/>
        <v>18</v>
      </c>
      <c r="P271" s="212">
        <f t="shared" si="40"/>
        <v>0</v>
      </c>
      <c r="Q271" s="212">
        <f t="shared" si="41"/>
        <v>8</v>
      </c>
      <c r="R271" s="212">
        <f t="shared" si="42"/>
        <v>34</v>
      </c>
      <c r="S271" s="270" t="s">
        <v>1329</v>
      </c>
      <c r="T271" s="270" t="s">
        <v>1330</v>
      </c>
      <c r="U271" s="272">
        <v>70</v>
      </c>
      <c r="V271" s="272">
        <v>70</v>
      </c>
      <c r="W271" s="246">
        <v>44119</v>
      </c>
      <c r="X271" s="246">
        <v>44166</v>
      </c>
      <c r="Y271" s="245">
        <v>44281</v>
      </c>
      <c r="Z271" s="311">
        <f t="shared" si="35"/>
        <v>2021</v>
      </c>
      <c r="AA271" s="311">
        <f t="shared" si="36"/>
        <v>3</v>
      </c>
      <c r="AB271" s="243" t="s">
        <v>920</v>
      </c>
      <c r="AC271" s="243" t="s">
        <v>422</v>
      </c>
      <c r="AD271" s="243" t="s">
        <v>422</v>
      </c>
      <c r="AE271" s="243" t="s">
        <v>422</v>
      </c>
      <c r="AF271" s="243" t="s">
        <v>422</v>
      </c>
      <c r="AG271" s="243" t="s">
        <v>422</v>
      </c>
      <c r="AH271" s="243" t="s">
        <v>423</v>
      </c>
      <c r="AI271" s="243" t="s">
        <v>422</v>
      </c>
      <c r="AJ271" s="243" t="s">
        <v>422</v>
      </c>
      <c r="AK271" s="244" t="s">
        <v>1424</v>
      </c>
      <c r="AL271" s="241"/>
      <c r="AM271" s="241"/>
    </row>
    <row r="272" spans="1:39" ht="15" customHeight="1" x14ac:dyDescent="0.3">
      <c r="A272" s="185">
        <v>262</v>
      </c>
      <c r="B272" s="267" t="s">
        <v>1379</v>
      </c>
      <c r="C272" s="247" t="s">
        <v>1618</v>
      </c>
      <c r="D272" s="200" t="s">
        <v>1881</v>
      </c>
      <c r="E272" s="269"/>
      <c r="F272" s="269" t="s">
        <v>1600</v>
      </c>
      <c r="G272" s="338" t="s">
        <v>1604</v>
      </c>
      <c r="H272" s="317" t="s">
        <v>422</v>
      </c>
      <c r="I272" s="356">
        <v>1.5</v>
      </c>
      <c r="J272" s="317">
        <v>8.5</v>
      </c>
      <c r="K272" s="317">
        <v>0</v>
      </c>
      <c r="L272" s="212">
        <v>1</v>
      </c>
      <c r="M272" s="212">
        <f t="shared" si="37"/>
        <v>11</v>
      </c>
      <c r="N272" s="212">
        <f t="shared" si="38"/>
        <v>12</v>
      </c>
      <c r="O272" s="212">
        <f t="shared" si="39"/>
        <v>34</v>
      </c>
      <c r="P272" s="212">
        <f t="shared" si="40"/>
        <v>0</v>
      </c>
      <c r="Q272" s="212">
        <f t="shared" si="41"/>
        <v>8</v>
      </c>
      <c r="R272" s="212">
        <f t="shared" si="42"/>
        <v>54</v>
      </c>
      <c r="S272" s="270" t="s">
        <v>1444</v>
      </c>
      <c r="T272" s="270" t="s">
        <v>1445</v>
      </c>
      <c r="U272" s="272">
        <v>90</v>
      </c>
      <c r="V272" s="272">
        <v>91</v>
      </c>
      <c r="W272" s="246">
        <v>44123</v>
      </c>
      <c r="X272" s="246">
        <v>44173</v>
      </c>
      <c r="Y272" s="245">
        <v>44268</v>
      </c>
      <c r="Z272" s="311">
        <f t="shared" si="35"/>
        <v>2021</v>
      </c>
      <c r="AA272" s="311">
        <f t="shared" si="36"/>
        <v>3</v>
      </c>
      <c r="AB272" s="243" t="s">
        <v>920</v>
      </c>
      <c r="AC272" s="243" t="s">
        <v>422</v>
      </c>
      <c r="AD272" s="243" t="s">
        <v>422</v>
      </c>
      <c r="AE272" s="243" t="s">
        <v>422</v>
      </c>
      <c r="AF272" s="243" t="s">
        <v>422</v>
      </c>
      <c r="AG272" s="243" t="s">
        <v>422</v>
      </c>
      <c r="AH272" s="243" t="s">
        <v>423</v>
      </c>
      <c r="AI272" s="243" t="s">
        <v>423</v>
      </c>
      <c r="AJ272" s="243" t="s">
        <v>423</v>
      </c>
      <c r="AK272" s="244" t="s">
        <v>1240</v>
      </c>
      <c r="AL272" s="241"/>
      <c r="AM272" s="241"/>
    </row>
    <row r="273" spans="1:39" ht="15" customHeight="1" x14ac:dyDescent="0.3">
      <c r="A273" s="185">
        <v>264</v>
      </c>
      <c r="B273" s="267" t="s">
        <v>1387</v>
      </c>
      <c r="C273" s="247" t="s">
        <v>1615</v>
      </c>
      <c r="D273" s="200" t="s">
        <v>1881</v>
      </c>
      <c r="E273" s="197" t="s">
        <v>1596</v>
      </c>
      <c r="F273" s="269" t="s">
        <v>1600</v>
      </c>
      <c r="G273" s="338" t="s">
        <v>1604</v>
      </c>
      <c r="H273" s="317" t="s">
        <v>422</v>
      </c>
      <c r="I273" s="356">
        <v>1.5</v>
      </c>
      <c r="J273" s="317">
        <v>7</v>
      </c>
      <c r="K273" s="317">
        <v>0</v>
      </c>
      <c r="L273" s="212">
        <v>1</v>
      </c>
      <c r="M273" s="212">
        <f t="shared" si="37"/>
        <v>9.5</v>
      </c>
      <c r="N273" s="212">
        <f t="shared" si="38"/>
        <v>12</v>
      </c>
      <c r="O273" s="212">
        <f t="shared" si="39"/>
        <v>28</v>
      </c>
      <c r="P273" s="212">
        <f t="shared" si="40"/>
        <v>0</v>
      </c>
      <c r="Q273" s="212">
        <f t="shared" si="41"/>
        <v>8</v>
      </c>
      <c r="R273" s="212">
        <f t="shared" si="42"/>
        <v>48</v>
      </c>
      <c r="S273" s="270" t="s">
        <v>1390</v>
      </c>
      <c r="T273" s="270" t="s">
        <v>1391</v>
      </c>
      <c r="U273" s="272">
        <v>217</v>
      </c>
      <c r="V273" s="272">
        <f>82+48+54+33</f>
        <v>217</v>
      </c>
      <c r="W273" s="246">
        <v>44137</v>
      </c>
      <c r="X273" s="246">
        <v>44180</v>
      </c>
      <c r="Y273" s="245">
        <v>44281</v>
      </c>
      <c r="Z273" s="311">
        <f t="shared" si="35"/>
        <v>2021</v>
      </c>
      <c r="AA273" s="311">
        <f t="shared" si="36"/>
        <v>3</v>
      </c>
      <c r="AB273" s="243" t="s">
        <v>920</v>
      </c>
      <c r="AC273" s="243" t="s">
        <v>422</v>
      </c>
      <c r="AD273" s="243" t="s">
        <v>422</v>
      </c>
      <c r="AE273" s="243" t="s">
        <v>422</v>
      </c>
      <c r="AF273" s="243" t="s">
        <v>422</v>
      </c>
      <c r="AG273" s="243" t="s">
        <v>422</v>
      </c>
      <c r="AH273" s="243" t="s">
        <v>423</v>
      </c>
      <c r="AI273" s="243" t="s">
        <v>422</v>
      </c>
      <c r="AJ273" s="243" t="s">
        <v>423</v>
      </c>
      <c r="AK273" s="244" t="s">
        <v>1045</v>
      </c>
      <c r="AL273" s="241"/>
      <c r="AM273" s="241"/>
    </row>
    <row r="274" spans="1:39" ht="15" customHeight="1" x14ac:dyDescent="0.3">
      <c r="A274" s="185">
        <v>265</v>
      </c>
      <c r="B274" s="267" t="s">
        <v>1392</v>
      </c>
      <c r="C274" s="247" t="s">
        <v>1615</v>
      </c>
      <c r="D274" s="200" t="s">
        <v>1881</v>
      </c>
      <c r="E274" s="197" t="s">
        <v>1596</v>
      </c>
      <c r="F274" s="269" t="s">
        <v>1600</v>
      </c>
      <c r="G274" s="338" t="s">
        <v>1604</v>
      </c>
      <c r="H274" s="317" t="s">
        <v>422</v>
      </c>
      <c r="I274" s="356">
        <v>1.5</v>
      </c>
      <c r="J274" s="317">
        <v>6.5</v>
      </c>
      <c r="K274" s="317">
        <v>0</v>
      </c>
      <c r="L274" s="212">
        <v>1</v>
      </c>
      <c r="M274" s="212">
        <f t="shared" si="37"/>
        <v>9</v>
      </c>
      <c r="N274" s="212">
        <f t="shared" si="38"/>
        <v>12</v>
      </c>
      <c r="O274" s="212">
        <f t="shared" si="39"/>
        <v>26</v>
      </c>
      <c r="P274" s="212">
        <f t="shared" si="40"/>
        <v>0</v>
      </c>
      <c r="Q274" s="212">
        <f t="shared" si="41"/>
        <v>8</v>
      </c>
      <c r="R274" s="212">
        <f t="shared" si="42"/>
        <v>46</v>
      </c>
      <c r="S274" s="270" t="s">
        <v>1394</v>
      </c>
      <c r="T274" s="270" t="s">
        <v>1395</v>
      </c>
      <c r="U274" s="272">
        <v>107</v>
      </c>
      <c r="V274" s="272">
        <v>107</v>
      </c>
      <c r="W274" s="246">
        <v>44137</v>
      </c>
      <c r="X274" s="246">
        <v>44180</v>
      </c>
      <c r="Y274" s="245">
        <v>44281</v>
      </c>
      <c r="Z274" s="311">
        <f t="shared" si="35"/>
        <v>2021</v>
      </c>
      <c r="AA274" s="311">
        <f t="shared" si="36"/>
        <v>3</v>
      </c>
      <c r="AB274" s="243" t="s">
        <v>920</v>
      </c>
      <c r="AC274" s="243" t="s">
        <v>422</v>
      </c>
      <c r="AD274" s="243" t="s">
        <v>422</v>
      </c>
      <c r="AE274" s="243" t="s">
        <v>422</v>
      </c>
      <c r="AF274" s="243" t="s">
        <v>422</v>
      </c>
      <c r="AG274" s="243" t="s">
        <v>422</v>
      </c>
      <c r="AH274" s="243" t="s">
        <v>423</v>
      </c>
      <c r="AI274" s="243" t="s">
        <v>422</v>
      </c>
      <c r="AJ274" s="243" t="s">
        <v>423</v>
      </c>
      <c r="AK274" s="244" t="s">
        <v>1045</v>
      </c>
      <c r="AL274" s="241"/>
      <c r="AM274" s="241"/>
    </row>
    <row r="275" spans="1:39" ht="15" customHeight="1" x14ac:dyDescent="0.3">
      <c r="A275" s="185">
        <v>266</v>
      </c>
      <c r="B275" s="267" t="s">
        <v>1393</v>
      </c>
      <c r="C275" s="247" t="s">
        <v>1615</v>
      </c>
      <c r="D275" s="200" t="s">
        <v>1881</v>
      </c>
      <c r="E275" s="196" t="s">
        <v>1596</v>
      </c>
      <c r="F275" s="269" t="s">
        <v>1600</v>
      </c>
      <c r="G275" s="259" t="s">
        <v>1604</v>
      </c>
      <c r="H275" s="317" t="s">
        <v>422</v>
      </c>
      <c r="I275" s="356">
        <v>1.5</v>
      </c>
      <c r="J275" s="317">
        <v>9.5</v>
      </c>
      <c r="K275" s="317">
        <v>0</v>
      </c>
      <c r="L275" s="212">
        <v>1.5</v>
      </c>
      <c r="M275" s="212">
        <f t="shared" si="37"/>
        <v>12.5</v>
      </c>
      <c r="N275" s="212">
        <f t="shared" si="38"/>
        <v>12</v>
      </c>
      <c r="O275" s="212">
        <f t="shared" si="39"/>
        <v>38</v>
      </c>
      <c r="P275" s="212">
        <f t="shared" si="40"/>
        <v>0</v>
      </c>
      <c r="Q275" s="212">
        <f t="shared" si="41"/>
        <v>12</v>
      </c>
      <c r="R275" s="212">
        <f t="shared" si="42"/>
        <v>62</v>
      </c>
      <c r="S275" s="270" t="s">
        <v>1396</v>
      </c>
      <c r="T275" s="270" t="s">
        <v>1397</v>
      </c>
      <c r="U275" s="272">
        <v>224</v>
      </c>
      <c r="V275" s="272">
        <v>224</v>
      </c>
      <c r="W275" s="246">
        <v>44137</v>
      </c>
      <c r="X275" s="246">
        <v>44180</v>
      </c>
      <c r="Y275" s="245">
        <v>44281</v>
      </c>
      <c r="Z275" s="311">
        <f t="shared" si="35"/>
        <v>2021</v>
      </c>
      <c r="AA275" s="311">
        <f t="shared" si="36"/>
        <v>3</v>
      </c>
      <c r="AB275" s="243" t="s">
        <v>1435</v>
      </c>
      <c r="AC275" s="243" t="s">
        <v>422</v>
      </c>
      <c r="AD275" s="243" t="s">
        <v>422</v>
      </c>
      <c r="AE275" s="243" t="s">
        <v>422</v>
      </c>
      <c r="AF275" s="243" t="s">
        <v>422</v>
      </c>
      <c r="AG275" s="243" t="s">
        <v>422</v>
      </c>
      <c r="AH275" s="243" t="s">
        <v>423</v>
      </c>
      <c r="AI275" s="243" t="s">
        <v>422</v>
      </c>
      <c r="AJ275" s="243" t="s">
        <v>423</v>
      </c>
      <c r="AK275" s="244" t="s">
        <v>888</v>
      </c>
      <c r="AL275" s="241"/>
      <c r="AM275" s="245" t="s">
        <v>1434</v>
      </c>
    </row>
    <row r="276" spans="1:39" ht="15" customHeight="1" x14ac:dyDescent="0.3">
      <c r="A276" s="185">
        <v>268</v>
      </c>
      <c r="B276" s="267" t="s">
        <v>1399</v>
      </c>
      <c r="C276" s="247" t="s">
        <v>1615</v>
      </c>
      <c r="D276" s="200" t="s">
        <v>1881</v>
      </c>
      <c r="E276" s="196" t="s">
        <v>1596</v>
      </c>
      <c r="F276" s="269" t="s">
        <v>1600</v>
      </c>
      <c r="G276" s="259" t="s">
        <v>1604</v>
      </c>
      <c r="H276" s="317" t="s">
        <v>422</v>
      </c>
      <c r="I276" s="356">
        <v>1.5</v>
      </c>
      <c r="J276" s="317">
        <v>6</v>
      </c>
      <c r="K276" s="317">
        <v>0</v>
      </c>
      <c r="L276" s="212">
        <v>1</v>
      </c>
      <c r="M276" s="212">
        <f t="shared" si="37"/>
        <v>8.5</v>
      </c>
      <c r="N276" s="212">
        <f t="shared" si="38"/>
        <v>12</v>
      </c>
      <c r="O276" s="212">
        <f t="shared" si="39"/>
        <v>24</v>
      </c>
      <c r="P276" s="212">
        <f t="shared" si="40"/>
        <v>0</v>
      </c>
      <c r="Q276" s="212">
        <f t="shared" si="41"/>
        <v>8</v>
      </c>
      <c r="R276" s="212">
        <f t="shared" si="42"/>
        <v>44</v>
      </c>
      <c r="S276" s="270" t="s">
        <v>1402</v>
      </c>
      <c r="T276" s="270" t="s">
        <v>1403</v>
      </c>
      <c r="U276" s="272">
        <v>38</v>
      </c>
      <c r="V276" s="272">
        <v>38</v>
      </c>
      <c r="W276" s="246">
        <v>44137</v>
      </c>
      <c r="X276" s="246">
        <v>44180</v>
      </c>
      <c r="Y276" s="245">
        <v>44281</v>
      </c>
      <c r="Z276" s="311">
        <f t="shared" si="35"/>
        <v>2021</v>
      </c>
      <c r="AA276" s="311">
        <f t="shared" si="36"/>
        <v>3</v>
      </c>
      <c r="AB276" s="243" t="s">
        <v>920</v>
      </c>
      <c r="AC276" s="243" t="s">
        <v>422</v>
      </c>
      <c r="AD276" s="243" t="s">
        <v>422</v>
      </c>
      <c r="AE276" s="243" t="s">
        <v>422</v>
      </c>
      <c r="AF276" s="243" t="s">
        <v>422</v>
      </c>
      <c r="AG276" s="243" t="s">
        <v>422</v>
      </c>
      <c r="AH276" s="243" t="s">
        <v>423</v>
      </c>
      <c r="AI276" s="243" t="s">
        <v>422</v>
      </c>
      <c r="AJ276" s="243" t="s">
        <v>423</v>
      </c>
      <c r="AK276" s="244" t="s">
        <v>1372</v>
      </c>
      <c r="AL276" s="241"/>
      <c r="AM276" s="241"/>
    </row>
    <row r="277" spans="1:39" ht="15" customHeight="1" x14ac:dyDescent="0.3">
      <c r="A277" s="185">
        <v>277</v>
      </c>
      <c r="B277" s="267" t="s">
        <v>1436</v>
      </c>
      <c r="C277" s="247" t="s">
        <v>1618</v>
      </c>
      <c r="D277" s="200" t="s">
        <v>1881</v>
      </c>
      <c r="E277" s="197" t="s">
        <v>1596</v>
      </c>
      <c r="F277" s="269" t="s">
        <v>1598</v>
      </c>
      <c r="G277" s="259" t="s">
        <v>1604</v>
      </c>
      <c r="H277" s="248" t="s">
        <v>422</v>
      </c>
      <c r="I277" s="317">
        <v>1.2</v>
      </c>
      <c r="J277" s="317">
        <v>7</v>
      </c>
      <c r="K277" s="317">
        <v>0</v>
      </c>
      <c r="L277" s="212">
        <v>1.5</v>
      </c>
      <c r="M277" s="212">
        <f t="shared" si="37"/>
        <v>9.6999999999999993</v>
      </c>
      <c r="N277" s="212">
        <f t="shared" si="38"/>
        <v>9.6</v>
      </c>
      <c r="O277" s="212">
        <f t="shared" si="39"/>
        <v>28</v>
      </c>
      <c r="P277" s="212">
        <f t="shared" si="40"/>
        <v>0</v>
      </c>
      <c r="Q277" s="212">
        <f t="shared" si="41"/>
        <v>12</v>
      </c>
      <c r="R277" s="212">
        <f t="shared" si="42"/>
        <v>49.6</v>
      </c>
      <c r="S277" s="270" t="s">
        <v>1441</v>
      </c>
      <c r="T277" s="270" t="s">
        <v>1441</v>
      </c>
      <c r="U277" s="272">
        <v>40</v>
      </c>
      <c r="V277" s="272">
        <v>42</v>
      </c>
      <c r="W277" s="246">
        <v>44215</v>
      </c>
      <c r="X277" s="246">
        <v>44259</v>
      </c>
      <c r="Y277" s="245">
        <v>44268</v>
      </c>
      <c r="Z277" s="311">
        <f t="shared" si="35"/>
        <v>2021</v>
      </c>
      <c r="AA277" s="311">
        <f t="shared" si="36"/>
        <v>3</v>
      </c>
      <c r="AB277" s="243" t="s">
        <v>920</v>
      </c>
      <c r="AC277" s="243" t="s">
        <v>422</v>
      </c>
      <c r="AD277" s="243" t="s">
        <v>423</v>
      </c>
      <c r="AE277" s="243" t="s">
        <v>422</v>
      </c>
      <c r="AF277" s="243" t="s">
        <v>422</v>
      </c>
      <c r="AG277" s="243" t="s">
        <v>423</v>
      </c>
      <c r="AH277" s="243" t="s">
        <v>423</v>
      </c>
      <c r="AI277" s="243" t="s">
        <v>423</v>
      </c>
      <c r="AJ277" s="243" t="s">
        <v>423</v>
      </c>
      <c r="AK277" s="244" t="s">
        <v>1240</v>
      </c>
      <c r="AL277" s="241"/>
      <c r="AM277" s="241"/>
    </row>
    <row r="278" spans="1:39" ht="15" customHeight="1" x14ac:dyDescent="0.3">
      <c r="A278" s="185">
        <v>278</v>
      </c>
      <c r="B278" s="267" t="s">
        <v>1437</v>
      </c>
      <c r="C278" s="247" t="s">
        <v>1618</v>
      </c>
      <c r="D278" s="200" t="s">
        <v>1881</v>
      </c>
      <c r="E278" s="197" t="s">
        <v>1596</v>
      </c>
      <c r="F278" s="269" t="s">
        <v>1598</v>
      </c>
      <c r="G278" s="259" t="s">
        <v>1604</v>
      </c>
      <c r="H278" s="248" t="s">
        <v>422</v>
      </c>
      <c r="I278" s="317">
        <v>1.2</v>
      </c>
      <c r="J278" s="317">
        <v>6</v>
      </c>
      <c r="K278" s="317">
        <v>0</v>
      </c>
      <c r="L278" s="212">
        <v>1</v>
      </c>
      <c r="M278" s="212">
        <f t="shared" si="37"/>
        <v>8.1999999999999993</v>
      </c>
      <c r="N278" s="212">
        <f t="shared" si="38"/>
        <v>9.6</v>
      </c>
      <c r="O278" s="212">
        <f t="shared" si="39"/>
        <v>24</v>
      </c>
      <c r="P278" s="212">
        <f t="shared" si="40"/>
        <v>0</v>
      </c>
      <c r="Q278" s="212">
        <f t="shared" si="41"/>
        <v>8</v>
      </c>
      <c r="R278" s="212">
        <f t="shared" si="42"/>
        <v>41.6</v>
      </c>
      <c r="S278" s="270" t="s">
        <v>1439</v>
      </c>
      <c r="T278" s="270" t="s">
        <v>1439</v>
      </c>
      <c r="U278" s="272">
        <v>133</v>
      </c>
      <c r="V278" s="272">
        <v>137</v>
      </c>
      <c r="W278" s="246">
        <v>44215</v>
      </c>
      <c r="X278" s="246">
        <v>44259</v>
      </c>
      <c r="Y278" s="245">
        <v>44268</v>
      </c>
      <c r="Z278" s="311">
        <f t="shared" si="35"/>
        <v>2021</v>
      </c>
      <c r="AA278" s="311">
        <f t="shared" si="36"/>
        <v>3</v>
      </c>
      <c r="AB278" s="243" t="s">
        <v>920</v>
      </c>
      <c r="AC278" s="243" t="s">
        <v>422</v>
      </c>
      <c r="AD278" s="243" t="s">
        <v>423</v>
      </c>
      <c r="AE278" s="243" t="s">
        <v>422</v>
      </c>
      <c r="AF278" s="243" t="s">
        <v>422</v>
      </c>
      <c r="AG278" s="243" t="s">
        <v>423</v>
      </c>
      <c r="AH278" s="243" t="s">
        <v>423</v>
      </c>
      <c r="AI278" s="243" t="s">
        <v>423</v>
      </c>
      <c r="AJ278" s="243" t="s">
        <v>423</v>
      </c>
      <c r="AK278" s="244" t="s">
        <v>1240</v>
      </c>
      <c r="AL278" s="241"/>
      <c r="AM278" s="241"/>
    </row>
    <row r="279" spans="1:39" ht="15" customHeight="1" x14ac:dyDescent="0.3">
      <c r="A279" s="185">
        <v>279</v>
      </c>
      <c r="B279" s="267" t="s">
        <v>1438</v>
      </c>
      <c r="C279" s="247" t="s">
        <v>1618</v>
      </c>
      <c r="D279" s="200" t="s">
        <v>1881</v>
      </c>
      <c r="E279" s="197" t="s">
        <v>1596</v>
      </c>
      <c r="F279" s="269" t="s">
        <v>1598</v>
      </c>
      <c r="G279" s="259" t="s">
        <v>1604</v>
      </c>
      <c r="H279" s="248" t="s">
        <v>422</v>
      </c>
      <c r="I279" s="317">
        <v>1.8</v>
      </c>
      <c r="J279" s="317">
        <v>13</v>
      </c>
      <c r="K279" s="317">
        <v>0</v>
      </c>
      <c r="L279" s="212">
        <v>1</v>
      </c>
      <c r="M279" s="212">
        <f t="shared" si="37"/>
        <v>15.8</v>
      </c>
      <c r="N279" s="212">
        <f t="shared" si="38"/>
        <v>14.4</v>
      </c>
      <c r="O279" s="212">
        <f t="shared" si="39"/>
        <v>52</v>
      </c>
      <c r="P279" s="212">
        <f t="shared" si="40"/>
        <v>0</v>
      </c>
      <c r="Q279" s="212">
        <f t="shared" si="41"/>
        <v>8</v>
      </c>
      <c r="R279" s="212">
        <f t="shared" si="42"/>
        <v>74.400000000000006</v>
      </c>
      <c r="S279" s="270" t="s">
        <v>1440</v>
      </c>
      <c r="T279" s="270" t="s">
        <v>1440</v>
      </c>
      <c r="U279" s="272">
        <v>98</v>
      </c>
      <c r="V279" s="272">
        <v>102</v>
      </c>
      <c r="W279" s="246">
        <v>44215</v>
      </c>
      <c r="X279" s="246">
        <v>44259</v>
      </c>
      <c r="Y279" s="245">
        <v>44268</v>
      </c>
      <c r="Z279" s="311">
        <f t="shared" si="35"/>
        <v>2021</v>
      </c>
      <c r="AA279" s="311">
        <f t="shared" si="36"/>
        <v>3</v>
      </c>
      <c r="AB279" s="243" t="s">
        <v>920</v>
      </c>
      <c r="AC279" s="243" t="s">
        <v>422</v>
      </c>
      <c r="AD279" s="243" t="s">
        <v>422</v>
      </c>
      <c r="AE279" s="243" t="s">
        <v>422</v>
      </c>
      <c r="AF279" s="243" t="s">
        <v>422</v>
      </c>
      <c r="AG279" s="243" t="s">
        <v>422</v>
      </c>
      <c r="AH279" s="243" t="s">
        <v>423</v>
      </c>
      <c r="AI279" s="243" t="s">
        <v>423</v>
      </c>
      <c r="AJ279" s="243" t="s">
        <v>423</v>
      </c>
      <c r="AK279" s="244" t="s">
        <v>1240</v>
      </c>
      <c r="AL279" s="241"/>
      <c r="AM279" s="241"/>
    </row>
    <row r="280" spans="1:39" ht="15" customHeight="1" x14ac:dyDescent="0.3">
      <c r="A280" s="185">
        <v>280</v>
      </c>
      <c r="B280" s="267" t="s">
        <v>1446</v>
      </c>
      <c r="C280" s="247" t="s">
        <v>1620</v>
      </c>
      <c r="D280" s="200" t="s">
        <v>1851</v>
      </c>
      <c r="E280" s="267" t="s">
        <v>422</v>
      </c>
      <c r="F280" s="269" t="s">
        <v>1599</v>
      </c>
      <c r="G280" s="259" t="s">
        <v>1604</v>
      </c>
      <c r="H280" s="248" t="s">
        <v>1596</v>
      </c>
      <c r="I280" s="317">
        <v>1.5</v>
      </c>
      <c r="J280" s="317"/>
      <c r="K280" s="317">
        <v>0</v>
      </c>
      <c r="L280" s="212">
        <v>1</v>
      </c>
      <c r="M280" s="212">
        <f t="shared" si="37"/>
        <v>2.5</v>
      </c>
      <c r="N280" s="212">
        <f t="shared" si="38"/>
        <v>12</v>
      </c>
      <c r="O280" s="212">
        <f t="shared" si="39"/>
        <v>0</v>
      </c>
      <c r="P280" s="212">
        <f t="shared" si="40"/>
        <v>0</v>
      </c>
      <c r="Q280" s="212">
        <f t="shared" si="41"/>
        <v>8</v>
      </c>
      <c r="R280" s="212">
        <f t="shared" si="42"/>
        <v>20</v>
      </c>
      <c r="S280" s="270" t="s">
        <v>1451</v>
      </c>
      <c r="T280" s="270" t="s">
        <v>1451</v>
      </c>
      <c r="U280" s="272">
        <v>32</v>
      </c>
      <c r="V280" s="272">
        <v>32</v>
      </c>
      <c r="W280" s="246">
        <v>37646</v>
      </c>
      <c r="X280" s="246">
        <v>44280</v>
      </c>
      <c r="Y280" s="245">
        <v>44268</v>
      </c>
      <c r="Z280" s="311">
        <f t="shared" si="35"/>
        <v>2021</v>
      </c>
      <c r="AA280" s="311">
        <f t="shared" si="36"/>
        <v>3</v>
      </c>
      <c r="AB280" s="243" t="s">
        <v>920</v>
      </c>
      <c r="AC280" s="243" t="s">
        <v>422</v>
      </c>
      <c r="AD280" s="243" t="s">
        <v>422</v>
      </c>
      <c r="AE280" s="243" t="s">
        <v>422</v>
      </c>
      <c r="AF280" s="243" t="s">
        <v>422</v>
      </c>
      <c r="AG280" s="243" t="s">
        <v>422</v>
      </c>
      <c r="AH280" s="243" t="s">
        <v>423</v>
      </c>
      <c r="AI280" s="243" t="s">
        <v>422</v>
      </c>
      <c r="AJ280" s="243" t="s">
        <v>423</v>
      </c>
      <c r="AK280" s="244" t="s">
        <v>138</v>
      </c>
      <c r="AL280" s="241"/>
      <c r="AM280" s="241"/>
    </row>
    <row r="281" spans="1:39" ht="15" customHeight="1" x14ac:dyDescent="0.3">
      <c r="A281" s="185">
        <v>281</v>
      </c>
      <c r="B281" s="267" t="s">
        <v>1447</v>
      </c>
      <c r="C281" s="247" t="s">
        <v>1620</v>
      </c>
      <c r="D281" s="200" t="s">
        <v>1851</v>
      </c>
      <c r="E281" s="267" t="s">
        <v>422</v>
      </c>
      <c r="F281" s="269" t="s">
        <v>1599</v>
      </c>
      <c r="G281" s="259" t="s">
        <v>1604</v>
      </c>
      <c r="H281" s="248" t="s">
        <v>1596</v>
      </c>
      <c r="I281" s="317">
        <v>1.5</v>
      </c>
      <c r="J281" s="317"/>
      <c r="K281" s="317">
        <v>0</v>
      </c>
      <c r="L281" s="212">
        <v>1</v>
      </c>
      <c r="M281" s="212">
        <f t="shared" si="37"/>
        <v>2.5</v>
      </c>
      <c r="N281" s="212">
        <f t="shared" si="38"/>
        <v>12</v>
      </c>
      <c r="O281" s="212">
        <f t="shared" si="39"/>
        <v>0</v>
      </c>
      <c r="P281" s="212">
        <f t="shared" si="40"/>
        <v>0</v>
      </c>
      <c r="Q281" s="212">
        <f t="shared" si="41"/>
        <v>8</v>
      </c>
      <c r="R281" s="212">
        <f t="shared" si="42"/>
        <v>20</v>
      </c>
      <c r="S281" s="270" t="s">
        <v>1452</v>
      </c>
      <c r="T281" s="270" t="s">
        <v>1452</v>
      </c>
      <c r="U281" s="272">
        <v>32</v>
      </c>
      <c r="V281" s="272">
        <v>32</v>
      </c>
      <c r="W281" s="246">
        <v>37646</v>
      </c>
      <c r="X281" s="246">
        <v>44280</v>
      </c>
      <c r="Y281" s="245">
        <v>44268</v>
      </c>
      <c r="Z281" s="311">
        <f t="shared" si="35"/>
        <v>2021</v>
      </c>
      <c r="AA281" s="311">
        <f t="shared" si="36"/>
        <v>3</v>
      </c>
      <c r="AB281" s="243" t="s">
        <v>920</v>
      </c>
      <c r="AC281" s="243" t="s">
        <v>422</v>
      </c>
      <c r="AD281" s="243" t="s">
        <v>422</v>
      </c>
      <c r="AE281" s="243" t="s">
        <v>422</v>
      </c>
      <c r="AF281" s="243" t="s">
        <v>422</v>
      </c>
      <c r="AG281" s="243" t="s">
        <v>422</v>
      </c>
      <c r="AH281" s="243" t="s">
        <v>423</v>
      </c>
      <c r="AI281" s="243" t="s">
        <v>422</v>
      </c>
      <c r="AJ281" s="243" t="s">
        <v>423</v>
      </c>
      <c r="AK281" s="244" t="s">
        <v>138</v>
      </c>
      <c r="AL281" s="241"/>
      <c r="AM281" s="241"/>
    </row>
    <row r="282" spans="1:39" ht="15" customHeight="1" x14ac:dyDescent="0.3">
      <c r="A282" s="185">
        <v>282</v>
      </c>
      <c r="B282" s="267" t="s">
        <v>1448</v>
      </c>
      <c r="C282" s="247" t="s">
        <v>1620</v>
      </c>
      <c r="D282" s="200" t="s">
        <v>1851</v>
      </c>
      <c r="E282" s="267"/>
      <c r="F282" s="269" t="s">
        <v>1599</v>
      </c>
      <c r="G282" s="259" t="s">
        <v>1604</v>
      </c>
      <c r="H282" s="248" t="s">
        <v>1596</v>
      </c>
      <c r="I282" s="317">
        <v>1</v>
      </c>
      <c r="J282" s="317"/>
      <c r="K282" s="317">
        <v>0</v>
      </c>
      <c r="L282" s="212">
        <v>1</v>
      </c>
      <c r="M282" s="212">
        <f t="shared" si="37"/>
        <v>2</v>
      </c>
      <c r="N282" s="212">
        <f t="shared" si="38"/>
        <v>8</v>
      </c>
      <c r="O282" s="212">
        <f t="shared" si="39"/>
        <v>0</v>
      </c>
      <c r="P282" s="212">
        <f t="shared" si="40"/>
        <v>0</v>
      </c>
      <c r="Q282" s="212">
        <f t="shared" si="41"/>
        <v>8</v>
      </c>
      <c r="R282" s="212">
        <f t="shared" si="42"/>
        <v>16</v>
      </c>
      <c r="S282" s="270" t="s">
        <v>1453</v>
      </c>
      <c r="T282" s="270" t="s">
        <v>1453</v>
      </c>
      <c r="U282" s="272">
        <v>64</v>
      </c>
      <c r="V282" s="272">
        <v>64</v>
      </c>
      <c r="W282" s="246">
        <v>37646</v>
      </c>
      <c r="X282" s="246">
        <v>44280</v>
      </c>
      <c r="Y282" s="245">
        <v>44268</v>
      </c>
      <c r="Z282" s="311">
        <f t="shared" si="35"/>
        <v>2021</v>
      </c>
      <c r="AA282" s="311">
        <f t="shared" si="36"/>
        <v>3</v>
      </c>
      <c r="AB282" s="243" t="s">
        <v>920</v>
      </c>
      <c r="AC282" s="243" t="s">
        <v>422</v>
      </c>
      <c r="AD282" s="243" t="s">
        <v>423</v>
      </c>
      <c r="AE282" s="243" t="s">
        <v>422</v>
      </c>
      <c r="AF282" s="243" t="s">
        <v>422</v>
      </c>
      <c r="AG282" s="243" t="s">
        <v>423</v>
      </c>
      <c r="AH282" s="243" t="s">
        <v>423</v>
      </c>
      <c r="AI282" s="243" t="s">
        <v>423</v>
      </c>
      <c r="AJ282" s="243" t="s">
        <v>423</v>
      </c>
      <c r="AK282" s="244" t="s">
        <v>138</v>
      </c>
      <c r="AL282" s="241"/>
      <c r="AM282" s="241"/>
    </row>
    <row r="283" spans="1:39" ht="15" customHeight="1" x14ac:dyDescent="0.3">
      <c r="A283" s="185">
        <v>283</v>
      </c>
      <c r="B283" s="267" t="s">
        <v>1449</v>
      </c>
      <c r="C283" s="247" t="s">
        <v>1620</v>
      </c>
      <c r="D283" s="200" t="s">
        <v>1851</v>
      </c>
      <c r="E283" s="269" t="s">
        <v>422</v>
      </c>
      <c r="F283" s="269" t="s">
        <v>1599</v>
      </c>
      <c r="G283" s="259" t="s">
        <v>1604</v>
      </c>
      <c r="H283" s="248" t="s">
        <v>1596</v>
      </c>
      <c r="I283" s="317">
        <v>1</v>
      </c>
      <c r="J283" s="317">
        <v>6</v>
      </c>
      <c r="K283" s="317">
        <v>0</v>
      </c>
      <c r="L283" s="212">
        <v>1</v>
      </c>
      <c r="M283" s="212">
        <f t="shared" si="37"/>
        <v>8</v>
      </c>
      <c r="N283" s="212">
        <f t="shared" si="38"/>
        <v>8</v>
      </c>
      <c r="O283" s="212">
        <f t="shared" si="39"/>
        <v>24</v>
      </c>
      <c r="P283" s="212">
        <f t="shared" si="40"/>
        <v>0</v>
      </c>
      <c r="Q283" s="212">
        <f t="shared" si="41"/>
        <v>8</v>
      </c>
      <c r="R283" s="212">
        <f t="shared" si="42"/>
        <v>40</v>
      </c>
      <c r="S283" s="270" t="s">
        <v>1454</v>
      </c>
      <c r="T283" s="270" t="s">
        <v>1454</v>
      </c>
      <c r="U283" s="272">
        <v>32</v>
      </c>
      <c r="V283" s="272">
        <v>32</v>
      </c>
      <c r="W283" s="246">
        <v>37646</v>
      </c>
      <c r="X283" s="246">
        <v>44280</v>
      </c>
      <c r="Y283" s="245">
        <v>44268</v>
      </c>
      <c r="Z283" s="311">
        <f t="shared" si="35"/>
        <v>2021</v>
      </c>
      <c r="AA283" s="311">
        <f t="shared" si="36"/>
        <v>3</v>
      </c>
      <c r="AB283" s="243" t="s">
        <v>920</v>
      </c>
      <c r="AC283" s="243" t="s">
        <v>422</v>
      </c>
      <c r="AD283" s="243" t="s">
        <v>423</v>
      </c>
      <c r="AE283" s="243" t="s">
        <v>422</v>
      </c>
      <c r="AF283" s="243" t="s">
        <v>422</v>
      </c>
      <c r="AG283" s="243" t="s">
        <v>423</v>
      </c>
      <c r="AH283" s="243" t="s">
        <v>423</v>
      </c>
      <c r="AI283" s="243" t="s">
        <v>423</v>
      </c>
      <c r="AJ283" s="243" t="s">
        <v>423</v>
      </c>
      <c r="AK283" s="244" t="s">
        <v>138</v>
      </c>
      <c r="AL283" s="241"/>
      <c r="AM283" s="241"/>
    </row>
    <row r="284" spans="1:39" ht="15" customHeight="1" x14ac:dyDescent="0.3">
      <c r="A284" s="185">
        <v>285</v>
      </c>
      <c r="B284" s="267" t="s">
        <v>1455</v>
      </c>
      <c r="C284" s="247" t="s">
        <v>1618</v>
      </c>
      <c r="D284" s="200" t="s">
        <v>1881</v>
      </c>
      <c r="E284" s="269"/>
      <c r="F284" s="269" t="s">
        <v>1601</v>
      </c>
      <c r="G284" s="259" t="s">
        <v>1604</v>
      </c>
      <c r="H284" s="248" t="s">
        <v>422</v>
      </c>
      <c r="I284" s="317">
        <v>1.2</v>
      </c>
      <c r="J284" s="317">
        <v>7.5</v>
      </c>
      <c r="K284" s="317">
        <v>0</v>
      </c>
      <c r="L284" s="212">
        <v>1.5</v>
      </c>
      <c r="M284" s="212">
        <f t="shared" si="37"/>
        <v>10.199999999999999</v>
      </c>
      <c r="N284" s="212">
        <f t="shared" si="38"/>
        <v>9.6</v>
      </c>
      <c r="O284" s="212">
        <f t="shared" si="39"/>
        <v>30</v>
      </c>
      <c r="P284" s="212">
        <f t="shared" si="40"/>
        <v>0</v>
      </c>
      <c r="Q284" s="212">
        <f t="shared" si="41"/>
        <v>12</v>
      </c>
      <c r="R284" s="212">
        <f t="shared" si="42"/>
        <v>51.6</v>
      </c>
      <c r="S284" s="270" t="s">
        <v>1461</v>
      </c>
      <c r="T284" s="270" t="s">
        <v>1460</v>
      </c>
      <c r="U284" s="272">
        <v>186</v>
      </c>
      <c r="V284" s="272">
        <v>192</v>
      </c>
      <c r="W284" s="246">
        <v>44240</v>
      </c>
      <c r="X284" s="246">
        <v>44259</v>
      </c>
      <c r="Y284" s="245">
        <v>44268</v>
      </c>
      <c r="Z284" s="311">
        <f t="shared" si="35"/>
        <v>2021</v>
      </c>
      <c r="AA284" s="311">
        <f t="shared" si="36"/>
        <v>3</v>
      </c>
      <c r="AB284" s="243" t="s">
        <v>920</v>
      </c>
      <c r="AC284" s="243" t="s">
        <v>422</v>
      </c>
      <c r="AD284" s="243" t="s">
        <v>422</v>
      </c>
      <c r="AE284" s="243" t="s">
        <v>422</v>
      </c>
      <c r="AF284" s="243" t="s">
        <v>422</v>
      </c>
      <c r="AG284" s="243" t="s">
        <v>422</v>
      </c>
      <c r="AH284" s="243" t="s">
        <v>423</v>
      </c>
      <c r="AI284" s="243" t="s">
        <v>422</v>
      </c>
      <c r="AJ284" s="243" t="s">
        <v>423</v>
      </c>
      <c r="AK284" s="244" t="s">
        <v>1240</v>
      </c>
      <c r="AL284" s="241"/>
      <c r="AM284" s="241"/>
    </row>
    <row r="285" spans="1:39" ht="15" customHeight="1" x14ac:dyDescent="0.3">
      <c r="A285" s="185">
        <v>286</v>
      </c>
      <c r="B285" s="267" t="s">
        <v>1456</v>
      </c>
      <c r="C285" s="247" t="s">
        <v>1618</v>
      </c>
      <c r="D285" s="200" t="s">
        <v>1881</v>
      </c>
      <c r="E285" s="197" t="s">
        <v>1596</v>
      </c>
      <c r="F285" s="269" t="s">
        <v>1601</v>
      </c>
      <c r="G285" s="259" t="s">
        <v>1604</v>
      </c>
      <c r="H285" s="248" t="s">
        <v>422</v>
      </c>
      <c r="I285" s="317">
        <v>1.5</v>
      </c>
      <c r="J285" s="317">
        <v>13</v>
      </c>
      <c r="K285" s="317">
        <v>0</v>
      </c>
      <c r="L285" s="212">
        <v>1</v>
      </c>
      <c r="M285" s="212">
        <f t="shared" si="37"/>
        <v>15.5</v>
      </c>
      <c r="N285" s="212">
        <f t="shared" si="38"/>
        <v>12</v>
      </c>
      <c r="O285" s="212">
        <f t="shared" si="39"/>
        <v>52</v>
      </c>
      <c r="P285" s="212">
        <f t="shared" si="40"/>
        <v>0</v>
      </c>
      <c r="Q285" s="212">
        <f t="shared" si="41"/>
        <v>8</v>
      </c>
      <c r="R285" s="212">
        <f t="shared" si="42"/>
        <v>72</v>
      </c>
      <c r="S285" s="270" t="s">
        <v>1458</v>
      </c>
      <c r="T285" s="270" t="s">
        <v>1462</v>
      </c>
      <c r="U285" s="272">
        <v>60</v>
      </c>
      <c r="V285" s="272">
        <v>62</v>
      </c>
      <c r="W285" s="246">
        <v>44240</v>
      </c>
      <c r="X285" s="246">
        <v>44259</v>
      </c>
      <c r="Y285" s="245">
        <v>44268</v>
      </c>
      <c r="Z285" s="311">
        <f t="shared" si="35"/>
        <v>2021</v>
      </c>
      <c r="AA285" s="311">
        <f t="shared" si="36"/>
        <v>3</v>
      </c>
      <c r="AB285" s="243" t="s">
        <v>920</v>
      </c>
      <c r="AC285" s="243" t="s">
        <v>422</v>
      </c>
      <c r="AD285" s="243" t="s">
        <v>422</v>
      </c>
      <c r="AE285" s="243" t="s">
        <v>422</v>
      </c>
      <c r="AF285" s="243" t="s">
        <v>422</v>
      </c>
      <c r="AG285" s="243" t="s">
        <v>422</v>
      </c>
      <c r="AH285" s="243" t="s">
        <v>423</v>
      </c>
      <c r="AI285" s="243" t="s">
        <v>423</v>
      </c>
      <c r="AJ285" s="243" t="s">
        <v>423</v>
      </c>
      <c r="AK285" s="244" t="s">
        <v>1240</v>
      </c>
      <c r="AL285" s="241"/>
      <c r="AM285" s="242" t="s">
        <v>1579</v>
      </c>
    </row>
    <row r="286" spans="1:39" ht="15" customHeight="1" x14ac:dyDescent="0.3">
      <c r="A286" s="185">
        <v>288</v>
      </c>
      <c r="B286" s="267" t="s">
        <v>1457</v>
      </c>
      <c r="C286" s="247" t="s">
        <v>1618</v>
      </c>
      <c r="D286" s="200" t="s">
        <v>1881</v>
      </c>
      <c r="E286" s="197" t="s">
        <v>1596</v>
      </c>
      <c r="F286" s="269" t="s">
        <v>1601</v>
      </c>
      <c r="G286" s="259" t="s">
        <v>1604</v>
      </c>
      <c r="H286" s="248" t="s">
        <v>422</v>
      </c>
      <c r="I286" s="317">
        <v>1.5</v>
      </c>
      <c r="J286" s="317">
        <v>13</v>
      </c>
      <c r="K286" s="317">
        <v>0</v>
      </c>
      <c r="L286" s="212">
        <v>1</v>
      </c>
      <c r="M286" s="212">
        <f t="shared" si="37"/>
        <v>15.5</v>
      </c>
      <c r="N286" s="212">
        <f t="shared" si="38"/>
        <v>12</v>
      </c>
      <c r="O286" s="212">
        <f t="shared" si="39"/>
        <v>52</v>
      </c>
      <c r="P286" s="212">
        <f t="shared" si="40"/>
        <v>0</v>
      </c>
      <c r="Q286" s="212">
        <f t="shared" si="41"/>
        <v>8</v>
      </c>
      <c r="R286" s="212">
        <f t="shared" si="42"/>
        <v>72</v>
      </c>
      <c r="S286" s="270" t="s">
        <v>1459</v>
      </c>
      <c r="T286" s="270" t="s">
        <v>1463</v>
      </c>
      <c r="U286" s="272">
        <v>60</v>
      </c>
      <c r="V286" s="272">
        <v>62</v>
      </c>
      <c r="W286" s="246">
        <v>44240</v>
      </c>
      <c r="X286" s="246">
        <v>44259</v>
      </c>
      <c r="Y286" s="245">
        <v>44268</v>
      </c>
      <c r="Z286" s="311">
        <f t="shared" si="35"/>
        <v>2021</v>
      </c>
      <c r="AA286" s="311">
        <f t="shared" si="36"/>
        <v>3</v>
      </c>
      <c r="AB286" s="243" t="s">
        <v>920</v>
      </c>
      <c r="AC286" s="243" t="s">
        <v>422</v>
      </c>
      <c r="AD286" s="243" t="s">
        <v>422</v>
      </c>
      <c r="AE286" s="243" t="s">
        <v>422</v>
      </c>
      <c r="AF286" s="243" t="s">
        <v>422</v>
      </c>
      <c r="AG286" s="243" t="s">
        <v>422</v>
      </c>
      <c r="AH286" s="243" t="s">
        <v>423</v>
      </c>
      <c r="AI286" s="243" t="s">
        <v>423</v>
      </c>
      <c r="AJ286" s="243" t="s">
        <v>423</v>
      </c>
      <c r="AK286" s="244" t="s">
        <v>1240</v>
      </c>
      <c r="AL286" s="241"/>
      <c r="AM286" s="241"/>
    </row>
    <row r="287" spans="1:39" ht="15" customHeight="1" x14ac:dyDescent="0.3">
      <c r="A287" s="185">
        <v>289</v>
      </c>
      <c r="B287" s="267" t="s">
        <v>1442</v>
      </c>
      <c r="C287" s="247" t="s">
        <v>1618</v>
      </c>
      <c r="D287" s="200" t="s">
        <v>1881</v>
      </c>
      <c r="E287" s="197" t="s">
        <v>1596</v>
      </c>
      <c r="F287" s="269" t="s">
        <v>1599</v>
      </c>
      <c r="G287" s="259" t="s">
        <v>1604</v>
      </c>
      <c r="H287" s="248" t="s">
        <v>422</v>
      </c>
      <c r="I287" s="317">
        <v>1.2</v>
      </c>
      <c r="J287" s="317">
        <v>7.5</v>
      </c>
      <c r="K287" s="317">
        <v>0</v>
      </c>
      <c r="L287" s="212">
        <v>1</v>
      </c>
      <c r="M287" s="212">
        <f t="shared" si="37"/>
        <v>9.6999999999999993</v>
      </c>
      <c r="N287" s="212">
        <f t="shared" si="38"/>
        <v>9.6</v>
      </c>
      <c r="O287" s="212">
        <f t="shared" si="39"/>
        <v>30</v>
      </c>
      <c r="P287" s="212">
        <f t="shared" si="40"/>
        <v>0</v>
      </c>
      <c r="Q287" s="212">
        <f t="shared" si="41"/>
        <v>8</v>
      </c>
      <c r="R287" s="212">
        <f t="shared" si="42"/>
        <v>47.6</v>
      </c>
      <c r="S287" s="270" t="s">
        <v>1443</v>
      </c>
      <c r="T287" s="270" t="s">
        <v>1443</v>
      </c>
      <c r="U287" s="272">
        <v>62</v>
      </c>
      <c r="V287" s="272">
        <v>64</v>
      </c>
      <c r="W287" s="246">
        <v>44215</v>
      </c>
      <c r="X287" s="246">
        <v>44259</v>
      </c>
      <c r="Y287" s="245">
        <v>44268</v>
      </c>
      <c r="Z287" s="311">
        <f t="shared" si="35"/>
        <v>2021</v>
      </c>
      <c r="AA287" s="311">
        <f t="shared" si="36"/>
        <v>3</v>
      </c>
      <c r="AB287" s="243" t="s">
        <v>920</v>
      </c>
      <c r="AC287" s="243" t="s">
        <v>422</v>
      </c>
      <c r="AD287" s="243" t="s">
        <v>423</v>
      </c>
      <c r="AE287" s="243" t="s">
        <v>422</v>
      </c>
      <c r="AF287" s="243" t="s">
        <v>422</v>
      </c>
      <c r="AG287" s="243" t="s">
        <v>423</v>
      </c>
      <c r="AH287" s="243" t="s">
        <v>423</v>
      </c>
      <c r="AI287" s="243" t="s">
        <v>423</v>
      </c>
      <c r="AJ287" s="243" t="s">
        <v>423</v>
      </c>
      <c r="AK287" s="244" t="s">
        <v>1240</v>
      </c>
      <c r="AL287" s="241"/>
      <c r="AM287" s="241"/>
    </row>
    <row r="288" spans="1:39" ht="15" customHeight="1" x14ac:dyDescent="0.3">
      <c r="A288" s="185">
        <v>290</v>
      </c>
      <c r="B288" s="267" t="s">
        <v>1466</v>
      </c>
      <c r="C288" s="247" t="s">
        <v>1615</v>
      </c>
      <c r="D288" s="200" t="s">
        <v>1881</v>
      </c>
      <c r="E288" s="197" t="s">
        <v>1596</v>
      </c>
      <c r="F288" s="269"/>
      <c r="G288" s="259" t="s">
        <v>1604</v>
      </c>
      <c r="H288" s="248" t="s">
        <v>422</v>
      </c>
      <c r="I288" s="356">
        <v>2</v>
      </c>
      <c r="J288" s="317"/>
      <c r="K288" s="317">
        <v>0</v>
      </c>
      <c r="L288" s="212">
        <v>1</v>
      </c>
      <c r="M288" s="212">
        <f t="shared" si="37"/>
        <v>3</v>
      </c>
      <c r="N288" s="212">
        <f t="shared" si="38"/>
        <v>16</v>
      </c>
      <c r="O288" s="212">
        <f t="shared" si="39"/>
        <v>0</v>
      </c>
      <c r="P288" s="212">
        <f t="shared" si="40"/>
        <v>0</v>
      </c>
      <c r="Q288" s="212">
        <f t="shared" si="41"/>
        <v>8</v>
      </c>
      <c r="R288" s="212">
        <f t="shared" si="42"/>
        <v>24</v>
      </c>
      <c r="S288" s="270" t="s">
        <v>1327</v>
      </c>
      <c r="T288" s="270" t="s">
        <v>1467</v>
      </c>
      <c r="U288" s="272">
        <v>54</v>
      </c>
      <c r="V288" s="272">
        <v>54</v>
      </c>
      <c r="W288" s="246">
        <v>44253</v>
      </c>
      <c r="X288" s="246">
        <v>44281</v>
      </c>
      <c r="Y288" s="245">
        <v>44281</v>
      </c>
      <c r="Z288" s="311">
        <f t="shared" si="35"/>
        <v>2021</v>
      </c>
      <c r="AA288" s="311">
        <f t="shared" si="36"/>
        <v>3</v>
      </c>
      <c r="AB288" s="243" t="s">
        <v>920</v>
      </c>
      <c r="AC288" s="243" t="s">
        <v>422</v>
      </c>
      <c r="AD288" s="243" t="s">
        <v>422</v>
      </c>
      <c r="AE288" s="243" t="s">
        <v>422</v>
      </c>
      <c r="AF288" s="243" t="s">
        <v>422</v>
      </c>
      <c r="AG288" s="243" t="s">
        <v>422</v>
      </c>
      <c r="AH288" s="243" t="s">
        <v>423</v>
      </c>
      <c r="AI288" s="243" t="s">
        <v>422</v>
      </c>
      <c r="AJ288" s="243" t="s">
        <v>423</v>
      </c>
      <c r="AK288" s="244" t="s">
        <v>140</v>
      </c>
      <c r="AL288" s="241"/>
      <c r="AM288" s="241"/>
    </row>
    <row r="289" spans="1:39" ht="15" customHeight="1" x14ac:dyDescent="0.3">
      <c r="A289" s="185">
        <v>284</v>
      </c>
      <c r="B289" s="267" t="s">
        <v>1450</v>
      </c>
      <c r="C289" s="247" t="s">
        <v>1618</v>
      </c>
      <c r="D289" s="200" t="s">
        <v>1881</v>
      </c>
      <c r="E289" s="267"/>
      <c r="F289" s="269" t="s">
        <v>1601</v>
      </c>
      <c r="G289" s="259" t="s">
        <v>1604</v>
      </c>
      <c r="H289" s="248" t="s">
        <v>422</v>
      </c>
      <c r="I289" s="317">
        <v>12</v>
      </c>
      <c r="J289" s="317">
        <v>8.1999999999999993</v>
      </c>
      <c r="K289" s="317">
        <v>0</v>
      </c>
      <c r="L289" s="212">
        <v>1.5</v>
      </c>
      <c r="M289" s="212">
        <f t="shared" si="37"/>
        <v>21.7</v>
      </c>
      <c r="N289" s="212">
        <f t="shared" si="38"/>
        <v>96</v>
      </c>
      <c r="O289" s="212">
        <f t="shared" si="39"/>
        <v>32.799999999999997</v>
      </c>
      <c r="P289" s="212">
        <f t="shared" si="40"/>
        <v>0</v>
      </c>
      <c r="Q289" s="212">
        <f t="shared" si="41"/>
        <v>12</v>
      </c>
      <c r="R289" s="212">
        <f t="shared" si="42"/>
        <v>140.80000000000001</v>
      </c>
      <c r="S289" s="270" t="s">
        <v>1465</v>
      </c>
      <c r="T289" s="270" t="s">
        <v>1464</v>
      </c>
      <c r="U289" s="272">
        <v>180</v>
      </c>
      <c r="V289" s="272">
        <v>186</v>
      </c>
      <c r="W289" s="246">
        <v>44232</v>
      </c>
      <c r="X289" s="246">
        <v>44301</v>
      </c>
      <c r="Y289" s="245">
        <v>44316</v>
      </c>
      <c r="Z289" s="311">
        <f t="shared" si="35"/>
        <v>2021</v>
      </c>
      <c r="AA289" s="311">
        <f t="shared" si="36"/>
        <v>4</v>
      </c>
      <c r="AB289" s="243" t="s">
        <v>920</v>
      </c>
      <c r="AC289" s="243" t="s">
        <v>422</v>
      </c>
      <c r="AD289" s="243" t="s">
        <v>422</v>
      </c>
      <c r="AE289" s="243" t="s">
        <v>422</v>
      </c>
      <c r="AF289" s="243" t="s">
        <v>422</v>
      </c>
      <c r="AG289" s="243" t="s">
        <v>422</v>
      </c>
      <c r="AH289" s="243" t="s">
        <v>423</v>
      </c>
      <c r="AI289" s="243" t="s">
        <v>423</v>
      </c>
      <c r="AJ289" s="243" t="s">
        <v>423</v>
      </c>
      <c r="AK289" s="244" t="s">
        <v>1240</v>
      </c>
      <c r="AL289" s="241"/>
      <c r="AM289" s="241"/>
    </row>
    <row r="290" spans="1:39" ht="15" customHeight="1" x14ac:dyDescent="0.3">
      <c r="A290" s="185">
        <v>287</v>
      </c>
      <c r="B290" s="267" t="s">
        <v>1456</v>
      </c>
      <c r="C290" s="247" t="s">
        <v>1618</v>
      </c>
      <c r="D290" s="200" t="s">
        <v>1881</v>
      </c>
      <c r="E290" s="196" t="s">
        <v>1596</v>
      </c>
      <c r="F290" s="269" t="s">
        <v>1601</v>
      </c>
      <c r="G290" s="259" t="s">
        <v>1604</v>
      </c>
      <c r="H290" s="197" t="s">
        <v>422</v>
      </c>
      <c r="I290" s="197">
        <v>1.5</v>
      </c>
      <c r="J290" s="269">
        <v>13</v>
      </c>
      <c r="K290" s="317">
        <v>0</v>
      </c>
      <c r="L290" s="212">
        <v>1</v>
      </c>
      <c r="M290" s="212">
        <f t="shared" si="37"/>
        <v>15.5</v>
      </c>
      <c r="N290" s="212">
        <f t="shared" si="38"/>
        <v>12</v>
      </c>
      <c r="O290" s="212">
        <f t="shared" si="39"/>
        <v>52</v>
      </c>
      <c r="P290" s="212">
        <f t="shared" si="40"/>
        <v>0</v>
      </c>
      <c r="Q290" s="212">
        <f t="shared" si="41"/>
        <v>8</v>
      </c>
      <c r="R290" s="212">
        <f t="shared" si="42"/>
        <v>72</v>
      </c>
      <c r="S290" s="270" t="s">
        <v>1458</v>
      </c>
      <c r="T290" s="270" t="s">
        <v>1462</v>
      </c>
      <c r="U290" s="272">
        <v>60</v>
      </c>
      <c r="V290" s="272">
        <v>62</v>
      </c>
      <c r="W290" s="246">
        <v>44240</v>
      </c>
      <c r="X290" s="246">
        <v>44259</v>
      </c>
      <c r="Y290" s="245">
        <v>44316</v>
      </c>
      <c r="Z290" s="311">
        <f t="shared" si="35"/>
        <v>2021</v>
      </c>
      <c r="AA290" s="311">
        <f t="shared" si="36"/>
        <v>4</v>
      </c>
      <c r="AB290" s="243" t="s">
        <v>920</v>
      </c>
      <c r="AC290" s="243" t="s">
        <v>422</v>
      </c>
      <c r="AD290" s="243" t="s">
        <v>422</v>
      </c>
      <c r="AE290" s="243" t="s">
        <v>422</v>
      </c>
      <c r="AF290" s="243" t="s">
        <v>422</v>
      </c>
      <c r="AG290" s="243" t="s">
        <v>422</v>
      </c>
      <c r="AH290" s="243" t="s">
        <v>423</v>
      </c>
      <c r="AI290" s="243" t="s">
        <v>423</v>
      </c>
      <c r="AJ290" s="243" t="s">
        <v>423</v>
      </c>
      <c r="AK290" s="244" t="s">
        <v>140</v>
      </c>
      <c r="AL290" s="241"/>
      <c r="AM290" s="242" t="s">
        <v>1578</v>
      </c>
    </row>
    <row r="291" spans="1:39" ht="15" customHeight="1" x14ac:dyDescent="0.3">
      <c r="A291" s="185">
        <v>322</v>
      </c>
      <c r="B291" s="267" t="s">
        <v>1503</v>
      </c>
      <c r="C291" s="247" t="s">
        <v>1618</v>
      </c>
      <c r="D291" s="200" t="s">
        <v>1881</v>
      </c>
      <c r="E291" s="267"/>
      <c r="F291" s="269" t="s">
        <v>1601</v>
      </c>
      <c r="G291" s="196" t="s">
        <v>1604</v>
      </c>
      <c r="H291" s="248" t="s">
        <v>422</v>
      </c>
      <c r="I291" s="317">
        <v>1</v>
      </c>
      <c r="J291" s="317">
        <v>6.8</v>
      </c>
      <c r="K291" s="317">
        <v>0</v>
      </c>
      <c r="L291" s="212">
        <v>1</v>
      </c>
      <c r="M291" s="212">
        <f t="shared" si="37"/>
        <v>8.8000000000000007</v>
      </c>
      <c r="N291" s="212">
        <f t="shared" si="38"/>
        <v>8</v>
      </c>
      <c r="O291" s="212">
        <f t="shared" si="39"/>
        <v>27.2</v>
      </c>
      <c r="P291" s="212">
        <f t="shared" si="40"/>
        <v>0</v>
      </c>
      <c r="Q291" s="212">
        <f t="shared" si="41"/>
        <v>8</v>
      </c>
      <c r="R291" s="212">
        <f t="shared" si="42"/>
        <v>43.2</v>
      </c>
      <c r="S291" s="270" t="s">
        <v>1513</v>
      </c>
      <c r="T291" s="270" t="s">
        <v>1512</v>
      </c>
      <c r="U291" s="272">
        <f>60*4</f>
        <v>240</v>
      </c>
      <c r="V291" s="272">
        <f>62*4</f>
        <v>248</v>
      </c>
      <c r="W291" s="246">
        <v>44278</v>
      </c>
      <c r="X291" s="246">
        <v>44309</v>
      </c>
      <c r="Y291" s="245">
        <v>44316</v>
      </c>
      <c r="Z291" s="311">
        <f t="shared" si="35"/>
        <v>2021</v>
      </c>
      <c r="AA291" s="311">
        <f t="shared" si="36"/>
        <v>4</v>
      </c>
      <c r="AB291" s="243" t="s">
        <v>920</v>
      </c>
      <c r="AC291" s="243" t="s">
        <v>422</v>
      </c>
      <c r="AD291" s="243" t="s">
        <v>423</v>
      </c>
      <c r="AE291" s="243" t="s">
        <v>422</v>
      </c>
      <c r="AF291" s="243" t="s">
        <v>422</v>
      </c>
      <c r="AG291" s="243" t="s">
        <v>423</v>
      </c>
      <c r="AH291" s="243" t="s">
        <v>423</v>
      </c>
      <c r="AI291" s="243" t="s">
        <v>423</v>
      </c>
      <c r="AJ291" s="243" t="s">
        <v>423</v>
      </c>
      <c r="AK291" s="244" t="s">
        <v>1372</v>
      </c>
      <c r="AL291" s="241"/>
      <c r="AM291" s="241"/>
    </row>
    <row r="292" spans="1:39" ht="15" customHeight="1" x14ac:dyDescent="0.3">
      <c r="A292" s="185">
        <v>323</v>
      </c>
      <c r="B292" s="267" t="s">
        <v>1504</v>
      </c>
      <c r="C292" s="247" t="s">
        <v>1618</v>
      </c>
      <c r="D292" s="200" t="s">
        <v>1881</v>
      </c>
      <c r="E292" s="267"/>
      <c r="F292" s="269" t="s">
        <v>1601</v>
      </c>
      <c r="G292" s="196" t="s">
        <v>1604</v>
      </c>
      <c r="H292" s="248" t="s">
        <v>422</v>
      </c>
      <c r="I292" s="317">
        <v>1.2</v>
      </c>
      <c r="J292" s="317">
        <v>7.5</v>
      </c>
      <c r="K292" s="317">
        <v>0</v>
      </c>
      <c r="L292" s="212">
        <v>1.5</v>
      </c>
      <c r="M292" s="212">
        <f t="shared" si="37"/>
        <v>10.199999999999999</v>
      </c>
      <c r="N292" s="212">
        <f t="shared" si="38"/>
        <v>9.6</v>
      </c>
      <c r="O292" s="212">
        <f t="shared" si="39"/>
        <v>30</v>
      </c>
      <c r="P292" s="212">
        <f t="shared" si="40"/>
        <v>0</v>
      </c>
      <c r="Q292" s="212">
        <f t="shared" si="41"/>
        <v>12</v>
      </c>
      <c r="R292" s="212">
        <f t="shared" si="42"/>
        <v>51.6</v>
      </c>
      <c r="S292" s="270" t="s">
        <v>1514</v>
      </c>
      <c r="T292" s="270" t="s">
        <v>1515</v>
      </c>
      <c r="U292" s="272">
        <v>240</v>
      </c>
      <c r="V292" s="272">
        <f>62*4</f>
        <v>248</v>
      </c>
      <c r="W292" s="246">
        <v>44278</v>
      </c>
      <c r="X292" s="246">
        <v>44309</v>
      </c>
      <c r="Y292" s="245">
        <v>44316</v>
      </c>
      <c r="Z292" s="311">
        <f t="shared" si="35"/>
        <v>2021</v>
      </c>
      <c r="AA292" s="311">
        <f t="shared" si="36"/>
        <v>4</v>
      </c>
      <c r="AB292" s="243" t="s">
        <v>920</v>
      </c>
      <c r="AC292" s="243" t="s">
        <v>422</v>
      </c>
      <c r="AD292" s="243" t="s">
        <v>423</v>
      </c>
      <c r="AE292" s="243" t="s">
        <v>422</v>
      </c>
      <c r="AF292" s="243" t="s">
        <v>422</v>
      </c>
      <c r="AG292" s="243" t="s">
        <v>423</v>
      </c>
      <c r="AH292" s="243" t="s">
        <v>423</v>
      </c>
      <c r="AI292" s="243" t="s">
        <v>423</v>
      </c>
      <c r="AJ292" s="243" t="s">
        <v>423</v>
      </c>
      <c r="AK292" s="244" t="s">
        <v>1240</v>
      </c>
      <c r="AL292" s="241"/>
      <c r="AM292" s="241"/>
    </row>
    <row r="293" spans="1:39" ht="15" customHeight="1" x14ac:dyDescent="0.3">
      <c r="A293" s="185">
        <v>327</v>
      </c>
      <c r="B293" s="267" t="s">
        <v>1552</v>
      </c>
      <c r="C293" s="247" t="s">
        <v>1616</v>
      </c>
      <c r="D293" s="200" t="s">
        <v>1848</v>
      </c>
      <c r="E293" s="196" t="s">
        <v>1596</v>
      </c>
      <c r="F293" s="269" t="s">
        <v>1597</v>
      </c>
      <c r="G293" s="196" t="s">
        <v>1953</v>
      </c>
      <c r="H293" s="248" t="s">
        <v>422</v>
      </c>
      <c r="I293" s="317">
        <v>2</v>
      </c>
      <c r="J293" s="356">
        <v>9</v>
      </c>
      <c r="K293" s="356">
        <v>10</v>
      </c>
      <c r="L293" s="212">
        <v>1</v>
      </c>
      <c r="M293" s="212">
        <f t="shared" si="37"/>
        <v>22</v>
      </c>
      <c r="N293" s="212">
        <f t="shared" si="38"/>
        <v>16</v>
      </c>
      <c r="O293" s="212">
        <f t="shared" si="39"/>
        <v>36</v>
      </c>
      <c r="P293" s="212">
        <f t="shared" si="40"/>
        <v>66.666666666666671</v>
      </c>
      <c r="Q293" s="212">
        <f t="shared" si="41"/>
        <v>8</v>
      </c>
      <c r="R293" s="212">
        <f t="shared" si="42"/>
        <v>126.66666666666667</v>
      </c>
      <c r="S293" s="270" t="s">
        <v>1560</v>
      </c>
      <c r="T293" s="270" t="s">
        <v>1559</v>
      </c>
      <c r="U293" s="272">
        <v>7</v>
      </c>
      <c r="V293" s="272">
        <v>8</v>
      </c>
      <c r="W293" s="246">
        <v>44293</v>
      </c>
      <c r="X293" s="246">
        <v>44298</v>
      </c>
      <c r="Y293" s="245">
        <v>44316</v>
      </c>
      <c r="Z293" s="311">
        <f t="shared" si="35"/>
        <v>2021</v>
      </c>
      <c r="AA293" s="311">
        <f t="shared" si="36"/>
        <v>4</v>
      </c>
      <c r="AB293" s="243" t="s">
        <v>920</v>
      </c>
      <c r="AC293" s="243" t="s">
        <v>422</v>
      </c>
      <c r="AD293" s="243" t="s">
        <v>422</v>
      </c>
      <c r="AE293" s="243" t="s">
        <v>422</v>
      </c>
      <c r="AF293" s="243" t="s">
        <v>422</v>
      </c>
      <c r="AG293" s="243" t="s">
        <v>422</v>
      </c>
      <c r="AH293" s="243" t="s">
        <v>422</v>
      </c>
      <c r="AI293" s="243" t="s">
        <v>423</v>
      </c>
      <c r="AJ293" s="243" t="s">
        <v>423</v>
      </c>
      <c r="AK293" s="244" t="s">
        <v>1424</v>
      </c>
      <c r="AL293" s="241"/>
      <c r="AM293" s="242" t="s">
        <v>1581</v>
      </c>
    </row>
    <row r="294" spans="1:39" s="295" customFormat="1" ht="15" customHeight="1" x14ac:dyDescent="0.3">
      <c r="A294" s="185">
        <v>328</v>
      </c>
      <c r="B294" s="267" t="s">
        <v>1553</v>
      </c>
      <c r="C294" s="247" t="s">
        <v>1616</v>
      </c>
      <c r="D294" s="199" t="s">
        <v>1848</v>
      </c>
      <c r="E294" s="196" t="s">
        <v>1596</v>
      </c>
      <c r="F294" s="269" t="s">
        <v>1597</v>
      </c>
      <c r="G294" s="196" t="s">
        <v>1953</v>
      </c>
      <c r="H294" s="248">
        <v>12</v>
      </c>
      <c r="I294" s="317">
        <v>2</v>
      </c>
      <c r="J294" s="356">
        <v>9</v>
      </c>
      <c r="K294" s="356">
        <v>10</v>
      </c>
      <c r="L294" s="212">
        <v>1</v>
      </c>
      <c r="M294" s="212">
        <f t="shared" si="37"/>
        <v>22</v>
      </c>
      <c r="N294" s="212">
        <f t="shared" si="38"/>
        <v>16</v>
      </c>
      <c r="O294" s="212">
        <f t="shared" si="39"/>
        <v>36</v>
      </c>
      <c r="P294" s="212">
        <f t="shared" si="40"/>
        <v>66.666666666666671</v>
      </c>
      <c r="Q294" s="212">
        <f t="shared" si="41"/>
        <v>8</v>
      </c>
      <c r="R294" s="212">
        <f t="shared" si="42"/>
        <v>126.66666666666667</v>
      </c>
      <c r="S294" s="270" t="s">
        <v>1567</v>
      </c>
      <c r="T294" s="270" t="s">
        <v>1571</v>
      </c>
      <c r="U294" s="272">
        <v>7</v>
      </c>
      <c r="V294" s="272">
        <v>8</v>
      </c>
      <c r="W294" s="246">
        <v>44293</v>
      </c>
      <c r="X294" s="246">
        <v>44298</v>
      </c>
      <c r="Y294" s="245">
        <v>44316</v>
      </c>
      <c r="Z294" s="311">
        <f t="shared" si="35"/>
        <v>2021</v>
      </c>
      <c r="AA294" s="311">
        <f t="shared" si="36"/>
        <v>4</v>
      </c>
      <c r="AB294" s="243" t="s">
        <v>920</v>
      </c>
      <c r="AC294" s="243" t="s">
        <v>422</v>
      </c>
      <c r="AD294" s="243" t="s">
        <v>422</v>
      </c>
      <c r="AE294" s="243" t="s">
        <v>422</v>
      </c>
      <c r="AF294" s="243" t="s">
        <v>422</v>
      </c>
      <c r="AG294" s="243" t="s">
        <v>422</v>
      </c>
      <c r="AH294" s="243" t="s">
        <v>422</v>
      </c>
      <c r="AI294" s="243" t="s">
        <v>423</v>
      </c>
      <c r="AJ294" s="243" t="s">
        <v>423</v>
      </c>
      <c r="AK294" s="244" t="s">
        <v>1424</v>
      </c>
      <c r="AL294" s="241"/>
      <c r="AM294" s="242" t="s">
        <v>1581</v>
      </c>
    </row>
    <row r="295" spans="1:39" s="295" customFormat="1" ht="15" customHeight="1" x14ac:dyDescent="0.3">
      <c r="A295" s="185">
        <v>329</v>
      </c>
      <c r="B295" s="267" t="s">
        <v>1554</v>
      </c>
      <c r="C295" s="247" t="s">
        <v>1616</v>
      </c>
      <c r="D295" s="199" t="s">
        <v>1848</v>
      </c>
      <c r="E295" s="196" t="s">
        <v>1596</v>
      </c>
      <c r="F295" s="269" t="s">
        <v>1597</v>
      </c>
      <c r="G295" s="196" t="s">
        <v>1953</v>
      </c>
      <c r="H295" s="248" t="s">
        <v>422</v>
      </c>
      <c r="I295" s="317">
        <v>2</v>
      </c>
      <c r="J295" s="317">
        <v>9</v>
      </c>
      <c r="K295" s="356">
        <v>10</v>
      </c>
      <c r="L295" s="212">
        <v>1</v>
      </c>
      <c r="M295" s="212">
        <f t="shared" si="37"/>
        <v>22</v>
      </c>
      <c r="N295" s="212">
        <f t="shared" si="38"/>
        <v>16</v>
      </c>
      <c r="O295" s="212">
        <f t="shared" si="39"/>
        <v>36</v>
      </c>
      <c r="P295" s="212">
        <f t="shared" si="40"/>
        <v>66.666666666666671</v>
      </c>
      <c r="Q295" s="212">
        <f t="shared" si="41"/>
        <v>8</v>
      </c>
      <c r="R295" s="212">
        <f t="shared" si="42"/>
        <v>126.66666666666667</v>
      </c>
      <c r="S295" s="270" t="s">
        <v>1562</v>
      </c>
      <c r="T295" s="270" t="s">
        <v>1572</v>
      </c>
      <c r="U295" s="272">
        <v>7</v>
      </c>
      <c r="V295" s="272">
        <v>8</v>
      </c>
      <c r="W295" s="246">
        <v>44293</v>
      </c>
      <c r="X295" s="246">
        <v>44298</v>
      </c>
      <c r="Y295" s="245">
        <v>44316</v>
      </c>
      <c r="Z295" s="311">
        <f t="shared" si="35"/>
        <v>2021</v>
      </c>
      <c r="AA295" s="311">
        <f t="shared" si="36"/>
        <v>4</v>
      </c>
      <c r="AB295" s="243" t="s">
        <v>920</v>
      </c>
      <c r="AC295" s="243" t="s">
        <v>422</v>
      </c>
      <c r="AD295" s="243" t="s">
        <v>422</v>
      </c>
      <c r="AE295" s="243" t="s">
        <v>422</v>
      </c>
      <c r="AF295" s="243" t="s">
        <v>422</v>
      </c>
      <c r="AG295" s="243" t="s">
        <v>422</v>
      </c>
      <c r="AH295" s="243" t="s">
        <v>422</v>
      </c>
      <c r="AI295" s="243" t="s">
        <v>423</v>
      </c>
      <c r="AJ295" s="243" t="s">
        <v>423</v>
      </c>
      <c r="AK295" s="244" t="s">
        <v>1424</v>
      </c>
      <c r="AL295" s="241"/>
      <c r="AM295" s="242" t="s">
        <v>1581</v>
      </c>
    </row>
    <row r="296" spans="1:39" s="295" customFormat="1" ht="15" customHeight="1" x14ac:dyDescent="0.3">
      <c r="A296" s="185">
        <v>330</v>
      </c>
      <c r="B296" s="267" t="s">
        <v>1555</v>
      </c>
      <c r="C296" s="247" t="s">
        <v>1616</v>
      </c>
      <c r="D296" s="199" t="s">
        <v>1848</v>
      </c>
      <c r="E296" s="196" t="s">
        <v>1596</v>
      </c>
      <c r="F296" s="269" t="s">
        <v>1597</v>
      </c>
      <c r="G296" s="196" t="s">
        <v>1953</v>
      </c>
      <c r="H296" s="248"/>
      <c r="I296" s="317">
        <v>2</v>
      </c>
      <c r="J296" s="356">
        <v>9</v>
      </c>
      <c r="K296" s="356">
        <v>10</v>
      </c>
      <c r="L296" s="212">
        <v>1</v>
      </c>
      <c r="M296" s="212">
        <f t="shared" si="37"/>
        <v>22</v>
      </c>
      <c r="N296" s="212">
        <f t="shared" si="38"/>
        <v>16</v>
      </c>
      <c r="O296" s="212">
        <f t="shared" si="39"/>
        <v>36</v>
      </c>
      <c r="P296" s="212">
        <f t="shared" si="40"/>
        <v>66.666666666666671</v>
      </c>
      <c r="Q296" s="212">
        <f t="shared" si="41"/>
        <v>8</v>
      </c>
      <c r="R296" s="212">
        <f t="shared" si="42"/>
        <v>126.66666666666667</v>
      </c>
      <c r="S296" s="270" t="s">
        <v>1569</v>
      </c>
      <c r="T296" s="270" t="s">
        <v>1575</v>
      </c>
      <c r="U296" s="272">
        <v>7</v>
      </c>
      <c r="V296" s="272">
        <v>8</v>
      </c>
      <c r="W296" s="246">
        <v>44293</v>
      </c>
      <c r="X296" s="246">
        <v>44298</v>
      </c>
      <c r="Y296" s="245">
        <v>44316</v>
      </c>
      <c r="Z296" s="311">
        <f t="shared" si="35"/>
        <v>2021</v>
      </c>
      <c r="AA296" s="311">
        <f t="shared" si="36"/>
        <v>4</v>
      </c>
      <c r="AB296" s="243" t="s">
        <v>920</v>
      </c>
      <c r="AC296" s="243" t="s">
        <v>422</v>
      </c>
      <c r="AD296" s="243" t="s">
        <v>422</v>
      </c>
      <c r="AE296" s="243" t="s">
        <v>422</v>
      </c>
      <c r="AF296" s="243" t="s">
        <v>422</v>
      </c>
      <c r="AG296" s="243" t="s">
        <v>422</v>
      </c>
      <c r="AH296" s="243" t="s">
        <v>422</v>
      </c>
      <c r="AI296" s="243" t="s">
        <v>423</v>
      </c>
      <c r="AJ296" s="243" t="s">
        <v>423</v>
      </c>
      <c r="AK296" s="244"/>
      <c r="AL296" s="241"/>
      <c r="AM296" s="242" t="s">
        <v>1581</v>
      </c>
    </row>
    <row r="297" spans="1:39" s="295" customFormat="1" ht="15" customHeight="1" x14ac:dyDescent="0.3">
      <c r="A297" s="185">
        <v>331</v>
      </c>
      <c r="B297" s="267" t="s">
        <v>1556</v>
      </c>
      <c r="C297" s="247" t="s">
        <v>1616</v>
      </c>
      <c r="D297" s="199" t="s">
        <v>1848</v>
      </c>
      <c r="E297" s="196" t="s">
        <v>1596</v>
      </c>
      <c r="F297" s="269" t="s">
        <v>1597</v>
      </c>
      <c r="G297" s="196" t="s">
        <v>1953</v>
      </c>
      <c r="H297" s="248"/>
      <c r="I297" s="317">
        <v>2</v>
      </c>
      <c r="J297" s="356">
        <v>9</v>
      </c>
      <c r="K297" s="356">
        <v>10</v>
      </c>
      <c r="L297" s="212">
        <v>1</v>
      </c>
      <c r="M297" s="212">
        <f t="shared" si="37"/>
        <v>22</v>
      </c>
      <c r="N297" s="212">
        <f t="shared" si="38"/>
        <v>16</v>
      </c>
      <c r="O297" s="212">
        <f t="shared" si="39"/>
        <v>36</v>
      </c>
      <c r="P297" s="212">
        <f t="shared" si="40"/>
        <v>66.666666666666671</v>
      </c>
      <c r="Q297" s="212">
        <f t="shared" si="41"/>
        <v>8</v>
      </c>
      <c r="R297" s="212">
        <f t="shared" si="42"/>
        <v>126.66666666666667</v>
      </c>
      <c r="S297" s="270" t="s">
        <v>1568</v>
      </c>
      <c r="T297" s="270" t="s">
        <v>1574</v>
      </c>
      <c r="U297" s="272">
        <v>7</v>
      </c>
      <c r="V297" s="272">
        <v>8</v>
      </c>
      <c r="W297" s="246">
        <v>44293</v>
      </c>
      <c r="X297" s="246">
        <v>44298</v>
      </c>
      <c r="Y297" s="245">
        <v>44316</v>
      </c>
      <c r="Z297" s="311">
        <f t="shared" si="35"/>
        <v>2021</v>
      </c>
      <c r="AA297" s="311">
        <f t="shared" si="36"/>
        <v>4</v>
      </c>
      <c r="AB297" s="243" t="s">
        <v>920</v>
      </c>
      <c r="AC297" s="243" t="s">
        <v>422</v>
      </c>
      <c r="AD297" s="243" t="s">
        <v>422</v>
      </c>
      <c r="AE297" s="243" t="s">
        <v>422</v>
      </c>
      <c r="AF297" s="243" t="s">
        <v>422</v>
      </c>
      <c r="AG297" s="243" t="s">
        <v>422</v>
      </c>
      <c r="AH297" s="243" t="s">
        <v>422</v>
      </c>
      <c r="AI297" s="243" t="s">
        <v>422</v>
      </c>
      <c r="AJ297" s="243" t="s">
        <v>423</v>
      </c>
      <c r="AK297" s="244"/>
      <c r="AL297" s="241"/>
      <c r="AM297" s="242" t="s">
        <v>1581</v>
      </c>
    </row>
    <row r="298" spans="1:39" s="295" customFormat="1" ht="15" customHeight="1" x14ac:dyDescent="0.3">
      <c r="A298" s="185">
        <v>332</v>
      </c>
      <c r="B298" s="267" t="s">
        <v>1557</v>
      </c>
      <c r="C298" s="247" t="s">
        <v>1616</v>
      </c>
      <c r="D298" s="199" t="s">
        <v>1848</v>
      </c>
      <c r="E298" s="196" t="s">
        <v>1596</v>
      </c>
      <c r="F298" s="269" t="s">
        <v>1597</v>
      </c>
      <c r="G298" s="196" t="s">
        <v>1953</v>
      </c>
      <c r="H298" s="248" t="s">
        <v>422</v>
      </c>
      <c r="I298" s="317">
        <v>2</v>
      </c>
      <c r="J298" s="317">
        <v>5.5</v>
      </c>
      <c r="K298" s="356">
        <v>6</v>
      </c>
      <c r="L298" s="212">
        <v>1</v>
      </c>
      <c r="M298" s="212">
        <f t="shared" si="37"/>
        <v>14.5</v>
      </c>
      <c r="N298" s="212">
        <f t="shared" si="38"/>
        <v>16</v>
      </c>
      <c r="O298" s="212">
        <f t="shared" si="39"/>
        <v>22</v>
      </c>
      <c r="P298" s="212">
        <f t="shared" si="40"/>
        <v>40</v>
      </c>
      <c r="Q298" s="212">
        <f t="shared" si="41"/>
        <v>8</v>
      </c>
      <c r="R298" s="212">
        <f t="shared" si="42"/>
        <v>86</v>
      </c>
      <c r="S298" s="270" t="s">
        <v>1563</v>
      </c>
      <c r="T298" s="270" t="s">
        <v>1573</v>
      </c>
      <c r="U298" s="272">
        <v>7</v>
      </c>
      <c r="V298" s="272">
        <v>8</v>
      </c>
      <c r="W298" s="246">
        <v>44293</v>
      </c>
      <c r="X298" s="246">
        <v>44298</v>
      </c>
      <c r="Y298" s="245">
        <v>44316</v>
      </c>
      <c r="Z298" s="311">
        <f t="shared" si="35"/>
        <v>2021</v>
      </c>
      <c r="AA298" s="311">
        <f t="shared" si="36"/>
        <v>4</v>
      </c>
      <c r="AB298" s="243" t="s">
        <v>920</v>
      </c>
      <c r="AC298" s="243" t="s">
        <v>422</v>
      </c>
      <c r="AD298" s="243" t="s">
        <v>422</v>
      </c>
      <c r="AE298" s="243" t="s">
        <v>422</v>
      </c>
      <c r="AF298" s="243" t="s">
        <v>422</v>
      </c>
      <c r="AG298" s="243" t="s">
        <v>423</v>
      </c>
      <c r="AH298" s="243" t="s">
        <v>422</v>
      </c>
      <c r="AI298" s="243" t="s">
        <v>423</v>
      </c>
      <c r="AJ298" s="243" t="s">
        <v>423</v>
      </c>
      <c r="AK298" s="244" t="s">
        <v>1424</v>
      </c>
      <c r="AL298" s="241"/>
      <c r="AM298" s="242" t="s">
        <v>1581</v>
      </c>
    </row>
    <row r="299" spans="1:39" s="295" customFormat="1" ht="15" customHeight="1" x14ac:dyDescent="0.3">
      <c r="A299" s="185">
        <v>333</v>
      </c>
      <c r="B299" s="267" t="s">
        <v>1558</v>
      </c>
      <c r="C299" s="247" t="s">
        <v>1616</v>
      </c>
      <c r="D299" s="199" t="s">
        <v>1848</v>
      </c>
      <c r="E299" s="196" t="s">
        <v>1596</v>
      </c>
      <c r="F299" s="269" t="s">
        <v>1597</v>
      </c>
      <c r="G299" s="196" t="s">
        <v>1953</v>
      </c>
      <c r="H299" s="248" t="s">
        <v>422</v>
      </c>
      <c r="I299" s="317">
        <v>1</v>
      </c>
      <c r="J299" s="317">
        <v>3.5</v>
      </c>
      <c r="K299" s="356">
        <v>5</v>
      </c>
      <c r="L299" s="212">
        <v>0.5</v>
      </c>
      <c r="M299" s="212">
        <f t="shared" si="37"/>
        <v>10</v>
      </c>
      <c r="N299" s="212">
        <f t="shared" si="38"/>
        <v>8</v>
      </c>
      <c r="O299" s="212">
        <f t="shared" si="39"/>
        <v>14</v>
      </c>
      <c r="P299" s="212">
        <f t="shared" si="40"/>
        <v>33.333333333333336</v>
      </c>
      <c r="Q299" s="212">
        <f t="shared" si="41"/>
        <v>4</v>
      </c>
      <c r="R299" s="212">
        <f t="shared" si="42"/>
        <v>59.333333333333336</v>
      </c>
      <c r="S299" s="270" t="s">
        <v>1564</v>
      </c>
      <c r="T299" s="270" t="s">
        <v>1576</v>
      </c>
      <c r="U299" s="272">
        <v>7</v>
      </c>
      <c r="V299" s="272">
        <v>8</v>
      </c>
      <c r="W299" s="246">
        <v>44293</v>
      </c>
      <c r="X299" s="246">
        <v>44298</v>
      </c>
      <c r="Y299" s="245">
        <v>44316</v>
      </c>
      <c r="Z299" s="311">
        <f t="shared" si="35"/>
        <v>2021</v>
      </c>
      <c r="AA299" s="311">
        <f t="shared" si="36"/>
        <v>4</v>
      </c>
      <c r="AB299" s="243" t="s">
        <v>920</v>
      </c>
      <c r="AC299" s="243" t="s">
        <v>422</v>
      </c>
      <c r="AD299" s="243" t="s">
        <v>422</v>
      </c>
      <c r="AE299" s="243" t="s">
        <v>422</v>
      </c>
      <c r="AF299" s="243" t="s">
        <v>422</v>
      </c>
      <c r="AG299" s="243" t="s">
        <v>423</v>
      </c>
      <c r="AH299" s="243" t="s">
        <v>422</v>
      </c>
      <c r="AI299" s="243" t="s">
        <v>423</v>
      </c>
      <c r="AJ299" s="243" t="s">
        <v>423</v>
      </c>
      <c r="AK299" s="244" t="s">
        <v>1424</v>
      </c>
      <c r="AL299" s="241"/>
      <c r="AM299" s="242" t="s">
        <v>1581</v>
      </c>
    </row>
    <row r="300" spans="1:39" s="295" customFormat="1" ht="15" customHeight="1" x14ac:dyDescent="0.3">
      <c r="A300" s="185">
        <v>334</v>
      </c>
      <c r="B300" s="267" t="s">
        <v>1561</v>
      </c>
      <c r="C300" s="247" t="s">
        <v>1616</v>
      </c>
      <c r="D300" s="199" t="s">
        <v>1848</v>
      </c>
      <c r="E300" s="196" t="s">
        <v>1596</v>
      </c>
      <c r="F300" s="269" t="s">
        <v>1597</v>
      </c>
      <c r="G300" s="196" t="s">
        <v>1953</v>
      </c>
      <c r="H300" s="248"/>
      <c r="I300" s="317">
        <v>1</v>
      </c>
      <c r="J300" s="356">
        <v>2.5</v>
      </c>
      <c r="K300" s="356">
        <v>5</v>
      </c>
      <c r="L300" s="212">
        <v>0.5</v>
      </c>
      <c r="M300" s="212">
        <f t="shared" si="37"/>
        <v>9</v>
      </c>
      <c r="N300" s="212">
        <f t="shared" si="38"/>
        <v>8</v>
      </c>
      <c r="O300" s="212">
        <f t="shared" si="39"/>
        <v>10</v>
      </c>
      <c r="P300" s="212">
        <f t="shared" si="40"/>
        <v>33.333333333333336</v>
      </c>
      <c r="Q300" s="212">
        <f t="shared" si="41"/>
        <v>4</v>
      </c>
      <c r="R300" s="212">
        <f t="shared" si="42"/>
        <v>55.333333333333336</v>
      </c>
      <c r="S300" s="270" t="s">
        <v>1565</v>
      </c>
      <c r="T300" s="270" t="s">
        <v>1816</v>
      </c>
      <c r="U300" s="272">
        <v>7</v>
      </c>
      <c r="V300" s="272">
        <v>8</v>
      </c>
      <c r="W300" s="246">
        <v>44293</v>
      </c>
      <c r="X300" s="246">
        <v>44298</v>
      </c>
      <c r="Y300" s="245">
        <v>44316</v>
      </c>
      <c r="Z300" s="311">
        <f t="shared" si="35"/>
        <v>2021</v>
      </c>
      <c r="AA300" s="311">
        <f t="shared" si="36"/>
        <v>4</v>
      </c>
      <c r="AB300" s="243" t="s">
        <v>920</v>
      </c>
      <c r="AC300" s="243" t="s">
        <v>422</v>
      </c>
      <c r="AD300" s="243" t="s">
        <v>422</v>
      </c>
      <c r="AE300" s="243" t="s">
        <v>422</v>
      </c>
      <c r="AF300" s="243" t="s">
        <v>422</v>
      </c>
      <c r="AG300" s="243" t="s">
        <v>423</v>
      </c>
      <c r="AH300" s="243" t="s">
        <v>422</v>
      </c>
      <c r="AI300" s="243" t="s">
        <v>423</v>
      </c>
      <c r="AJ300" s="243" t="s">
        <v>423</v>
      </c>
      <c r="AK300" s="244"/>
      <c r="AL300" s="241"/>
      <c r="AM300" s="242" t="s">
        <v>1581</v>
      </c>
    </row>
    <row r="301" spans="1:39" s="295" customFormat="1" ht="15" customHeight="1" x14ac:dyDescent="0.3">
      <c r="A301" s="185">
        <v>335</v>
      </c>
      <c r="B301" s="267" t="s">
        <v>1570</v>
      </c>
      <c r="C301" s="247" t="s">
        <v>1616</v>
      </c>
      <c r="D301" s="199" t="s">
        <v>1848</v>
      </c>
      <c r="E301" s="196" t="s">
        <v>1596</v>
      </c>
      <c r="F301" s="269" t="s">
        <v>1597</v>
      </c>
      <c r="G301" s="196" t="s">
        <v>1953</v>
      </c>
      <c r="H301" s="248"/>
      <c r="I301" s="317">
        <v>1</v>
      </c>
      <c r="J301" s="356">
        <v>2.5</v>
      </c>
      <c r="K301" s="356">
        <v>5</v>
      </c>
      <c r="L301" s="212">
        <v>0.5</v>
      </c>
      <c r="M301" s="212">
        <f t="shared" si="37"/>
        <v>9</v>
      </c>
      <c r="N301" s="212">
        <f t="shared" si="38"/>
        <v>8</v>
      </c>
      <c r="O301" s="212">
        <f t="shared" si="39"/>
        <v>10</v>
      </c>
      <c r="P301" s="212">
        <f t="shared" si="40"/>
        <v>33.333333333333336</v>
      </c>
      <c r="Q301" s="212">
        <f t="shared" si="41"/>
        <v>4</v>
      </c>
      <c r="R301" s="212">
        <f t="shared" si="42"/>
        <v>55.333333333333336</v>
      </c>
      <c r="S301" s="270" t="s">
        <v>1566</v>
      </c>
      <c r="T301" s="270" t="s">
        <v>1577</v>
      </c>
      <c r="U301" s="272">
        <v>7</v>
      </c>
      <c r="V301" s="272">
        <v>8</v>
      </c>
      <c r="W301" s="246">
        <v>44293</v>
      </c>
      <c r="X301" s="246">
        <v>44298</v>
      </c>
      <c r="Y301" s="245">
        <v>44316</v>
      </c>
      <c r="Z301" s="311">
        <f t="shared" si="35"/>
        <v>2021</v>
      </c>
      <c r="AA301" s="311">
        <f t="shared" si="36"/>
        <v>4</v>
      </c>
      <c r="AB301" s="243" t="s">
        <v>920</v>
      </c>
      <c r="AC301" s="243" t="s">
        <v>422</v>
      </c>
      <c r="AD301" s="243" t="s">
        <v>422</v>
      </c>
      <c r="AE301" s="243" t="s">
        <v>422</v>
      </c>
      <c r="AF301" s="243" t="s">
        <v>422</v>
      </c>
      <c r="AG301" s="243" t="s">
        <v>423</v>
      </c>
      <c r="AH301" s="243" t="s">
        <v>422</v>
      </c>
      <c r="AI301" s="243" t="s">
        <v>423</v>
      </c>
      <c r="AJ301" s="243" t="s">
        <v>423</v>
      </c>
      <c r="AK301" s="244"/>
      <c r="AL301" s="241"/>
      <c r="AM301" s="242" t="s">
        <v>1581</v>
      </c>
    </row>
    <row r="302" spans="1:39" s="295" customFormat="1" ht="15" customHeight="1" x14ac:dyDescent="0.3">
      <c r="A302" s="185">
        <v>274</v>
      </c>
      <c r="B302" s="267" t="s">
        <v>1409</v>
      </c>
      <c r="C302" s="247" t="s">
        <v>1621</v>
      </c>
      <c r="D302" s="199" t="s">
        <v>1850</v>
      </c>
      <c r="E302" s="267" t="s">
        <v>422</v>
      </c>
      <c r="F302" s="269" t="s">
        <v>1599</v>
      </c>
      <c r="G302" s="259" t="s">
        <v>1604</v>
      </c>
      <c r="H302" s="248" t="s">
        <v>422</v>
      </c>
      <c r="I302" s="317">
        <v>1</v>
      </c>
      <c r="J302" s="317">
        <v>5</v>
      </c>
      <c r="K302" s="317">
        <v>0</v>
      </c>
      <c r="L302" s="212">
        <v>1</v>
      </c>
      <c r="M302" s="212">
        <f t="shared" si="37"/>
        <v>7</v>
      </c>
      <c r="N302" s="212">
        <f t="shared" si="38"/>
        <v>8</v>
      </c>
      <c r="O302" s="212">
        <f t="shared" si="39"/>
        <v>20</v>
      </c>
      <c r="P302" s="212">
        <f t="shared" si="40"/>
        <v>0</v>
      </c>
      <c r="Q302" s="212">
        <f t="shared" si="41"/>
        <v>8</v>
      </c>
      <c r="R302" s="212">
        <f t="shared" si="42"/>
        <v>36</v>
      </c>
      <c r="S302" s="270" t="s">
        <v>1419</v>
      </c>
      <c r="T302" s="270" t="s">
        <v>1422</v>
      </c>
      <c r="U302" s="272">
        <v>32</v>
      </c>
      <c r="V302" s="272">
        <v>32</v>
      </c>
      <c r="W302" s="246">
        <v>44176</v>
      </c>
      <c r="X302" s="246">
        <v>44179</v>
      </c>
      <c r="Y302" s="245">
        <v>44320</v>
      </c>
      <c r="Z302" s="311">
        <f t="shared" si="35"/>
        <v>2021</v>
      </c>
      <c r="AA302" s="311">
        <f t="shared" si="36"/>
        <v>5</v>
      </c>
      <c r="AB302" s="243" t="s">
        <v>920</v>
      </c>
      <c r="AC302" s="243" t="s">
        <v>422</v>
      </c>
      <c r="AD302" s="243" t="s">
        <v>423</v>
      </c>
      <c r="AE302" s="243" t="s">
        <v>422</v>
      </c>
      <c r="AF302" s="243" t="s">
        <v>422</v>
      </c>
      <c r="AG302" s="243" t="s">
        <v>423</v>
      </c>
      <c r="AH302" s="243" t="s">
        <v>423</v>
      </c>
      <c r="AI302" s="243" t="s">
        <v>423</v>
      </c>
      <c r="AJ302" s="243" t="s">
        <v>423</v>
      </c>
      <c r="AK302" s="244" t="s">
        <v>1424</v>
      </c>
      <c r="AL302" s="241"/>
      <c r="AM302" s="241"/>
    </row>
    <row r="303" spans="1:39" s="295" customFormat="1" ht="15" customHeight="1" x14ac:dyDescent="0.3">
      <c r="A303" s="185">
        <v>275</v>
      </c>
      <c r="B303" s="267" t="s">
        <v>1410</v>
      </c>
      <c r="C303" s="247" t="s">
        <v>1621</v>
      </c>
      <c r="D303" s="199" t="s">
        <v>1850</v>
      </c>
      <c r="E303" s="267" t="s">
        <v>422</v>
      </c>
      <c r="F303" s="269" t="s">
        <v>1599</v>
      </c>
      <c r="G303" s="259" t="s">
        <v>1604</v>
      </c>
      <c r="H303" s="248" t="s">
        <v>422</v>
      </c>
      <c r="I303" s="317">
        <v>1</v>
      </c>
      <c r="J303" s="317">
        <v>6</v>
      </c>
      <c r="K303" s="317">
        <v>0</v>
      </c>
      <c r="L303" s="212">
        <v>1</v>
      </c>
      <c r="M303" s="212">
        <f t="shared" si="37"/>
        <v>8</v>
      </c>
      <c r="N303" s="212">
        <f t="shared" si="38"/>
        <v>8</v>
      </c>
      <c r="O303" s="212">
        <f t="shared" si="39"/>
        <v>24</v>
      </c>
      <c r="P303" s="212">
        <f t="shared" si="40"/>
        <v>0</v>
      </c>
      <c r="Q303" s="212">
        <f t="shared" si="41"/>
        <v>8</v>
      </c>
      <c r="R303" s="212">
        <f t="shared" si="42"/>
        <v>40</v>
      </c>
      <c r="S303" s="270" t="s">
        <v>1420</v>
      </c>
      <c r="T303" s="270" t="s">
        <v>1423</v>
      </c>
      <c r="U303" s="272">
        <v>32</v>
      </c>
      <c r="V303" s="272">
        <v>32</v>
      </c>
      <c r="W303" s="246">
        <v>44176</v>
      </c>
      <c r="X303" s="246">
        <v>44179</v>
      </c>
      <c r="Y303" s="245">
        <v>44320</v>
      </c>
      <c r="Z303" s="311">
        <f t="shared" si="35"/>
        <v>2021</v>
      </c>
      <c r="AA303" s="311">
        <f t="shared" si="36"/>
        <v>5</v>
      </c>
      <c r="AB303" s="243" t="s">
        <v>920</v>
      </c>
      <c r="AC303" s="243" t="s">
        <v>422</v>
      </c>
      <c r="AD303" s="243" t="s">
        <v>423</v>
      </c>
      <c r="AE303" s="243" t="s">
        <v>422</v>
      </c>
      <c r="AF303" s="243" t="s">
        <v>422</v>
      </c>
      <c r="AG303" s="243" t="s">
        <v>423</v>
      </c>
      <c r="AH303" s="243" t="s">
        <v>423</v>
      </c>
      <c r="AI303" s="243" t="s">
        <v>423</v>
      </c>
      <c r="AJ303" s="243" t="s">
        <v>423</v>
      </c>
      <c r="AK303" s="244" t="s">
        <v>1424</v>
      </c>
      <c r="AL303" s="241"/>
      <c r="AM303" s="241"/>
    </row>
    <row r="304" spans="1:39" s="295" customFormat="1" ht="15" customHeight="1" x14ac:dyDescent="0.3">
      <c r="A304" s="185">
        <v>276</v>
      </c>
      <c r="B304" s="267" t="s">
        <v>1411</v>
      </c>
      <c r="C304" s="247" t="s">
        <v>1621</v>
      </c>
      <c r="D304" s="199" t="s">
        <v>1851</v>
      </c>
      <c r="E304" s="267" t="s">
        <v>422</v>
      </c>
      <c r="F304" s="269" t="s">
        <v>1599</v>
      </c>
      <c r="G304" s="259" t="s">
        <v>1604</v>
      </c>
      <c r="H304" s="248" t="s">
        <v>422</v>
      </c>
      <c r="I304" s="317">
        <v>1</v>
      </c>
      <c r="J304" s="317">
        <v>7</v>
      </c>
      <c r="K304" s="317">
        <v>0</v>
      </c>
      <c r="L304" s="212">
        <v>1.5</v>
      </c>
      <c r="M304" s="212">
        <f t="shared" si="37"/>
        <v>9.5</v>
      </c>
      <c r="N304" s="212">
        <f t="shared" si="38"/>
        <v>8</v>
      </c>
      <c r="O304" s="212">
        <f t="shared" si="39"/>
        <v>28</v>
      </c>
      <c r="P304" s="212">
        <f t="shared" si="40"/>
        <v>0</v>
      </c>
      <c r="Q304" s="212">
        <f t="shared" si="41"/>
        <v>12</v>
      </c>
      <c r="R304" s="212">
        <f t="shared" si="42"/>
        <v>48</v>
      </c>
      <c r="S304" s="270" t="s">
        <v>1421</v>
      </c>
      <c r="T304" s="270" t="s">
        <v>1425</v>
      </c>
      <c r="U304" s="272">
        <v>41</v>
      </c>
      <c r="V304" s="272">
        <v>41</v>
      </c>
      <c r="W304" s="246">
        <v>44176</v>
      </c>
      <c r="X304" s="246">
        <v>44179</v>
      </c>
      <c r="Y304" s="245">
        <v>44320</v>
      </c>
      <c r="Z304" s="311">
        <f t="shared" si="35"/>
        <v>2021</v>
      </c>
      <c r="AA304" s="311">
        <f t="shared" si="36"/>
        <v>5</v>
      </c>
      <c r="AB304" s="243" t="s">
        <v>920</v>
      </c>
      <c r="AC304" s="243" t="s">
        <v>422</v>
      </c>
      <c r="AD304" s="243" t="s">
        <v>423</v>
      </c>
      <c r="AE304" s="243" t="s">
        <v>422</v>
      </c>
      <c r="AF304" s="243" t="s">
        <v>422</v>
      </c>
      <c r="AG304" s="243" t="s">
        <v>423</v>
      </c>
      <c r="AH304" s="243" t="s">
        <v>423</v>
      </c>
      <c r="AI304" s="243" t="s">
        <v>423</v>
      </c>
      <c r="AJ304" s="243" t="s">
        <v>423</v>
      </c>
      <c r="AK304" s="244" t="s">
        <v>1424</v>
      </c>
      <c r="AL304" s="241"/>
      <c r="AM304" s="241"/>
    </row>
    <row r="305" spans="1:39" s="295" customFormat="1" ht="15" customHeight="1" x14ac:dyDescent="0.3">
      <c r="A305" s="185">
        <v>312</v>
      </c>
      <c r="B305" s="267" t="s">
        <v>1486</v>
      </c>
      <c r="C305" s="247" t="s">
        <v>1615</v>
      </c>
      <c r="D305" s="199" t="s">
        <v>1881</v>
      </c>
      <c r="E305" s="196" t="s">
        <v>1596</v>
      </c>
      <c r="F305" s="269" t="s">
        <v>1601</v>
      </c>
      <c r="G305" s="196" t="s">
        <v>1604</v>
      </c>
      <c r="H305" s="248" t="s">
        <v>422</v>
      </c>
      <c r="I305" s="317">
        <v>2</v>
      </c>
      <c r="J305" s="317">
        <v>13.5</v>
      </c>
      <c r="K305" s="317">
        <v>0</v>
      </c>
      <c r="L305" s="212">
        <v>1</v>
      </c>
      <c r="M305" s="212">
        <f t="shared" si="37"/>
        <v>16.5</v>
      </c>
      <c r="N305" s="212">
        <f t="shared" si="38"/>
        <v>16</v>
      </c>
      <c r="O305" s="212">
        <f t="shared" si="39"/>
        <v>54</v>
      </c>
      <c r="P305" s="212">
        <f t="shared" si="40"/>
        <v>0</v>
      </c>
      <c r="Q305" s="212">
        <f t="shared" si="41"/>
        <v>8</v>
      </c>
      <c r="R305" s="212">
        <f t="shared" si="42"/>
        <v>78</v>
      </c>
      <c r="S305" s="270" t="s">
        <v>1487</v>
      </c>
      <c r="T305" s="270" t="s">
        <v>1488</v>
      </c>
      <c r="U305" s="272">
        <v>120</v>
      </c>
      <c r="V305" s="272">
        <v>122</v>
      </c>
      <c r="W305" s="246">
        <v>44256</v>
      </c>
      <c r="X305" s="246">
        <v>44317</v>
      </c>
      <c r="Y305" s="245">
        <v>44354</v>
      </c>
      <c r="Z305" s="311">
        <f t="shared" si="35"/>
        <v>2021</v>
      </c>
      <c r="AA305" s="311">
        <f t="shared" si="36"/>
        <v>6</v>
      </c>
      <c r="AB305" s="305" t="s">
        <v>920</v>
      </c>
      <c r="AC305" s="243" t="s">
        <v>422</v>
      </c>
      <c r="AD305" s="243" t="s">
        <v>422</v>
      </c>
      <c r="AE305" s="243" t="s">
        <v>422</v>
      </c>
      <c r="AF305" s="243" t="s">
        <v>422</v>
      </c>
      <c r="AG305" s="243" t="s">
        <v>422</v>
      </c>
      <c r="AH305" s="243" t="s">
        <v>423</v>
      </c>
      <c r="AI305" s="243" t="s">
        <v>423</v>
      </c>
      <c r="AJ305" s="243" t="s">
        <v>423</v>
      </c>
      <c r="AK305" s="244" t="s">
        <v>140</v>
      </c>
      <c r="AL305" s="241"/>
      <c r="AM305" s="241"/>
    </row>
    <row r="306" spans="1:39" s="295" customFormat="1" ht="15" customHeight="1" x14ac:dyDescent="0.3">
      <c r="A306" s="185">
        <v>313</v>
      </c>
      <c r="B306" s="267" t="s">
        <v>1485</v>
      </c>
      <c r="C306" s="247" t="s">
        <v>1615</v>
      </c>
      <c r="D306" s="199" t="s">
        <v>1881</v>
      </c>
      <c r="E306" s="267"/>
      <c r="F306" s="269" t="s">
        <v>1597</v>
      </c>
      <c r="G306" s="196" t="s">
        <v>1604</v>
      </c>
      <c r="H306" s="248" t="s">
        <v>422</v>
      </c>
      <c r="I306" s="356">
        <v>2</v>
      </c>
      <c r="J306" s="317">
        <v>13</v>
      </c>
      <c r="K306" s="317">
        <v>0</v>
      </c>
      <c r="L306" s="212">
        <v>1</v>
      </c>
      <c r="M306" s="212">
        <f t="shared" si="37"/>
        <v>16</v>
      </c>
      <c r="N306" s="212">
        <f t="shared" si="38"/>
        <v>16</v>
      </c>
      <c r="O306" s="212">
        <f t="shared" si="39"/>
        <v>52</v>
      </c>
      <c r="P306" s="212">
        <f t="shared" si="40"/>
        <v>0</v>
      </c>
      <c r="Q306" s="212">
        <f t="shared" si="41"/>
        <v>8</v>
      </c>
      <c r="R306" s="212">
        <f t="shared" si="42"/>
        <v>76</v>
      </c>
      <c r="S306" s="270" t="s">
        <v>1489</v>
      </c>
      <c r="T306" s="270" t="s">
        <v>1490</v>
      </c>
      <c r="U306" s="272">
        <v>52</v>
      </c>
      <c r="V306" s="272">
        <v>52</v>
      </c>
      <c r="W306" s="246">
        <v>44267</v>
      </c>
      <c r="X306" s="246">
        <v>44300</v>
      </c>
      <c r="Y306" s="245">
        <v>44354</v>
      </c>
      <c r="Z306" s="311">
        <f t="shared" si="35"/>
        <v>2021</v>
      </c>
      <c r="AA306" s="311">
        <f t="shared" si="36"/>
        <v>6</v>
      </c>
      <c r="AB306" s="305" t="s">
        <v>920</v>
      </c>
      <c r="AC306" s="243" t="s">
        <v>422</v>
      </c>
      <c r="AD306" s="243" t="s">
        <v>423</v>
      </c>
      <c r="AE306" s="243" t="s">
        <v>422</v>
      </c>
      <c r="AF306" s="243" t="s">
        <v>422</v>
      </c>
      <c r="AG306" s="243" t="s">
        <v>422</v>
      </c>
      <c r="AH306" s="243" t="s">
        <v>423</v>
      </c>
      <c r="AI306" s="243" t="s">
        <v>423</v>
      </c>
      <c r="AJ306" s="243" t="s">
        <v>423</v>
      </c>
      <c r="AK306" s="244" t="s">
        <v>491</v>
      </c>
      <c r="AL306" s="241"/>
      <c r="AM306" s="241"/>
    </row>
    <row r="307" spans="1:39" s="295" customFormat="1" ht="15" customHeight="1" x14ac:dyDescent="0.3">
      <c r="A307" s="185">
        <v>314</v>
      </c>
      <c r="B307" s="267" t="s">
        <v>1493</v>
      </c>
      <c r="C307" s="247" t="s">
        <v>1615</v>
      </c>
      <c r="D307" s="199" t="s">
        <v>1881</v>
      </c>
      <c r="E307" s="267"/>
      <c r="F307" s="269" t="s">
        <v>1597</v>
      </c>
      <c r="G307" s="196" t="s">
        <v>1604</v>
      </c>
      <c r="H307" s="248" t="s">
        <v>422</v>
      </c>
      <c r="I307" s="356">
        <v>2</v>
      </c>
      <c r="J307" s="317">
        <v>4.7</v>
      </c>
      <c r="K307" s="317">
        <v>0</v>
      </c>
      <c r="L307" s="212">
        <v>1</v>
      </c>
      <c r="M307" s="212">
        <f t="shared" si="37"/>
        <v>7.7</v>
      </c>
      <c r="N307" s="212">
        <f t="shared" si="38"/>
        <v>16</v>
      </c>
      <c r="O307" s="212">
        <f t="shared" si="39"/>
        <v>18.8</v>
      </c>
      <c r="P307" s="212">
        <f t="shared" si="40"/>
        <v>0</v>
      </c>
      <c r="Q307" s="212">
        <f t="shared" si="41"/>
        <v>8</v>
      </c>
      <c r="R307" s="212">
        <f t="shared" si="42"/>
        <v>42.8</v>
      </c>
      <c r="S307" s="270" t="s">
        <v>1491</v>
      </c>
      <c r="T307" s="270" t="s">
        <v>1492</v>
      </c>
      <c r="U307" s="272">
        <v>42</v>
      </c>
      <c r="V307" s="272">
        <v>44</v>
      </c>
      <c r="W307" s="246">
        <v>44267</v>
      </c>
      <c r="X307" s="246">
        <v>44300</v>
      </c>
      <c r="Y307" s="245">
        <v>44354</v>
      </c>
      <c r="Z307" s="311">
        <f t="shared" si="35"/>
        <v>2021</v>
      </c>
      <c r="AA307" s="311">
        <f t="shared" si="36"/>
        <v>6</v>
      </c>
      <c r="AB307" s="305" t="s">
        <v>920</v>
      </c>
      <c r="AC307" s="243" t="s">
        <v>422</v>
      </c>
      <c r="AD307" s="243" t="s">
        <v>423</v>
      </c>
      <c r="AE307" s="243" t="s">
        <v>422</v>
      </c>
      <c r="AF307" s="243" t="s">
        <v>422</v>
      </c>
      <c r="AG307" s="243" t="s">
        <v>423</v>
      </c>
      <c r="AH307" s="243" t="s">
        <v>423</v>
      </c>
      <c r="AI307" s="243" t="s">
        <v>423</v>
      </c>
      <c r="AJ307" s="243" t="s">
        <v>423</v>
      </c>
      <c r="AK307" s="244" t="s">
        <v>1240</v>
      </c>
      <c r="AL307" s="241"/>
      <c r="AM307" s="241"/>
    </row>
    <row r="308" spans="1:39" s="295" customFormat="1" ht="15" customHeight="1" x14ac:dyDescent="0.3">
      <c r="A308" s="185">
        <v>315</v>
      </c>
      <c r="B308" s="267" t="s">
        <v>1494</v>
      </c>
      <c r="C308" s="247" t="s">
        <v>1615</v>
      </c>
      <c r="D308" s="199" t="s">
        <v>1881</v>
      </c>
      <c r="E308" s="267"/>
      <c r="F308" s="269" t="s">
        <v>1601</v>
      </c>
      <c r="G308" s="196" t="s">
        <v>1604</v>
      </c>
      <c r="H308" s="248" t="s">
        <v>422</v>
      </c>
      <c r="I308" s="317">
        <v>2</v>
      </c>
      <c r="J308" s="317">
        <v>15</v>
      </c>
      <c r="K308" s="317">
        <v>0</v>
      </c>
      <c r="L308" s="212">
        <v>1.5</v>
      </c>
      <c r="M308" s="212">
        <f t="shared" si="37"/>
        <v>18.5</v>
      </c>
      <c r="N308" s="212">
        <f t="shared" si="38"/>
        <v>16</v>
      </c>
      <c r="O308" s="212">
        <f t="shared" si="39"/>
        <v>60</v>
      </c>
      <c r="P308" s="212">
        <f t="shared" si="40"/>
        <v>0</v>
      </c>
      <c r="Q308" s="212">
        <f t="shared" si="41"/>
        <v>12</v>
      </c>
      <c r="R308" s="212">
        <f t="shared" si="42"/>
        <v>88</v>
      </c>
      <c r="S308" s="270" t="s">
        <v>1496</v>
      </c>
      <c r="T308" s="270" t="s">
        <v>1895</v>
      </c>
      <c r="U308" s="272">
        <v>189</v>
      </c>
      <c r="V308" s="272">
        <v>193</v>
      </c>
      <c r="W308" s="246">
        <v>44272</v>
      </c>
      <c r="X308" s="246">
        <v>44348</v>
      </c>
      <c r="Y308" s="245">
        <v>44354</v>
      </c>
      <c r="Z308" s="311">
        <f t="shared" si="35"/>
        <v>2021</v>
      </c>
      <c r="AA308" s="311">
        <f t="shared" si="36"/>
        <v>6</v>
      </c>
      <c r="AB308" s="305" t="s">
        <v>920</v>
      </c>
      <c r="AC308" s="243" t="s">
        <v>422</v>
      </c>
      <c r="AD308" s="243" t="s">
        <v>422</v>
      </c>
      <c r="AE308" s="243" t="s">
        <v>422</v>
      </c>
      <c r="AF308" s="243" t="s">
        <v>422</v>
      </c>
      <c r="AG308" s="243" t="s">
        <v>422</v>
      </c>
      <c r="AH308" s="243" t="s">
        <v>423</v>
      </c>
      <c r="AI308" s="243" t="s">
        <v>422</v>
      </c>
      <c r="AJ308" s="243" t="s">
        <v>423</v>
      </c>
      <c r="AK308" s="244" t="s">
        <v>1240</v>
      </c>
      <c r="AL308" s="241"/>
      <c r="AM308" s="241"/>
    </row>
    <row r="309" spans="1:39" s="295" customFormat="1" ht="15" customHeight="1" x14ac:dyDescent="0.3">
      <c r="A309" s="185">
        <v>316</v>
      </c>
      <c r="B309" s="267" t="s">
        <v>1497</v>
      </c>
      <c r="C309" s="247" t="s">
        <v>1615</v>
      </c>
      <c r="D309" s="199" t="s">
        <v>1881</v>
      </c>
      <c r="E309" s="267"/>
      <c r="F309" s="269" t="s">
        <v>1601</v>
      </c>
      <c r="G309" s="196" t="s">
        <v>1604</v>
      </c>
      <c r="H309" s="248" t="s">
        <v>422</v>
      </c>
      <c r="I309" s="317">
        <v>2</v>
      </c>
      <c r="J309" s="317">
        <v>14</v>
      </c>
      <c r="K309" s="317">
        <v>0</v>
      </c>
      <c r="L309" s="212">
        <v>1</v>
      </c>
      <c r="M309" s="212">
        <f t="shared" si="37"/>
        <v>17</v>
      </c>
      <c r="N309" s="212">
        <f t="shared" si="38"/>
        <v>16</v>
      </c>
      <c r="O309" s="212">
        <f t="shared" si="39"/>
        <v>56</v>
      </c>
      <c r="P309" s="212">
        <f t="shared" si="40"/>
        <v>0</v>
      </c>
      <c r="Q309" s="212">
        <f t="shared" si="41"/>
        <v>8</v>
      </c>
      <c r="R309" s="212">
        <f t="shared" si="42"/>
        <v>80</v>
      </c>
      <c r="S309" s="270" t="s">
        <v>1505</v>
      </c>
      <c r="T309" s="270" t="s">
        <v>1896</v>
      </c>
      <c r="U309" s="272">
        <v>62</v>
      </c>
      <c r="V309" s="272">
        <v>66</v>
      </c>
      <c r="W309" s="246">
        <v>44272</v>
      </c>
      <c r="X309" s="246">
        <v>44348</v>
      </c>
      <c r="Y309" s="245">
        <v>44354</v>
      </c>
      <c r="Z309" s="311">
        <f t="shared" si="35"/>
        <v>2021</v>
      </c>
      <c r="AA309" s="311">
        <f t="shared" si="36"/>
        <v>6</v>
      </c>
      <c r="AB309" s="305" t="s">
        <v>920</v>
      </c>
      <c r="AC309" s="243" t="s">
        <v>422</v>
      </c>
      <c r="AD309" s="243" t="s">
        <v>422</v>
      </c>
      <c r="AE309" s="243" t="s">
        <v>422</v>
      </c>
      <c r="AF309" s="243" t="s">
        <v>422</v>
      </c>
      <c r="AG309" s="243" t="s">
        <v>422</v>
      </c>
      <c r="AH309" s="243" t="s">
        <v>423</v>
      </c>
      <c r="AI309" s="243" t="s">
        <v>423</v>
      </c>
      <c r="AJ309" s="243" t="s">
        <v>423</v>
      </c>
      <c r="AK309" s="244" t="s">
        <v>1240</v>
      </c>
      <c r="AL309" s="241"/>
      <c r="AM309" s="241"/>
    </row>
    <row r="310" spans="1:39" s="295" customFormat="1" ht="15" customHeight="1" x14ac:dyDescent="0.3">
      <c r="A310" s="185">
        <v>317</v>
      </c>
      <c r="B310" s="267" t="s">
        <v>1498</v>
      </c>
      <c r="C310" s="247" t="s">
        <v>1615</v>
      </c>
      <c r="D310" s="199" t="s">
        <v>1881</v>
      </c>
      <c r="E310" s="267"/>
      <c r="F310" s="269" t="s">
        <v>1601</v>
      </c>
      <c r="G310" s="196" t="s">
        <v>1604</v>
      </c>
      <c r="H310" s="248" t="s">
        <v>422</v>
      </c>
      <c r="I310" s="317">
        <v>2</v>
      </c>
      <c r="J310" s="317">
        <v>0</v>
      </c>
      <c r="K310" s="317">
        <v>0</v>
      </c>
      <c r="L310" s="212">
        <v>1</v>
      </c>
      <c r="M310" s="212">
        <f t="shared" si="37"/>
        <v>3</v>
      </c>
      <c r="N310" s="212">
        <f t="shared" si="38"/>
        <v>16</v>
      </c>
      <c r="O310" s="212">
        <f t="shared" si="39"/>
        <v>0</v>
      </c>
      <c r="P310" s="212">
        <f t="shared" si="40"/>
        <v>0</v>
      </c>
      <c r="Q310" s="212">
        <f t="shared" si="41"/>
        <v>8</v>
      </c>
      <c r="R310" s="212">
        <f t="shared" si="42"/>
        <v>24</v>
      </c>
      <c r="S310" s="270" t="s">
        <v>1922</v>
      </c>
      <c r="T310" s="270" t="s">
        <v>1897</v>
      </c>
      <c r="U310" s="272">
        <v>35</v>
      </c>
      <c r="V310" s="272">
        <v>37</v>
      </c>
      <c r="W310" s="246">
        <v>44272</v>
      </c>
      <c r="X310" s="246">
        <v>44348</v>
      </c>
      <c r="Y310" s="245">
        <v>44354</v>
      </c>
      <c r="Z310" s="311">
        <f t="shared" si="35"/>
        <v>2021</v>
      </c>
      <c r="AA310" s="311">
        <f t="shared" si="36"/>
        <v>6</v>
      </c>
      <c r="AB310" s="305" t="s">
        <v>920</v>
      </c>
      <c r="AC310" s="243" t="s">
        <v>422</v>
      </c>
      <c r="AD310" s="243" t="s">
        <v>422</v>
      </c>
      <c r="AE310" s="243" t="s">
        <v>422</v>
      </c>
      <c r="AF310" s="243" t="s">
        <v>422</v>
      </c>
      <c r="AG310" s="243" t="s">
        <v>422</v>
      </c>
      <c r="AH310" s="243" t="s">
        <v>423</v>
      </c>
      <c r="AI310" s="243" t="s">
        <v>422</v>
      </c>
      <c r="AJ310" s="243" t="s">
        <v>423</v>
      </c>
      <c r="AK310" s="244" t="s">
        <v>140</v>
      </c>
      <c r="AL310" s="241"/>
      <c r="AM310" s="241"/>
    </row>
    <row r="311" spans="1:39" ht="15" customHeight="1" x14ac:dyDescent="0.3">
      <c r="A311" s="185">
        <v>318</v>
      </c>
      <c r="B311" s="267" t="s">
        <v>1499</v>
      </c>
      <c r="C311" s="247" t="s">
        <v>1615</v>
      </c>
      <c r="D311" s="200" t="s">
        <v>1881</v>
      </c>
      <c r="E311" s="269"/>
      <c r="F311" s="269" t="s">
        <v>1601</v>
      </c>
      <c r="G311" s="196" t="s">
        <v>1604</v>
      </c>
      <c r="H311" s="248" t="s">
        <v>422</v>
      </c>
      <c r="I311" s="356">
        <v>2</v>
      </c>
      <c r="J311" s="317">
        <v>6.7</v>
      </c>
      <c r="K311" s="317">
        <v>0</v>
      </c>
      <c r="L311" s="212">
        <v>1.5</v>
      </c>
      <c r="M311" s="212">
        <f t="shared" si="37"/>
        <v>10.199999999999999</v>
      </c>
      <c r="N311" s="212">
        <f t="shared" si="38"/>
        <v>16</v>
      </c>
      <c r="O311" s="212">
        <f t="shared" si="39"/>
        <v>26.8</v>
      </c>
      <c r="P311" s="212">
        <f t="shared" si="40"/>
        <v>0</v>
      </c>
      <c r="Q311" s="212">
        <f t="shared" si="41"/>
        <v>12</v>
      </c>
      <c r="R311" s="212">
        <f t="shared" si="42"/>
        <v>54.8</v>
      </c>
      <c r="S311" s="270" t="s">
        <v>1638</v>
      </c>
      <c r="T311" s="270" t="s">
        <v>1898</v>
      </c>
      <c r="U311" s="272">
        <v>131</v>
      </c>
      <c r="V311" s="272">
        <v>135</v>
      </c>
      <c r="W311" s="246">
        <v>44272</v>
      </c>
      <c r="X311" s="246">
        <v>44348</v>
      </c>
      <c r="Y311" s="245">
        <v>44354</v>
      </c>
      <c r="Z311" s="311">
        <f t="shared" si="35"/>
        <v>2021</v>
      </c>
      <c r="AA311" s="311">
        <f t="shared" si="36"/>
        <v>6</v>
      </c>
      <c r="AB311" s="305" t="s">
        <v>920</v>
      </c>
      <c r="AC311" s="243" t="s">
        <v>422</v>
      </c>
      <c r="AD311" s="243" t="s">
        <v>423</v>
      </c>
      <c r="AE311" s="243" t="s">
        <v>422</v>
      </c>
      <c r="AF311" s="243" t="s">
        <v>422</v>
      </c>
      <c r="AG311" s="243" t="s">
        <v>423</v>
      </c>
      <c r="AH311" s="243" t="s">
        <v>423</v>
      </c>
      <c r="AI311" s="243" t="s">
        <v>423</v>
      </c>
      <c r="AJ311" s="243" t="s">
        <v>423</v>
      </c>
      <c r="AK311" s="244" t="s">
        <v>1240</v>
      </c>
      <c r="AL311" s="241"/>
      <c r="AM311" s="241"/>
    </row>
    <row r="312" spans="1:39" ht="15" customHeight="1" x14ac:dyDescent="0.3">
      <c r="A312" s="185">
        <v>324</v>
      </c>
      <c r="B312" s="267" t="s">
        <v>1543</v>
      </c>
      <c r="C312" s="247" t="s">
        <v>1615</v>
      </c>
      <c r="D312" s="200" t="s">
        <v>1881</v>
      </c>
      <c r="E312" s="196" t="s">
        <v>1596</v>
      </c>
      <c r="F312" s="269" t="s">
        <v>1601</v>
      </c>
      <c r="G312" s="196" t="s">
        <v>1604</v>
      </c>
      <c r="H312" s="248" t="s">
        <v>422</v>
      </c>
      <c r="I312" s="317">
        <v>1.3</v>
      </c>
      <c r="J312" s="317">
        <v>5.5</v>
      </c>
      <c r="K312" s="317">
        <v>0</v>
      </c>
      <c r="L312" s="212">
        <v>1</v>
      </c>
      <c r="M312" s="212">
        <f t="shared" si="37"/>
        <v>7.8</v>
      </c>
      <c r="N312" s="212">
        <f t="shared" si="38"/>
        <v>10.4</v>
      </c>
      <c r="O312" s="212">
        <f t="shared" si="39"/>
        <v>22</v>
      </c>
      <c r="P312" s="212">
        <f t="shared" si="40"/>
        <v>0</v>
      </c>
      <c r="Q312" s="212">
        <f t="shared" si="41"/>
        <v>8</v>
      </c>
      <c r="R312" s="212">
        <f t="shared" si="42"/>
        <v>40.4</v>
      </c>
      <c r="S312" s="270" t="s">
        <v>1546</v>
      </c>
      <c r="T312" s="270" t="s">
        <v>1547</v>
      </c>
      <c r="U312" s="272">
        <v>84</v>
      </c>
      <c r="V312" s="272">
        <v>86</v>
      </c>
      <c r="W312" s="246">
        <v>44286</v>
      </c>
      <c r="X312" s="246">
        <v>44317</v>
      </c>
      <c r="Y312" s="245">
        <v>44354</v>
      </c>
      <c r="Z312" s="311">
        <f t="shared" si="35"/>
        <v>2021</v>
      </c>
      <c r="AA312" s="311">
        <f t="shared" si="36"/>
        <v>6</v>
      </c>
      <c r="AB312" s="243" t="s">
        <v>920</v>
      </c>
      <c r="AC312" s="243" t="s">
        <v>422</v>
      </c>
      <c r="AD312" s="243" t="s">
        <v>423</v>
      </c>
      <c r="AE312" s="243" t="s">
        <v>422</v>
      </c>
      <c r="AF312" s="243" t="s">
        <v>422</v>
      </c>
      <c r="AG312" s="243" t="s">
        <v>423</v>
      </c>
      <c r="AH312" s="243" t="s">
        <v>423</v>
      </c>
      <c r="AI312" s="243" t="s">
        <v>423</v>
      </c>
      <c r="AJ312" s="243" t="s">
        <v>423</v>
      </c>
      <c r="AK312" s="244" t="s">
        <v>140</v>
      </c>
      <c r="AL312" s="241"/>
      <c r="AM312" s="241"/>
    </row>
    <row r="313" spans="1:39" ht="15" customHeight="1" x14ac:dyDescent="0.3">
      <c r="A313" s="185">
        <v>325</v>
      </c>
      <c r="B313" s="267" t="s">
        <v>1544</v>
      </c>
      <c r="C313" s="247" t="s">
        <v>1615</v>
      </c>
      <c r="D313" s="200" t="s">
        <v>1881</v>
      </c>
      <c r="E313" s="196" t="s">
        <v>1596</v>
      </c>
      <c r="F313" s="269" t="s">
        <v>1601</v>
      </c>
      <c r="G313" s="196" t="s">
        <v>1604</v>
      </c>
      <c r="H313" s="248" t="s">
        <v>422</v>
      </c>
      <c r="I313" s="317">
        <v>1.3</v>
      </c>
      <c r="J313" s="317">
        <v>5.5</v>
      </c>
      <c r="K313" s="317">
        <v>0</v>
      </c>
      <c r="L313" s="212">
        <v>1</v>
      </c>
      <c r="M313" s="212">
        <f t="shared" si="37"/>
        <v>7.8</v>
      </c>
      <c r="N313" s="212">
        <f t="shared" si="38"/>
        <v>10.4</v>
      </c>
      <c r="O313" s="212">
        <f t="shared" si="39"/>
        <v>22</v>
      </c>
      <c r="P313" s="212">
        <f t="shared" si="40"/>
        <v>0</v>
      </c>
      <c r="Q313" s="212">
        <f t="shared" si="41"/>
        <v>8</v>
      </c>
      <c r="R313" s="212">
        <f t="shared" si="42"/>
        <v>40.4</v>
      </c>
      <c r="S313" s="270" t="s">
        <v>1548</v>
      </c>
      <c r="T313" s="270" t="s">
        <v>1549</v>
      </c>
      <c r="U313" s="272">
        <v>30</v>
      </c>
      <c r="V313" s="272">
        <v>31</v>
      </c>
      <c r="W313" s="246">
        <v>44286</v>
      </c>
      <c r="X313" s="246">
        <v>44317</v>
      </c>
      <c r="Y313" s="245">
        <v>44354</v>
      </c>
      <c r="Z313" s="311">
        <f t="shared" si="35"/>
        <v>2021</v>
      </c>
      <c r="AA313" s="311">
        <f t="shared" si="36"/>
        <v>6</v>
      </c>
      <c r="AB313" s="243" t="s">
        <v>920</v>
      </c>
      <c r="AC313" s="243" t="s">
        <v>422</v>
      </c>
      <c r="AD313" s="243" t="s">
        <v>423</v>
      </c>
      <c r="AE313" s="243" t="s">
        <v>422</v>
      </c>
      <c r="AF313" s="243" t="s">
        <v>422</v>
      </c>
      <c r="AG313" s="243" t="s">
        <v>423</v>
      </c>
      <c r="AH313" s="243" t="s">
        <v>423</v>
      </c>
      <c r="AI313" s="243" t="s">
        <v>423</v>
      </c>
      <c r="AJ313" s="243" t="s">
        <v>423</v>
      </c>
      <c r="AK313" s="244" t="s">
        <v>140</v>
      </c>
      <c r="AL313" s="241"/>
      <c r="AM313" s="241"/>
    </row>
    <row r="314" spans="1:39" ht="15" customHeight="1" x14ac:dyDescent="0.3">
      <c r="A314" s="185">
        <v>336</v>
      </c>
      <c r="B314" s="267" t="s">
        <v>1582</v>
      </c>
      <c r="C314" s="247" t="s">
        <v>1617</v>
      </c>
      <c r="D314" s="200" t="s">
        <v>1851</v>
      </c>
      <c r="E314" s="267"/>
      <c r="F314" s="269" t="s">
        <v>1597</v>
      </c>
      <c r="G314" s="196" t="s">
        <v>1953</v>
      </c>
      <c r="H314" s="248" t="s">
        <v>422</v>
      </c>
      <c r="I314" s="317">
        <v>2</v>
      </c>
      <c r="J314" s="317">
        <v>5.5</v>
      </c>
      <c r="K314" s="361">
        <v>6</v>
      </c>
      <c r="L314" s="212">
        <v>1</v>
      </c>
      <c r="M314" s="212">
        <f t="shared" si="37"/>
        <v>14.5</v>
      </c>
      <c r="N314" s="212">
        <f t="shared" si="38"/>
        <v>16</v>
      </c>
      <c r="O314" s="212">
        <f t="shared" si="39"/>
        <v>22</v>
      </c>
      <c r="P314" s="212">
        <f t="shared" si="40"/>
        <v>40</v>
      </c>
      <c r="Q314" s="212">
        <f t="shared" si="41"/>
        <v>8</v>
      </c>
      <c r="R314" s="212">
        <f t="shared" si="42"/>
        <v>86</v>
      </c>
      <c r="S314" s="270" t="s">
        <v>1586</v>
      </c>
      <c r="T314" s="270" t="s">
        <v>1587</v>
      </c>
      <c r="U314" s="272">
        <v>30</v>
      </c>
      <c r="V314" s="272">
        <v>45</v>
      </c>
      <c r="W314" s="246">
        <v>44270</v>
      </c>
      <c r="X314" s="246">
        <v>44317</v>
      </c>
      <c r="Y314" s="245">
        <v>44348</v>
      </c>
      <c r="Z314" s="311">
        <f t="shared" si="35"/>
        <v>2021</v>
      </c>
      <c r="AA314" s="311">
        <f t="shared" si="36"/>
        <v>6</v>
      </c>
      <c r="AB314" s="243" t="s">
        <v>920</v>
      </c>
      <c r="AC314" s="243" t="s">
        <v>422</v>
      </c>
      <c r="AD314" s="243" t="s">
        <v>423</v>
      </c>
      <c r="AE314" s="243" t="s">
        <v>422</v>
      </c>
      <c r="AF314" s="243" t="s">
        <v>422</v>
      </c>
      <c r="AG314" s="243" t="s">
        <v>423</v>
      </c>
      <c r="AH314" s="243" t="s">
        <v>422</v>
      </c>
      <c r="AI314" s="243" t="s">
        <v>423</v>
      </c>
      <c r="AJ314" s="243" t="s">
        <v>423</v>
      </c>
      <c r="AK314" s="244" t="s">
        <v>1424</v>
      </c>
      <c r="AL314" s="241"/>
      <c r="AM314" s="242"/>
    </row>
    <row r="315" spans="1:39" ht="15" customHeight="1" x14ac:dyDescent="0.3">
      <c r="A315" s="185">
        <v>337</v>
      </c>
      <c r="B315" s="267" t="s">
        <v>1583</v>
      </c>
      <c r="C315" s="247" t="s">
        <v>1617</v>
      </c>
      <c r="D315" s="200" t="s">
        <v>1848</v>
      </c>
      <c r="E315" s="267"/>
      <c r="F315" s="269" t="s">
        <v>1597</v>
      </c>
      <c r="G315" s="196" t="s">
        <v>1953</v>
      </c>
      <c r="H315" s="248" t="s">
        <v>422</v>
      </c>
      <c r="I315" s="317">
        <v>2</v>
      </c>
      <c r="J315" s="317">
        <v>5</v>
      </c>
      <c r="K315" s="361">
        <v>6</v>
      </c>
      <c r="L315" s="212">
        <v>1</v>
      </c>
      <c r="M315" s="212">
        <f t="shared" si="37"/>
        <v>14</v>
      </c>
      <c r="N315" s="212">
        <f t="shared" si="38"/>
        <v>16</v>
      </c>
      <c r="O315" s="212">
        <f t="shared" si="39"/>
        <v>20</v>
      </c>
      <c r="P315" s="212">
        <f t="shared" si="40"/>
        <v>40</v>
      </c>
      <c r="Q315" s="212">
        <f t="shared" si="41"/>
        <v>8</v>
      </c>
      <c r="R315" s="212">
        <f t="shared" si="42"/>
        <v>84</v>
      </c>
      <c r="S315" s="270" t="s">
        <v>1588</v>
      </c>
      <c r="T315" s="270" t="s">
        <v>1589</v>
      </c>
      <c r="U315" s="272">
        <v>40</v>
      </c>
      <c r="V315" s="272">
        <v>50</v>
      </c>
      <c r="W315" s="246">
        <v>44270</v>
      </c>
      <c r="X315" s="246">
        <v>44317</v>
      </c>
      <c r="Y315" s="245">
        <v>44348</v>
      </c>
      <c r="Z315" s="311">
        <f t="shared" si="35"/>
        <v>2021</v>
      </c>
      <c r="AA315" s="311">
        <f t="shared" si="36"/>
        <v>6</v>
      </c>
      <c r="AB315" s="243" t="s">
        <v>920</v>
      </c>
      <c r="AC315" s="243" t="s">
        <v>422</v>
      </c>
      <c r="AD315" s="243" t="s">
        <v>423</v>
      </c>
      <c r="AE315" s="243" t="s">
        <v>422</v>
      </c>
      <c r="AF315" s="243" t="s">
        <v>422</v>
      </c>
      <c r="AG315" s="243" t="s">
        <v>423</v>
      </c>
      <c r="AH315" s="243" t="s">
        <v>422</v>
      </c>
      <c r="AI315" s="243" t="s">
        <v>423</v>
      </c>
      <c r="AJ315" s="243" t="s">
        <v>423</v>
      </c>
      <c r="AK315" s="244" t="s">
        <v>1424</v>
      </c>
      <c r="AL315" s="241"/>
      <c r="AM315" s="242"/>
    </row>
    <row r="316" spans="1:39" ht="15" customHeight="1" x14ac:dyDescent="0.3">
      <c r="A316" s="185">
        <v>338</v>
      </c>
      <c r="B316" s="267" t="s">
        <v>1584</v>
      </c>
      <c r="C316" s="247" t="s">
        <v>1617</v>
      </c>
      <c r="D316" s="200" t="s">
        <v>1851</v>
      </c>
      <c r="E316" s="269"/>
      <c r="F316" s="269" t="s">
        <v>1597</v>
      </c>
      <c r="G316" s="196" t="s">
        <v>1953</v>
      </c>
      <c r="H316" s="248" t="s">
        <v>422</v>
      </c>
      <c r="I316" s="317">
        <v>2</v>
      </c>
      <c r="J316" s="317">
        <v>5.5</v>
      </c>
      <c r="K316" s="361">
        <v>6</v>
      </c>
      <c r="L316" s="212">
        <v>1</v>
      </c>
      <c r="M316" s="212">
        <f t="shared" si="37"/>
        <v>14.5</v>
      </c>
      <c r="N316" s="212">
        <f t="shared" si="38"/>
        <v>16</v>
      </c>
      <c r="O316" s="212">
        <f t="shared" si="39"/>
        <v>22</v>
      </c>
      <c r="P316" s="212">
        <f t="shared" si="40"/>
        <v>40</v>
      </c>
      <c r="Q316" s="212">
        <f t="shared" si="41"/>
        <v>8</v>
      </c>
      <c r="R316" s="212">
        <f t="shared" si="42"/>
        <v>86</v>
      </c>
      <c r="S316" s="270" t="s">
        <v>1590</v>
      </c>
      <c r="T316" s="270" t="s">
        <v>1592</v>
      </c>
      <c r="U316" s="272">
        <v>6</v>
      </c>
      <c r="V316" s="272">
        <v>9</v>
      </c>
      <c r="W316" s="246">
        <v>44270</v>
      </c>
      <c r="X316" s="246">
        <v>44317</v>
      </c>
      <c r="Y316" s="245">
        <v>44348</v>
      </c>
      <c r="Z316" s="311">
        <f t="shared" si="35"/>
        <v>2021</v>
      </c>
      <c r="AA316" s="311">
        <f t="shared" si="36"/>
        <v>6</v>
      </c>
      <c r="AB316" s="243" t="s">
        <v>920</v>
      </c>
      <c r="AC316" s="243" t="s">
        <v>422</v>
      </c>
      <c r="AD316" s="243" t="s">
        <v>423</v>
      </c>
      <c r="AE316" s="243" t="s">
        <v>422</v>
      </c>
      <c r="AF316" s="243" t="s">
        <v>422</v>
      </c>
      <c r="AG316" s="243" t="s">
        <v>423</v>
      </c>
      <c r="AH316" s="243" t="s">
        <v>422</v>
      </c>
      <c r="AI316" s="243" t="s">
        <v>423</v>
      </c>
      <c r="AJ316" s="243" t="s">
        <v>423</v>
      </c>
      <c r="AK316" s="244" t="s">
        <v>1424</v>
      </c>
      <c r="AL316" s="241"/>
      <c r="AM316" s="242"/>
    </row>
    <row r="317" spans="1:39" ht="15" customHeight="1" x14ac:dyDescent="0.3">
      <c r="A317" s="185">
        <v>339</v>
      </c>
      <c r="B317" s="267" t="s">
        <v>1585</v>
      </c>
      <c r="C317" s="247" t="s">
        <v>1617</v>
      </c>
      <c r="D317" s="200" t="s">
        <v>1848</v>
      </c>
      <c r="E317" s="269"/>
      <c r="F317" s="269" t="s">
        <v>1597</v>
      </c>
      <c r="G317" s="196" t="s">
        <v>1953</v>
      </c>
      <c r="H317" s="248" t="s">
        <v>422</v>
      </c>
      <c r="I317" s="317">
        <v>2</v>
      </c>
      <c r="J317" s="317">
        <v>5</v>
      </c>
      <c r="K317" s="361">
        <v>6</v>
      </c>
      <c r="L317" s="212">
        <v>1</v>
      </c>
      <c r="M317" s="212">
        <f t="shared" si="37"/>
        <v>14</v>
      </c>
      <c r="N317" s="212">
        <f t="shared" si="38"/>
        <v>16</v>
      </c>
      <c r="O317" s="212">
        <f t="shared" si="39"/>
        <v>20</v>
      </c>
      <c r="P317" s="212">
        <f t="shared" si="40"/>
        <v>40</v>
      </c>
      <c r="Q317" s="212">
        <f t="shared" si="41"/>
        <v>8</v>
      </c>
      <c r="R317" s="212">
        <f t="shared" si="42"/>
        <v>84</v>
      </c>
      <c r="S317" s="270" t="s">
        <v>1591</v>
      </c>
      <c r="T317" s="270" t="s">
        <v>1593</v>
      </c>
      <c r="U317" s="272">
        <v>8</v>
      </c>
      <c r="V317" s="272">
        <v>10</v>
      </c>
      <c r="W317" s="246">
        <v>44270</v>
      </c>
      <c r="X317" s="246">
        <v>44317</v>
      </c>
      <c r="Y317" s="245">
        <v>44348</v>
      </c>
      <c r="Z317" s="311">
        <f t="shared" si="35"/>
        <v>2021</v>
      </c>
      <c r="AA317" s="311">
        <f t="shared" si="36"/>
        <v>6</v>
      </c>
      <c r="AB317" s="243" t="s">
        <v>920</v>
      </c>
      <c r="AC317" s="243" t="s">
        <v>422</v>
      </c>
      <c r="AD317" s="243" t="s">
        <v>423</v>
      </c>
      <c r="AE317" s="243" t="s">
        <v>422</v>
      </c>
      <c r="AF317" s="243" t="s">
        <v>422</v>
      </c>
      <c r="AG317" s="243" t="s">
        <v>423</v>
      </c>
      <c r="AH317" s="243" t="s">
        <v>422</v>
      </c>
      <c r="AI317" s="243" t="s">
        <v>423</v>
      </c>
      <c r="AJ317" s="243" t="s">
        <v>423</v>
      </c>
      <c r="AK317" s="244" t="s">
        <v>1424</v>
      </c>
      <c r="AL317" s="241"/>
      <c r="AM317" s="242"/>
    </row>
    <row r="318" spans="1:39" ht="15" customHeight="1" x14ac:dyDescent="0.3">
      <c r="A318" s="185">
        <v>352</v>
      </c>
      <c r="B318" s="326" t="s">
        <v>1639</v>
      </c>
      <c r="C318" s="247" t="s">
        <v>1615</v>
      </c>
      <c r="D318" s="200" t="s">
        <v>1881</v>
      </c>
      <c r="E318" s="269"/>
      <c r="F318" s="269" t="s">
        <v>1597</v>
      </c>
      <c r="G318" s="196" t="s">
        <v>1953</v>
      </c>
      <c r="H318" s="248" t="s">
        <v>422</v>
      </c>
      <c r="I318" s="317">
        <v>2</v>
      </c>
      <c r="J318" s="317">
        <v>4.5</v>
      </c>
      <c r="K318" s="361">
        <v>6</v>
      </c>
      <c r="L318" s="212">
        <v>1</v>
      </c>
      <c r="M318" s="212">
        <f t="shared" si="37"/>
        <v>13.5</v>
      </c>
      <c r="N318" s="212">
        <f t="shared" si="38"/>
        <v>16</v>
      </c>
      <c r="O318" s="212">
        <f t="shared" si="39"/>
        <v>18</v>
      </c>
      <c r="P318" s="212">
        <f t="shared" si="40"/>
        <v>40</v>
      </c>
      <c r="Q318" s="212">
        <f t="shared" si="41"/>
        <v>8</v>
      </c>
      <c r="R318" s="212">
        <f t="shared" si="42"/>
        <v>82</v>
      </c>
      <c r="S318" s="283" t="s">
        <v>1640</v>
      </c>
      <c r="T318" s="284" t="s">
        <v>1641</v>
      </c>
      <c r="U318" s="272">
        <v>40</v>
      </c>
      <c r="V318" s="280">
        <v>42</v>
      </c>
      <c r="W318" s="276">
        <v>44307</v>
      </c>
      <c r="X318" s="277">
        <v>44392</v>
      </c>
      <c r="Y318" s="245">
        <v>44354</v>
      </c>
      <c r="Z318" s="311">
        <f t="shared" si="35"/>
        <v>2021</v>
      </c>
      <c r="AA318" s="311">
        <f t="shared" si="36"/>
        <v>6</v>
      </c>
      <c r="AB318" s="243" t="s">
        <v>920</v>
      </c>
      <c r="AC318" s="278" t="s">
        <v>422</v>
      </c>
      <c r="AD318" s="243" t="s">
        <v>423</v>
      </c>
      <c r="AE318" s="278" t="s">
        <v>422</v>
      </c>
      <c r="AF318" s="278" t="s">
        <v>422</v>
      </c>
      <c r="AG318" s="243" t="s">
        <v>423</v>
      </c>
      <c r="AH318" s="243" t="s">
        <v>423</v>
      </c>
      <c r="AI318" s="243" t="s">
        <v>423</v>
      </c>
      <c r="AJ318" s="243" t="s">
        <v>423</v>
      </c>
      <c r="AK318" s="244" t="s">
        <v>1240</v>
      </c>
      <c r="AL318" s="241"/>
      <c r="AM318" s="242"/>
    </row>
    <row r="319" spans="1:39" ht="15" customHeight="1" x14ac:dyDescent="0.3">
      <c r="A319" s="185">
        <v>291</v>
      </c>
      <c r="B319" s="296" t="s">
        <v>1468</v>
      </c>
      <c r="C319" s="297" t="s">
        <v>1616</v>
      </c>
      <c r="D319" s="334" t="s">
        <v>1848</v>
      </c>
      <c r="E319" s="336" t="s">
        <v>1596</v>
      </c>
      <c r="F319" s="299" t="s">
        <v>1601</v>
      </c>
      <c r="G319" s="298" t="s">
        <v>1596</v>
      </c>
      <c r="H319" s="300" t="s">
        <v>422</v>
      </c>
      <c r="I319" s="318">
        <v>2</v>
      </c>
      <c r="J319" s="318">
        <v>9.5</v>
      </c>
      <c r="K319" s="356">
        <v>10</v>
      </c>
      <c r="L319" s="212">
        <v>1</v>
      </c>
      <c r="M319" s="212">
        <f t="shared" si="37"/>
        <v>22.5</v>
      </c>
      <c r="N319" s="212">
        <f t="shared" si="38"/>
        <v>16</v>
      </c>
      <c r="O319" s="212">
        <f t="shared" si="39"/>
        <v>38</v>
      </c>
      <c r="P319" s="212">
        <f t="shared" si="40"/>
        <v>66.666666666666671</v>
      </c>
      <c r="Q319" s="212">
        <f t="shared" si="41"/>
        <v>8</v>
      </c>
      <c r="R319" s="212">
        <f t="shared" si="42"/>
        <v>128.66666666666669</v>
      </c>
      <c r="S319" s="301" t="s">
        <v>1357</v>
      </c>
      <c r="T319" s="301" t="s">
        <v>1516</v>
      </c>
      <c r="U319" s="302">
        <v>296</v>
      </c>
      <c r="V319" s="302">
        <v>298</v>
      </c>
      <c r="W319" s="303">
        <v>44256</v>
      </c>
      <c r="X319" s="303">
        <v>44365</v>
      </c>
      <c r="Y319" s="304">
        <v>44396</v>
      </c>
      <c r="Z319" s="311">
        <f t="shared" si="35"/>
        <v>2021</v>
      </c>
      <c r="AA319" s="311">
        <f t="shared" si="36"/>
        <v>7</v>
      </c>
      <c r="AB319" s="305" t="s">
        <v>920</v>
      </c>
      <c r="AC319" s="305" t="s">
        <v>422</v>
      </c>
      <c r="AD319" s="305" t="s">
        <v>422</v>
      </c>
      <c r="AE319" s="305" t="s">
        <v>422</v>
      </c>
      <c r="AF319" s="305" t="s">
        <v>422</v>
      </c>
      <c r="AG319" s="305" t="s">
        <v>422</v>
      </c>
      <c r="AH319" s="305" t="s">
        <v>422</v>
      </c>
      <c r="AI319" s="305" t="s">
        <v>423</v>
      </c>
      <c r="AJ319" s="305" t="s">
        <v>423</v>
      </c>
      <c r="AK319" s="306" t="s">
        <v>140</v>
      </c>
      <c r="AL319" s="35"/>
      <c r="AM319" s="35"/>
    </row>
    <row r="320" spans="1:39" ht="15" customHeight="1" x14ac:dyDescent="0.3">
      <c r="A320" s="185">
        <v>292</v>
      </c>
      <c r="B320" s="296" t="s">
        <v>1469</v>
      </c>
      <c r="C320" s="297" t="s">
        <v>1616</v>
      </c>
      <c r="D320" s="334" t="s">
        <v>1848</v>
      </c>
      <c r="E320" s="336" t="s">
        <v>1596</v>
      </c>
      <c r="F320" s="299" t="s">
        <v>1601</v>
      </c>
      <c r="G320" s="298" t="s">
        <v>1596</v>
      </c>
      <c r="H320" s="300" t="s">
        <v>422</v>
      </c>
      <c r="I320" s="318">
        <v>1.8</v>
      </c>
      <c r="J320" s="318">
        <v>11</v>
      </c>
      <c r="K320" s="318">
        <v>10</v>
      </c>
      <c r="L320" s="212">
        <v>1</v>
      </c>
      <c r="M320" s="212">
        <f t="shared" si="37"/>
        <v>23.8</v>
      </c>
      <c r="N320" s="212">
        <f t="shared" si="38"/>
        <v>14.4</v>
      </c>
      <c r="O320" s="212">
        <f t="shared" si="39"/>
        <v>44</v>
      </c>
      <c r="P320" s="212">
        <f t="shared" si="40"/>
        <v>66.666666666666671</v>
      </c>
      <c r="Q320" s="212">
        <f t="shared" si="41"/>
        <v>8</v>
      </c>
      <c r="R320" s="212">
        <f t="shared" si="42"/>
        <v>133.06666666666666</v>
      </c>
      <c r="S320" s="301" t="s">
        <v>1358</v>
      </c>
      <c r="T320" s="301" t="s">
        <v>1517</v>
      </c>
      <c r="U320" s="302">
        <v>150</v>
      </c>
      <c r="V320" s="302">
        <v>152</v>
      </c>
      <c r="W320" s="303">
        <v>44256</v>
      </c>
      <c r="X320" s="303">
        <v>44365</v>
      </c>
      <c r="Y320" s="304">
        <v>44396</v>
      </c>
      <c r="Z320" s="311">
        <f t="shared" si="35"/>
        <v>2021</v>
      </c>
      <c r="AA320" s="311">
        <f t="shared" si="36"/>
        <v>7</v>
      </c>
      <c r="AB320" s="305" t="s">
        <v>920</v>
      </c>
      <c r="AC320" s="305" t="s">
        <v>422</v>
      </c>
      <c r="AD320" s="305" t="s">
        <v>422</v>
      </c>
      <c r="AE320" s="305" t="s">
        <v>422</v>
      </c>
      <c r="AF320" s="305" t="s">
        <v>422</v>
      </c>
      <c r="AG320" s="305" t="s">
        <v>422</v>
      </c>
      <c r="AH320" s="305" t="s">
        <v>422</v>
      </c>
      <c r="AI320" s="305" t="s">
        <v>423</v>
      </c>
      <c r="AJ320" s="305" t="s">
        <v>423</v>
      </c>
      <c r="AK320" s="306" t="s">
        <v>772</v>
      </c>
      <c r="AL320" s="35"/>
      <c r="AM320" s="35"/>
    </row>
    <row r="321" spans="1:39" ht="15" customHeight="1" x14ac:dyDescent="0.3">
      <c r="A321" s="185">
        <v>293</v>
      </c>
      <c r="B321" s="296" t="s">
        <v>1470</v>
      </c>
      <c r="C321" s="297" t="s">
        <v>1616</v>
      </c>
      <c r="D321" s="334" t="s">
        <v>1848</v>
      </c>
      <c r="E321" s="336" t="s">
        <v>1596</v>
      </c>
      <c r="F321" s="299" t="s">
        <v>1601</v>
      </c>
      <c r="G321" s="298" t="s">
        <v>1596</v>
      </c>
      <c r="H321" s="300" t="s">
        <v>422</v>
      </c>
      <c r="I321" s="318">
        <v>1.3</v>
      </c>
      <c r="J321" s="318">
        <v>9.5</v>
      </c>
      <c r="K321" s="318">
        <v>11</v>
      </c>
      <c r="L321" s="212">
        <v>1</v>
      </c>
      <c r="M321" s="212">
        <f t="shared" si="37"/>
        <v>22.8</v>
      </c>
      <c r="N321" s="212">
        <f t="shared" si="38"/>
        <v>10.4</v>
      </c>
      <c r="O321" s="212">
        <f t="shared" si="39"/>
        <v>38</v>
      </c>
      <c r="P321" s="212">
        <f t="shared" si="40"/>
        <v>73.333333333333343</v>
      </c>
      <c r="Q321" s="212">
        <f t="shared" si="41"/>
        <v>8</v>
      </c>
      <c r="R321" s="212">
        <f t="shared" si="42"/>
        <v>129.73333333333335</v>
      </c>
      <c r="S321" s="301" t="s">
        <v>1359</v>
      </c>
      <c r="T321" s="301" t="s">
        <v>1518</v>
      </c>
      <c r="U321" s="302">
        <v>208</v>
      </c>
      <c r="V321" s="302">
        <v>210</v>
      </c>
      <c r="W321" s="303">
        <v>44256</v>
      </c>
      <c r="X321" s="303">
        <v>44365</v>
      </c>
      <c r="Y321" s="304">
        <v>44396</v>
      </c>
      <c r="Z321" s="311">
        <f t="shared" si="35"/>
        <v>2021</v>
      </c>
      <c r="AA321" s="311">
        <f t="shared" si="36"/>
        <v>7</v>
      </c>
      <c r="AB321" s="305" t="s">
        <v>920</v>
      </c>
      <c r="AC321" s="305" t="s">
        <v>422</v>
      </c>
      <c r="AD321" s="305" t="s">
        <v>422</v>
      </c>
      <c r="AE321" s="305" t="s">
        <v>422</v>
      </c>
      <c r="AF321" s="305" t="s">
        <v>422</v>
      </c>
      <c r="AG321" s="305" t="s">
        <v>422</v>
      </c>
      <c r="AH321" s="305" t="s">
        <v>422</v>
      </c>
      <c r="AI321" s="305" t="s">
        <v>423</v>
      </c>
      <c r="AJ321" s="305" t="s">
        <v>423</v>
      </c>
      <c r="AK321" s="306" t="s">
        <v>1424</v>
      </c>
      <c r="AL321" s="35"/>
      <c r="AM321" s="307"/>
    </row>
    <row r="322" spans="1:39" s="309" customFormat="1" ht="15" customHeight="1" x14ac:dyDescent="0.3">
      <c r="A322" s="185">
        <v>294</v>
      </c>
      <c r="B322" s="296" t="s">
        <v>1471</v>
      </c>
      <c r="C322" s="297" t="s">
        <v>1616</v>
      </c>
      <c r="D322" s="334" t="s">
        <v>1848</v>
      </c>
      <c r="E322" s="336" t="s">
        <v>1596</v>
      </c>
      <c r="F322" s="299" t="s">
        <v>1601</v>
      </c>
      <c r="G322" s="298" t="s">
        <v>1596</v>
      </c>
      <c r="H322" s="300" t="s">
        <v>422</v>
      </c>
      <c r="I322" s="318">
        <v>1.3</v>
      </c>
      <c r="J322" s="318">
        <v>8.5</v>
      </c>
      <c r="K322" s="318">
        <v>11</v>
      </c>
      <c r="L322" s="212">
        <v>1</v>
      </c>
      <c r="M322" s="212">
        <f t="shared" si="37"/>
        <v>21.8</v>
      </c>
      <c r="N322" s="212">
        <f t="shared" si="38"/>
        <v>10.4</v>
      </c>
      <c r="O322" s="212">
        <f t="shared" si="39"/>
        <v>34</v>
      </c>
      <c r="P322" s="212">
        <f t="shared" si="40"/>
        <v>73.333333333333343</v>
      </c>
      <c r="Q322" s="212">
        <f t="shared" si="41"/>
        <v>8</v>
      </c>
      <c r="R322" s="212">
        <f t="shared" si="42"/>
        <v>125.73333333333335</v>
      </c>
      <c r="S322" s="301" t="s">
        <v>1360</v>
      </c>
      <c r="T322" s="301" t="s">
        <v>1519</v>
      </c>
      <c r="U322" s="302">
        <v>158</v>
      </c>
      <c r="V322" s="302">
        <v>160</v>
      </c>
      <c r="W322" s="303">
        <v>44256</v>
      </c>
      <c r="X322" s="303">
        <v>44365</v>
      </c>
      <c r="Y322" s="304">
        <v>44396</v>
      </c>
      <c r="Z322" s="311">
        <f t="shared" si="35"/>
        <v>2021</v>
      </c>
      <c r="AA322" s="311">
        <f t="shared" si="36"/>
        <v>7</v>
      </c>
      <c r="AB322" s="305" t="s">
        <v>920</v>
      </c>
      <c r="AC322" s="305" t="s">
        <v>422</v>
      </c>
      <c r="AD322" s="305" t="s">
        <v>422</v>
      </c>
      <c r="AE322" s="305" t="s">
        <v>422</v>
      </c>
      <c r="AF322" s="305" t="s">
        <v>422</v>
      </c>
      <c r="AG322" s="305" t="s">
        <v>422</v>
      </c>
      <c r="AH322" s="305" t="s">
        <v>422</v>
      </c>
      <c r="AI322" s="305" t="s">
        <v>423</v>
      </c>
      <c r="AJ322" s="305" t="s">
        <v>423</v>
      </c>
      <c r="AK322" s="306" t="s">
        <v>1424</v>
      </c>
      <c r="AL322" s="35"/>
      <c r="AM322" s="307"/>
    </row>
    <row r="323" spans="1:39" ht="15" customHeight="1" x14ac:dyDescent="0.3">
      <c r="A323" s="185">
        <v>295</v>
      </c>
      <c r="B323" s="296" t="s">
        <v>1472</v>
      </c>
      <c r="C323" s="297" t="s">
        <v>1616</v>
      </c>
      <c r="D323" s="334" t="s">
        <v>1848</v>
      </c>
      <c r="E323" s="336" t="s">
        <v>1596</v>
      </c>
      <c r="F323" s="299" t="s">
        <v>1601</v>
      </c>
      <c r="G323" s="298" t="s">
        <v>1596</v>
      </c>
      <c r="H323" s="300" t="s">
        <v>422</v>
      </c>
      <c r="I323" s="356">
        <v>2</v>
      </c>
      <c r="J323" s="318">
        <f>5+2.5</f>
        <v>7.5</v>
      </c>
      <c r="K323" s="356">
        <v>11</v>
      </c>
      <c r="L323" s="212">
        <v>1.2</v>
      </c>
      <c r="M323" s="212">
        <f t="shared" si="37"/>
        <v>21.7</v>
      </c>
      <c r="N323" s="212">
        <f t="shared" si="38"/>
        <v>16</v>
      </c>
      <c r="O323" s="212">
        <f t="shared" si="39"/>
        <v>30</v>
      </c>
      <c r="P323" s="212">
        <f t="shared" si="40"/>
        <v>73.333333333333343</v>
      </c>
      <c r="Q323" s="212">
        <f t="shared" si="41"/>
        <v>9.6</v>
      </c>
      <c r="R323" s="212">
        <f t="shared" si="42"/>
        <v>128.93333333333334</v>
      </c>
      <c r="S323" s="301" t="s">
        <v>1361</v>
      </c>
      <c r="T323" s="301" t="s">
        <v>1520</v>
      </c>
      <c r="U323" s="302">
        <v>272</v>
      </c>
      <c r="V323" s="302">
        <v>274</v>
      </c>
      <c r="W323" s="303">
        <v>44256</v>
      </c>
      <c r="X323" s="303">
        <v>44365</v>
      </c>
      <c r="Y323" s="304">
        <v>44396</v>
      </c>
      <c r="Z323" s="311">
        <f t="shared" si="35"/>
        <v>2021</v>
      </c>
      <c r="AA323" s="311">
        <f t="shared" si="36"/>
        <v>7</v>
      </c>
      <c r="AB323" s="305" t="s">
        <v>920</v>
      </c>
      <c r="AC323" s="305" t="s">
        <v>422</v>
      </c>
      <c r="AD323" s="305" t="s">
        <v>422</v>
      </c>
      <c r="AE323" s="305" t="s">
        <v>422</v>
      </c>
      <c r="AF323" s="305" t="s">
        <v>422</v>
      </c>
      <c r="AG323" s="305" t="s">
        <v>422</v>
      </c>
      <c r="AH323" s="305" t="s">
        <v>422</v>
      </c>
      <c r="AI323" s="305" t="s">
        <v>423</v>
      </c>
      <c r="AJ323" s="305" t="s">
        <v>423</v>
      </c>
      <c r="AK323" s="306" t="s">
        <v>138</v>
      </c>
      <c r="AL323" s="35"/>
      <c r="AM323" s="35"/>
    </row>
    <row r="324" spans="1:39" ht="15" customHeight="1" x14ac:dyDescent="0.3">
      <c r="A324" s="185">
        <v>296</v>
      </c>
      <c r="B324" s="296" t="s">
        <v>1473</v>
      </c>
      <c r="C324" s="297" t="s">
        <v>1616</v>
      </c>
      <c r="D324" s="334" t="s">
        <v>1848</v>
      </c>
      <c r="E324" s="336" t="s">
        <v>1596</v>
      </c>
      <c r="F324" s="299" t="s">
        <v>1601</v>
      </c>
      <c r="G324" s="298" t="s">
        <v>1596</v>
      </c>
      <c r="H324" s="300" t="s">
        <v>422</v>
      </c>
      <c r="I324" s="318">
        <v>2</v>
      </c>
      <c r="J324" s="318">
        <v>10.5</v>
      </c>
      <c r="K324" s="356">
        <v>11</v>
      </c>
      <c r="L324" s="212">
        <v>1.2</v>
      </c>
      <c r="M324" s="212">
        <f t="shared" si="37"/>
        <v>24.7</v>
      </c>
      <c r="N324" s="212">
        <f t="shared" si="38"/>
        <v>16</v>
      </c>
      <c r="O324" s="212">
        <f t="shared" si="39"/>
        <v>42</v>
      </c>
      <c r="P324" s="212">
        <f t="shared" si="40"/>
        <v>73.333333333333343</v>
      </c>
      <c r="Q324" s="212">
        <f t="shared" si="41"/>
        <v>9.6</v>
      </c>
      <c r="R324" s="212">
        <f t="shared" si="42"/>
        <v>140.93333333333334</v>
      </c>
      <c r="S324" s="301" t="s">
        <v>1362</v>
      </c>
      <c r="T324" s="301" t="s">
        <v>1521</v>
      </c>
      <c r="U324" s="302">
        <v>296</v>
      </c>
      <c r="V324" s="302">
        <v>298</v>
      </c>
      <c r="W324" s="303">
        <v>44256</v>
      </c>
      <c r="X324" s="303">
        <v>44365</v>
      </c>
      <c r="Y324" s="304">
        <v>44396</v>
      </c>
      <c r="Z324" s="311">
        <f t="shared" ref="Z324:Z387" si="43">IF(YEAR(Y324)&gt;2000,YEAR(Y324),YEAR(X324))</f>
        <v>2021</v>
      </c>
      <c r="AA324" s="311">
        <f t="shared" ref="AA324:AA387" si="44">MONTH(Y324)</f>
        <v>7</v>
      </c>
      <c r="AB324" s="305" t="s">
        <v>920</v>
      </c>
      <c r="AC324" s="305" t="s">
        <v>422</v>
      </c>
      <c r="AD324" s="305" t="s">
        <v>422</v>
      </c>
      <c r="AE324" s="305" t="s">
        <v>422</v>
      </c>
      <c r="AF324" s="305" t="s">
        <v>422</v>
      </c>
      <c r="AG324" s="305" t="s">
        <v>422</v>
      </c>
      <c r="AH324" s="305" t="s">
        <v>422</v>
      </c>
      <c r="AI324" s="305" t="s">
        <v>423</v>
      </c>
      <c r="AJ324" s="305" t="s">
        <v>423</v>
      </c>
      <c r="AK324" s="306" t="s">
        <v>140</v>
      </c>
      <c r="AL324" s="35"/>
      <c r="AM324" s="35"/>
    </row>
    <row r="325" spans="1:39" ht="15" customHeight="1" x14ac:dyDescent="0.3">
      <c r="A325" s="185">
        <v>297</v>
      </c>
      <c r="B325" s="296" t="s">
        <v>1474</v>
      </c>
      <c r="C325" s="297" t="s">
        <v>1616</v>
      </c>
      <c r="D325" s="334" t="s">
        <v>1848</v>
      </c>
      <c r="E325" s="336" t="s">
        <v>1596</v>
      </c>
      <c r="F325" s="299" t="s">
        <v>1601</v>
      </c>
      <c r="G325" s="298" t="s">
        <v>1596</v>
      </c>
      <c r="H325" s="300" t="s">
        <v>422</v>
      </c>
      <c r="I325" s="318">
        <v>2</v>
      </c>
      <c r="J325" s="318">
        <v>10.5</v>
      </c>
      <c r="K325" s="356">
        <v>11</v>
      </c>
      <c r="L325" s="212">
        <v>1.2</v>
      </c>
      <c r="M325" s="212">
        <f t="shared" si="37"/>
        <v>24.7</v>
      </c>
      <c r="N325" s="212">
        <f t="shared" si="38"/>
        <v>16</v>
      </c>
      <c r="O325" s="212">
        <f t="shared" si="39"/>
        <v>42</v>
      </c>
      <c r="P325" s="212">
        <f t="shared" si="40"/>
        <v>73.333333333333343</v>
      </c>
      <c r="Q325" s="212">
        <f t="shared" si="41"/>
        <v>9.6</v>
      </c>
      <c r="R325" s="212">
        <f t="shared" si="42"/>
        <v>140.93333333333334</v>
      </c>
      <c r="S325" s="301" t="s">
        <v>1363</v>
      </c>
      <c r="T325" s="301" t="s">
        <v>1522</v>
      </c>
      <c r="U325" s="302">
        <v>266</v>
      </c>
      <c r="V325" s="302">
        <v>268</v>
      </c>
      <c r="W325" s="303">
        <v>44256</v>
      </c>
      <c r="X325" s="303">
        <v>44365</v>
      </c>
      <c r="Y325" s="304">
        <v>44396</v>
      </c>
      <c r="Z325" s="311">
        <f t="shared" si="43"/>
        <v>2021</v>
      </c>
      <c r="AA325" s="311">
        <f t="shared" si="44"/>
        <v>7</v>
      </c>
      <c r="AB325" s="305" t="s">
        <v>920</v>
      </c>
      <c r="AC325" s="305" t="s">
        <v>422</v>
      </c>
      <c r="AD325" s="305" t="s">
        <v>422</v>
      </c>
      <c r="AE325" s="305" t="s">
        <v>422</v>
      </c>
      <c r="AF325" s="305" t="s">
        <v>422</v>
      </c>
      <c r="AG325" s="305" t="s">
        <v>422</v>
      </c>
      <c r="AH325" s="305" t="s">
        <v>422</v>
      </c>
      <c r="AI325" s="305" t="s">
        <v>423</v>
      </c>
      <c r="AJ325" s="305" t="s">
        <v>423</v>
      </c>
      <c r="AK325" s="306" t="s">
        <v>1424</v>
      </c>
      <c r="AL325" s="35"/>
      <c r="AM325" s="35"/>
    </row>
    <row r="326" spans="1:39" ht="15" customHeight="1" x14ac:dyDescent="0.3">
      <c r="A326" s="185">
        <v>298</v>
      </c>
      <c r="B326" s="296" t="s">
        <v>1475</v>
      </c>
      <c r="C326" s="297" t="s">
        <v>1616</v>
      </c>
      <c r="D326" s="334" t="s">
        <v>1848</v>
      </c>
      <c r="E326" s="336" t="s">
        <v>1596</v>
      </c>
      <c r="F326" s="299" t="s">
        <v>1601</v>
      </c>
      <c r="G326" s="298" t="s">
        <v>1596</v>
      </c>
      <c r="H326" s="300" t="s">
        <v>1596</v>
      </c>
      <c r="I326" s="318">
        <v>1.2</v>
      </c>
      <c r="J326" s="318">
        <v>2.5</v>
      </c>
      <c r="K326" s="356">
        <v>5.5</v>
      </c>
      <c r="L326" s="212">
        <v>0.5</v>
      </c>
      <c r="M326" s="212">
        <f t="shared" si="37"/>
        <v>9.6999999999999993</v>
      </c>
      <c r="N326" s="212">
        <f t="shared" si="38"/>
        <v>9.6</v>
      </c>
      <c r="O326" s="212">
        <f t="shared" si="39"/>
        <v>10</v>
      </c>
      <c r="P326" s="212">
        <f t="shared" si="40"/>
        <v>36.666666666666671</v>
      </c>
      <c r="Q326" s="212">
        <f t="shared" si="41"/>
        <v>4</v>
      </c>
      <c r="R326" s="212">
        <f t="shared" si="42"/>
        <v>60.266666666666673</v>
      </c>
      <c r="S326" s="301" t="s">
        <v>1364</v>
      </c>
      <c r="T326" s="301" t="s">
        <v>1523</v>
      </c>
      <c r="U326" s="302">
        <v>84</v>
      </c>
      <c r="V326" s="302">
        <v>86</v>
      </c>
      <c r="W326" s="303">
        <v>44256</v>
      </c>
      <c r="X326" s="303">
        <v>44365</v>
      </c>
      <c r="Y326" s="304">
        <v>44396</v>
      </c>
      <c r="Z326" s="311">
        <f t="shared" si="43"/>
        <v>2021</v>
      </c>
      <c r="AA326" s="311">
        <f t="shared" si="44"/>
        <v>7</v>
      </c>
      <c r="AB326" s="305" t="s">
        <v>920</v>
      </c>
      <c r="AC326" s="305" t="s">
        <v>422</v>
      </c>
      <c r="AD326" s="305" t="s">
        <v>422</v>
      </c>
      <c r="AE326" s="305" t="s">
        <v>422</v>
      </c>
      <c r="AF326" s="305" t="s">
        <v>422</v>
      </c>
      <c r="AG326" s="305" t="s">
        <v>422</v>
      </c>
      <c r="AH326" s="305" t="s">
        <v>422</v>
      </c>
      <c r="AI326" s="305" t="s">
        <v>423</v>
      </c>
      <c r="AJ326" s="305" t="s">
        <v>423</v>
      </c>
      <c r="AK326" s="306" t="s">
        <v>138</v>
      </c>
      <c r="AL326" s="35"/>
      <c r="AM326" s="35"/>
    </row>
    <row r="327" spans="1:39" ht="15" customHeight="1" x14ac:dyDescent="0.3">
      <c r="A327" s="185">
        <v>299</v>
      </c>
      <c r="B327" s="296" t="s">
        <v>1476</v>
      </c>
      <c r="C327" s="297" t="s">
        <v>1616</v>
      </c>
      <c r="D327" s="334" t="s">
        <v>1848</v>
      </c>
      <c r="E327" s="298" t="s">
        <v>1596</v>
      </c>
      <c r="F327" s="299" t="s">
        <v>1597</v>
      </c>
      <c r="G327" s="298" t="s">
        <v>1596</v>
      </c>
      <c r="H327" s="300" t="s">
        <v>422</v>
      </c>
      <c r="I327" s="356">
        <v>2</v>
      </c>
      <c r="J327" s="318">
        <v>2.5</v>
      </c>
      <c r="K327" s="318">
        <v>5.5</v>
      </c>
      <c r="L327" s="212">
        <v>0.5</v>
      </c>
      <c r="M327" s="212">
        <f t="shared" ref="M327:M390" si="45">SUM((I327:L327))</f>
        <v>10.5</v>
      </c>
      <c r="N327" s="212">
        <f t="shared" ref="N327:N390" si="46">+I327/0.125</f>
        <v>16</v>
      </c>
      <c r="O327" s="212">
        <f t="shared" ref="O327:O390" si="47">+J327/0.25</f>
        <v>10</v>
      </c>
      <c r="P327" s="212">
        <f t="shared" ref="P327:P390" si="48">+K327/0.15</f>
        <v>36.666666666666671</v>
      </c>
      <c r="Q327" s="212">
        <f t="shared" ref="Q327:Q390" si="49">+L327/0.125</f>
        <v>4</v>
      </c>
      <c r="R327" s="212">
        <f t="shared" ref="R327:R390" si="50">SUM(N327:Q327)</f>
        <v>66.666666666666671</v>
      </c>
      <c r="S327" s="301" t="s">
        <v>1364</v>
      </c>
      <c r="T327" s="301" t="s">
        <v>1524</v>
      </c>
      <c r="U327" s="302">
        <v>90</v>
      </c>
      <c r="V327" s="302">
        <v>90</v>
      </c>
      <c r="W327" s="303">
        <v>44256</v>
      </c>
      <c r="X327" s="303">
        <v>44365</v>
      </c>
      <c r="Y327" s="304">
        <v>44396</v>
      </c>
      <c r="Z327" s="311">
        <f t="shared" si="43"/>
        <v>2021</v>
      </c>
      <c r="AA327" s="311">
        <f t="shared" si="44"/>
        <v>7</v>
      </c>
      <c r="AB327" s="305" t="s">
        <v>920</v>
      </c>
      <c r="AC327" s="305" t="s">
        <v>422</v>
      </c>
      <c r="AD327" s="305" t="s">
        <v>422</v>
      </c>
      <c r="AE327" s="305" t="s">
        <v>422</v>
      </c>
      <c r="AF327" s="305" t="s">
        <v>422</v>
      </c>
      <c r="AG327" s="305" t="s">
        <v>422</v>
      </c>
      <c r="AH327" s="305" t="s">
        <v>422</v>
      </c>
      <c r="AI327" s="305" t="s">
        <v>423</v>
      </c>
      <c r="AJ327" s="305" t="s">
        <v>423</v>
      </c>
      <c r="AK327" s="306" t="s">
        <v>1424</v>
      </c>
      <c r="AL327" s="35"/>
      <c r="AM327" s="307"/>
    </row>
    <row r="328" spans="1:39" ht="15" customHeight="1" x14ac:dyDescent="0.3">
      <c r="A328" s="185">
        <v>300</v>
      </c>
      <c r="B328" s="296" t="s">
        <v>1477</v>
      </c>
      <c r="C328" s="297" t="s">
        <v>1616</v>
      </c>
      <c r="D328" s="334" t="s">
        <v>1848</v>
      </c>
      <c r="E328" s="298" t="s">
        <v>1596</v>
      </c>
      <c r="F328" s="299" t="s">
        <v>1601</v>
      </c>
      <c r="G328" s="298" t="s">
        <v>1596</v>
      </c>
      <c r="H328" s="300" t="s">
        <v>422</v>
      </c>
      <c r="I328" s="318">
        <v>1.8</v>
      </c>
      <c r="J328" s="318">
        <v>11</v>
      </c>
      <c r="K328" s="318">
        <v>8.5</v>
      </c>
      <c r="L328" s="212">
        <v>1</v>
      </c>
      <c r="M328" s="212">
        <f t="shared" si="45"/>
        <v>22.3</v>
      </c>
      <c r="N328" s="212">
        <f t="shared" si="46"/>
        <v>14.4</v>
      </c>
      <c r="O328" s="212">
        <f t="shared" si="47"/>
        <v>44</v>
      </c>
      <c r="P328" s="212">
        <f t="shared" si="48"/>
        <v>56.666666666666671</v>
      </c>
      <c r="Q328" s="212">
        <f t="shared" si="49"/>
        <v>8</v>
      </c>
      <c r="R328" s="212">
        <f t="shared" si="50"/>
        <v>123.06666666666666</v>
      </c>
      <c r="S328" s="301" t="s">
        <v>1350</v>
      </c>
      <c r="T328" s="301" t="s">
        <v>1525</v>
      </c>
      <c r="U328" s="302">
        <v>224</v>
      </c>
      <c r="V328" s="302">
        <v>226</v>
      </c>
      <c r="W328" s="303">
        <v>44256</v>
      </c>
      <c r="X328" s="303">
        <v>44365</v>
      </c>
      <c r="Y328" s="304">
        <v>44396</v>
      </c>
      <c r="Z328" s="311">
        <f t="shared" si="43"/>
        <v>2021</v>
      </c>
      <c r="AA328" s="311">
        <f t="shared" si="44"/>
        <v>7</v>
      </c>
      <c r="AB328" s="305" t="s">
        <v>920</v>
      </c>
      <c r="AC328" s="305" t="s">
        <v>422</v>
      </c>
      <c r="AD328" s="305" t="s">
        <v>422</v>
      </c>
      <c r="AE328" s="305" t="s">
        <v>422</v>
      </c>
      <c r="AF328" s="305" t="s">
        <v>422</v>
      </c>
      <c r="AG328" s="305" t="s">
        <v>422</v>
      </c>
      <c r="AH328" s="305" t="s">
        <v>422</v>
      </c>
      <c r="AI328" s="305" t="s">
        <v>423</v>
      </c>
      <c r="AJ328" s="305" t="s">
        <v>423</v>
      </c>
      <c r="AK328" s="306" t="s">
        <v>772</v>
      </c>
      <c r="AL328" s="35"/>
      <c r="AM328" s="35"/>
    </row>
    <row r="329" spans="1:39" ht="15" customHeight="1" x14ac:dyDescent="0.3">
      <c r="A329" s="185">
        <v>301</v>
      </c>
      <c r="B329" s="296" t="s">
        <v>1478</v>
      </c>
      <c r="C329" s="297" t="s">
        <v>1616</v>
      </c>
      <c r="D329" s="334" t="s">
        <v>1848</v>
      </c>
      <c r="E329" s="298" t="s">
        <v>1596</v>
      </c>
      <c r="F329" s="299" t="s">
        <v>1601</v>
      </c>
      <c r="G329" s="298" t="s">
        <v>1596</v>
      </c>
      <c r="H329" s="300" t="s">
        <v>422</v>
      </c>
      <c r="I329" s="318">
        <v>1.3</v>
      </c>
      <c r="J329" s="318">
        <v>11</v>
      </c>
      <c r="K329" s="318">
        <v>14</v>
      </c>
      <c r="L329" s="212">
        <v>1</v>
      </c>
      <c r="M329" s="212">
        <f t="shared" si="45"/>
        <v>27.3</v>
      </c>
      <c r="N329" s="212">
        <f t="shared" si="46"/>
        <v>10.4</v>
      </c>
      <c r="O329" s="212">
        <f t="shared" si="47"/>
        <v>44</v>
      </c>
      <c r="P329" s="212">
        <f t="shared" si="48"/>
        <v>93.333333333333343</v>
      </c>
      <c r="Q329" s="212">
        <f t="shared" si="49"/>
        <v>8</v>
      </c>
      <c r="R329" s="212">
        <f t="shared" si="50"/>
        <v>155.73333333333335</v>
      </c>
      <c r="S329" s="301" t="s">
        <v>1351</v>
      </c>
      <c r="T329" s="301" t="s">
        <v>1526</v>
      </c>
      <c r="U329" s="302">
        <v>232</v>
      </c>
      <c r="V329" s="302">
        <v>234</v>
      </c>
      <c r="W329" s="303">
        <v>44256</v>
      </c>
      <c r="X329" s="303">
        <v>44365</v>
      </c>
      <c r="Y329" s="304">
        <v>44396</v>
      </c>
      <c r="Z329" s="311">
        <f t="shared" si="43"/>
        <v>2021</v>
      </c>
      <c r="AA329" s="311">
        <f t="shared" si="44"/>
        <v>7</v>
      </c>
      <c r="AB329" s="305" t="s">
        <v>920</v>
      </c>
      <c r="AC329" s="305" t="s">
        <v>422</v>
      </c>
      <c r="AD329" s="305" t="s">
        <v>422</v>
      </c>
      <c r="AE329" s="305" t="s">
        <v>422</v>
      </c>
      <c r="AF329" s="305" t="s">
        <v>422</v>
      </c>
      <c r="AG329" s="305" t="s">
        <v>422</v>
      </c>
      <c r="AH329" s="305" t="s">
        <v>422</v>
      </c>
      <c r="AI329" s="305" t="s">
        <v>423</v>
      </c>
      <c r="AJ329" s="305" t="s">
        <v>423</v>
      </c>
      <c r="AK329" s="306" t="s">
        <v>772</v>
      </c>
      <c r="AL329" s="35"/>
      <c r="AM329" s="307"/>
    </row>
    <row r="330" spans="1:39" ht="15" customHeight="1" x14ac:dyDescent="0.3">
      <c r="A330" s="185">
        <v>302</v>
      </c>
      <c r="B330" s="296" t="s">
        <v>1479</v>
      </c>
      <c r="C330" s="297" t="s">
        <v>1616</v>
      </c>
      <c r="D330" s="315" t="s">
        <v>1848</v>
      </c>
      <c r="E330" s="298" t="s">
        <v>1596</v>
      </c>
      <c r="F330" s="299" t="s">
        <v>1601</v>
      </c>
      <c r="G330" s="298" t="s">
        <v>1596</v>
      </c>
      <c r="H330" s="300" t="s">
        <v>422</v>
      </c>
      <c r="I330" s="318">
        <v>1.3</v>
      </c>
      <c r="J330" s="318">
        <v>8.5</v>
      </c>
      <c r="K330" s="318">
        <v>14</v>
      </c>
      <c r="L330" s="212">
        <v>1</v>
      </c>
      <c r="M330" s="212">
        <f t="shared" si="45"/>
        <v>24.8</v>
      </c>
      <c r="N330" s="212">
        <f t="shared" si="46"/>
        <v>10.4</v>
      </c>
      <c r="O330" s="212">
        <f t="shared" si="47"/>
        <v>34</v>
      </c>
      <c r="P330" s="212">
        <f t="shared" si="48"/>
        <v>93.333333333333343</v>
      </c>
      <c r="Q330" s="212">
        <f t="shared" si="49"/>
        <v>8</v>
      </c>
      <c r="R330" s="212">
        <f t="shared" si="50"/>
        <v>145.73333333333335</v>
      </c>
      <c r="S330" s="301" t="s">
        <v>1352</v>
      </c>
      <c r="T330" s="301" t="s">
        <v>1527</v>
      </c>
      <c r="U330" s="302">
        <v>98</v>
      </c>
      <c r="V330" s="302">
        <v>100</v>
      </c>
      <c r="W330" s="303">
        <v>44256</v>
      </c>
      <c r="X330" s="303">
        <v>44365</v>
      </c>
      <c r="Y330" s="304">
        <v>44396</v>
      </c>
      <c r="Z330" s="311">
        <f t="shared" si="43"/>
        <v>2021</v>
      </c>
      <c r="AA330" s="311">
        <f t="shared" si="44"/>
        <v>7</v>
      </c>
      <c r="AB330" s="305" t="s">
        <v>920</v>
      </c>
      <c r="AC330" s="305" t="s">
        <v>422</v>
      </c>
      <c r="AD330" s="305" t="s">
        <v>422</v>
      </c>
      <c r="AE330" s="305" t="s">
        <v>422</v>
      </c>
      <c r="AF330" s="305" t="s">
        <v>422</v>
      </c>
      <c r="AG330" s="305" t="s">
        <v>422</v>
      </c>
      <c r="AH330" s="305" t="s">
        <v>422</v>
      </c>
      <c r="AI330" s="305" t="s">
        <v>423</v>
      </c>
      <c r="AJ330" s="305" t="s">
        <v>423</v>
      </c>
      <c r="AK330" s="306" t="s">
        <v>1424</v>
      </c>
      <c r="AL330" s="35"/>
      <c r="AM330" s="307"/>
    </row>
    <row r="331" spans="1:39" ht="15" customHeight="1" x14ac:dyDescent="0.3">
      <c r="A331" s="185">
        <v>303</v>
      </c>
      <c r="B331" s="296" t="s">
        <v>1480</v>
      </c>
      <c r="C331" s="297" t="s">
        <v>1616</v>
      </c>
      <c r="D331" s="315" t="s">
        <v>1848</v>
      </c>
      <c r="E331" s="298" t="s">
        <v>1596</v>
      </c>
      <c r="F331" s="299" t="s">
        <v>1597</v>
      </c>
      <c r="G331" s="298" t="s">
        <v>1596</v>
      </c>
      <c r="H331" s="300" t="s">
        <v>422</v>
      </c>
      <c r="I331" s="356">
        <v>2</v>
      </c>
      <c r="J331" s="318">
        <v>9.5</v>
      </c>
      <c r="K331" s="318">
        <v>14</v>
      </c>
      <c r="L331" s="212">
        <v>1.2</v>
      </c>
      <c r="M331" s="212">
        <f t="shared" si="45"/>
        <v>26.7</v>
      </c>
      <c r="N331" s="212">
        <f t="shared" si="46"/>
        <v>16</v>
      </c>
      <c r="O331" s="212">
        <f t="shared" si="47"/>
        <v>38</v>
      </c>
      <c r="P331" s="212">
        <f t="shared" si="48"/>
        <v>93.333333333333343</v>
      </c>
      <c r="Q331" s="212">
        <f t="shared" si="49"/>
        <v>9.6</v>
      </c>
      <c r="R331" s="212">
        <f t="shared" si="50"/>
        <v>156.93333333333334</v>
      </c>
      <c r="S331" s="301" t="s">
        <v>1353</v>
      </c>
      <c r="T331" s="301" t="s">
        <v>1528</v>
      </c>
      <c r="U331" s="302">
        <v>162</v>
      </c>
      <c r="V331" s="302">
        <v>164</v>
      </c>
      <c r="W331" s="303">
        <v>44256</v>
      </c>
      <c r="X331" s="303">
        <v>44365</v>
      </c>
      <c r="Y331" s="304">
        <v>44396</v>
      </c>
      <c r="Z331" s="311">
        <f t="shared" si="43"/>
        <v>2021</v>
      </c>
      <c r="AA331" s="311">
        <f t="shared" si="44"/>
        <v>7</v>
      </c>
      <c r="AB331" s="305" t="s">
        <v>920</v>
      </c>
      <c r="AC331" s="305" t="s">
        <v>422</v>
      </c>
      <c r="AD331" s="305" t="s">
        <v>422</v>
      </c>
      <c r="AE331" s="305" t="s">
        <v>422</v>
      </c>
      <c r="AF331" s="305" t="s">
        <v>422</v>
      </c>
      <c r="AG331" s="305" t="s">
        <v>422</v>
      </c>
      <c r="AH331" s="305" t="s">
        <v>422</v>
      </c>
      <c r="AI331" s="305" t="s">
        <v>423</v>
      </c>
      <c r="AJ331" s="305" t="s">
        <v>423</v>
      </c>
      <c r="AK331" s="306" t="s">
        <v>1424</v>
      </c>
      <c r="AL331" s="35"/>
      <c r="AM331" s="35"/>
    </row>
    <row r="332" spans="1:39" ht="15" customHeight="1" x14ac:dyDescent="0.3">
      <c r="A332" s="185">
        <v>304</v>
      </c>
      <c r="B332" s="296" t="s">
        <v>1481</v>
      </c>
      <c r="C332" s="297" t="s">
        <v>1616</v>
      </c>
      <c r="D332" s="315" t="s">
        <v>1848</v>
      </c>
      <c r="E332" s="298" t="s">
        <v>1596</v>
      </c>
      <c r="F332" s="299" t="s">
        <v>1601</v>
      </c>
      <c r="G332" s="298" t="s">
        <v>1596</v>
      </c>
      <c r="H332" s="300" t="s">
        <v>422</v>
      </c>
      <c r="I332" s="318">
        <v>2</v>
      </c>
      <c r="J332" s="318">
        <v>9.5</v>
      </c>
      <c r="K332" s="356">
        <v>8.5</v>
      </c>
      <c r="L332" s="212">
        <v>1</v>
      </c>
      <c r="M332" s="212">
        <f t="shared" si="45"/>
        <v>21</v>
      </c>
      <c r="N332" s="212">
        <f t="shared" si="46"/>
        <v>16</v>
      </c>
      <c r="O332" s="212">
        <f t="shared" si="47"/>
        <v>38</v>
      </c>
      <c r="P332" s="212">
        <f t="shared" si="48"/>
        <v>56.666666666666671</v>
      </c>
      <c r="Q332" s="212">
        <f t="shared" si="49"/>
        <v>8</v>
      </c>
      <c r="R332" s="212">
        <f t="shared" si="50"/>
        <v>118.66666666666667</v>
      </c>
      <c r="S332" s="301" t="s">
        <v>1354</v>
      </c>
      <c r="T332" s="301" t="s">
        <v>1529</v>
      </c>
      <c r="U332" s="302">
        <v>120</v>
      </c>
      <c r="V332" s="302">
        <v>122</v>
      </c>
      <c r="W332" s="303">
        <v>44256</v>
      </c>
      <c r="X332" s="303">
        <v>44365</v>
      </c>
      <c r="Y332" s="304">
        <v>44396</v>
      </c>
      <c r="Z332" s="311">
        <f t="shared" si="43"/>
        <v>2021</v>
      </c>
      <c r="AA332" s="311">
        <f t="shared" si="44"/>
        <v>7</v>
      </c>
      <c r="AB332" s="305" t="s">
        <v>920</v>
      </c>
      <c r="AC332" s="305" t="s">
        <v>422</v>
      </c>
      <c r="AD332" s="305" t="s">
        <v>422</v>
      </c>
      <c r="AE332" s="305" t="s">
        <v>422</v>
      </c>
      <c r="AF332" s="305" t="s">
        <v>422</v>
      </c>
      <c r="AG332" s="305" t="s">
        <v>422</v>
      </c>
      <c r="AH332" s="305" t="s">
        <v>422</v>
      </c>
      <c r="AI332" s="305" t="s">
        <v>423</v>
      </c>
      <c r="AJ332" s="305" t="s">
        <v>423</v>
      </c>
      <c r="AK332" s="306" t="s">
        <v>1424</v>
      </c>
      <c r="AL332" s="35"/>
      <c r="AM332" s="35"/>
    </row>
    <row r="333" spans="1:39" ht="15" customHeight="1" x14ac:dyDescent="0.3">
      <c r="A333" s="185">
        <v>305</v>
      </c>
      <c r="B333" s="296" t="s">
        <v>1482</v>
      </c>
      <c r="C333" s="297" t="s">
        <v>1616</v>
      </c>
      <c r="D333" s="315" t="s">
        <v>1848</v>
      </c>
      <c r="E333" s="298" t="s">
        <v>1596</v>
      </c>
      <c r="F333" s="299" t="s">
        <v>1597</v>
      </c>
      <c r="G333" s="298" t="s">
        <v>1596</v>
      </c>
      <c r="H333" s="300" t="s">
        <v>422</v>
      </c>
      <c r="I333" s="356">
        <v>2</v>
      </c>
      <c r="J333" s="318">
        <v>2.5</v>
      </c>
      <c r="K333" s="318">
        <v>5.5</v>
      </c>
      <c r="L333" s="212">
        <v>0.5</v>
      </c>
      <c r="M333" s="212">
        <f t="shared" si="45"/>
        <v>10.5</v>
      </c>
      <c r="N333" s="212">
        <f t="shared" si="46"/>
        <v>16</v>
      </c>
      <c r="O333" s="212">
        <f t="shared" si="47"/>
        <v>10</v>
      </c>
      <c r="P333" s="212">
        <f t="shared" si="48"/>
        <v>36.666666666666671</v>
      </c>
      <c r="Q333" s="212">
        <f t="shared" si="49"/>
        <v>4</v>
      </c>
      <c r="R333" s="212">
        <f t="shared" si="50"/>
        <v>66.666666666666671</v>
      </c>
      <c r="S333" s="301" t="s">
        <v>1355</v>
      </c>
      <c r="T333" s="301" t="s">
        <v>1530</v>
      </c>
      <c r="U333" s="302">
        <v>34</v>
      </c>
      <c r="V333" s="302">
        <v>35</v>
      </c>
      <c r="W333" s="303">
        <v>44256</v>
      </c>
      <c r="X333" s="303">
        <v>44365</v>
      </c>
      <c r="Y333" s="304">
        <v>44396</v>
      </c>
      <c r="Z333" s="311">
        <f t="shared" si="43"/>
        <v>2021</v>
      </c>
      <c r="AA333" s="311">
        <f t="shared" si="44"/>
        <v>7</v>
      </c>
      <c r="AB333" s="305" t="s">
        <v>920</v>
      </c>
      <c r="AC333" s="305" t="s">
        <v>422</v>
      </c>
      <c r="AD333" s="305" t="s">
        <v>422</v>
      </c>
      <c r="AE333" s="305" t="s">
        <v>422</v>
      </c>
      <c r="AF333" s="305" t="s">
        <v>422</v>
      </c>
      <c r="AG333" s="305" t="s">
        <v>422</v>
      </c>
      <c r="AH333" s="305" t="s">
        <v>422</v>
      </c>
      <c r="AI333" s="305" t="s">
        <v>423</v>
      </c>
      <c r="AJ333" s="305" t="s">
        <v>423</v>
      </c>
      <c r="AK333" s="306" t="s">
        <v>1424</v>
      </c>
      <c r="AL333" s="35"/>
      <c r="AM333" s="307"/>
    </row>
    <row r="334" spans="1:39" ht="15" customHeight="1" x14ac:dyDescent="0.3">
      <c r="A334" s="185">
        <v>306</v>
      </c>
      <c r="B334" s="296" t="s">
        <v>1483</v>
      </c>
      <c r="C334" s="297" t="s">
        <v>1616</v>
      </c>
      <c r="D334" s="315" t="s">
        <v>1848</v>
      </c>
      <c r="E334" s="298" t="s">
        <v>1596</v>
      </c>
      <c r="F334" s="299" t="s">
        <v>1597</v>
      </c>
      <c r="G334" s="298" t="s">
        <v>1596</v>
      </c>
      <c r="H334" s="300" t="s">
        <v>422</v>
      </c>
      <c r="I334" s="356">
        <v>2</v>
      </c>
      <c r="J334" s="318">
        <v>2.5</v>
      </c>
      <c r="K334" s="318">
        <v>5.5</v>
      </c>
      <c r="L334" s="212">
        <v>0.5</v>
      </c>
      <c r="M334" s="212">
        <f t="shared" si="45"/>
        <v>10.5</v>
      </c>
      <c r="N334" s="212">
        <f t="shared" si="46"/>
        <v>16</v>
      </c>
      <c r="O334" s="212">
        <f t="shared" si="47"/>
        <v>10</v>
      </c>
      <c r="P334" s="212">
        <f t="shared" si="48"/>
        <v>36.666666666666671</v>
      </c>
      <c r="Q334" s="212">
        <f t="shared" si="49"/>
        <v>4</v>
      </c>
      <c r="R334" s="212">
        <f t="shared" si="50"/>
        <v>66.666666666666671</v>
      </c>
      <c r="S334" s="301" t="s">
        <v>1356</v>
      </c>
      <c r="T334" s="301" t="s">
        <v>1531</v>
      </c>
      <c r="U334" s="302">
        <v>52</v>
      </c>
      <c r="V334" s="302">
        <v>52</v>
      </c>
      <c r="W334" s="303">
        <v>44256</v>
      </c>
      <c r="X334" s="303">
        <v>44365</v>
      </c>
      <c r="Y334" s="304">
        <v>44396</v>
      </c>
      <c r="Z334" s="311">
        <f t="shared" si="43"/>
        <v>2021</v>
      </c>
      <c r="AA334" s="311">
        <f t="shared" si="44"/>
        <v>7</v>
      </c>
      <c r="AB334" s="305" t="s">
        <v>920</v>
      </c>
      <c r="AC334" s="305" t="s">
        <v>422</v>
      </c>
      <c r="AD334" s="305" t="s">
        <v>422</v>
      </c>
      <c r="AE334" s="305" t="s">
        <v>422</v>
      </c>
      <c r="AF334" s="305" t="s">
        <v>422</v>
      </c>
      <c r="AG334" s="305" t="s">
        <v>422</v>
      </c>
      <c r="AH334" s="305" t="s">
        <v>422</v>
      </c>
      <c r="AI334" s="305" t="s">
        <v>423</v>
      </c>
      <c r="AJ334" s="305" t="s">
        <v>423</v>
      </c>
      <c r="AK334" s="306" t="s">
        <v>1424</v>
      </c>
      <c r="AL334" s="35"/>
      <c r="AM334" s="307"/>
    </row>
    <row r="335" spans="1:39" ht="15" customHeight="1" x14ac:dyDescent="0.3">
      <c r="A335" s="185">
        <v>307</v>
      </c>
      <c r="B335" s="296" t="s">
        <v>1484</v>
      </c>
      <c r="C335" s="297" t="s">
        <v>1616</v>
      </c>
      <c r="D335" s="315" t="s">
        <v>1848</v>
      </c>
      <c r="E335" s="298" t="s">
        <v>1596</v>
      </c>
      <c r="F335" s="299" t="s">
        <v>1601</v>
      </c>
      <c r="G335" s="298" t="s">
        <v>1596</v>
      </c>
      <c r="H335" s="300" t="s">
        <v>422</v>
      </c>
      <c r="I335" s="318">
        <v>1.2</v>
      </c>
      <c r="J335" s="318">
        <v>2.5</v>
      </c>
      <c r="K335" s="356">
        <v>5.5</v>
      </c>
      <c r="L335" s="212">
        <v>0.5</v>
      </c>
      <c r="M335" s="212">
        <f t="shared" si="45"/>
        <v>9.6999999999999993</v>
      </c>
      <c r="N335" s="212">
        <f t="shared" si="46"/>
        <v>9.6</v>
      </c>
      <c r="O335" s="212">
        <f t="shared" si="47"/>
        <v>10</v>
      </c>
      <c r="P335" s="212">
        <f t="shared" si="48"/>
        <v>36.666666666666671</v>
      </c>
      <c r="Q335" s="212">
        <f t="shared" si="49"/>
        <v>4</v>
      </c>
      <c r="R335" s="212">
        <f t="shared" si="50"/>
        <v>60.266666666666673</v>
      </c>
      <c r="S335" s="301" t="s">
        <v>1356</v>
      </c>
      <c r="T335" s="301" t="s">
        <v>1532</v>
      </c>
      <c r="U335" s="302">
        <v>8</v>
      </c>
      <c r="V335" s="302">
        <v>8</v>
      </c>
      <c r="W335" s="303">
        <v>44256</v>
      </c>
      <c r="X335" s="303">
        <v>44365</v>
      </c>
      <c r="Y335" s="304">
        <v>44396</v>
      </c>
      <c r="Z335" s="311">
        <f t="shared" si="43"/>
        <v>2021</v>
      </c>
      <c r="AA335" s="311">
        <f t="shared" si="44"/>
        <v>7</v>
      </c>
      <c r="AB335" s="305" t="s">
        <v>920</v>
      </c>
      <c r="AC335" s="305" t="s">
        <v>422</v>
      </c>
      <c r="AD335" s="305" t="s">
        <v>423</v>
      </c>
      <c r="AE335" s="305" t="s">
        <v>422</v>
      </c>
      <c r="AF335" s="305" t="s">
        <v>422</v>
      </c>
      <c r="AG335" s="305" t="s">
        <v>423</v>
      </c>
      <c r="AH335" s="305" t="s">
        <v>422</v>
      </c>
      <c r="AI335" s="305" t="s">
        <v>423</v>
      </c>
      <c r="AJ335" s="305" t="s">
        <v>423</v>
      </c>
      <c r="AK335" s="306" t="s">
        <v>138</v>
      </c>
      <c r="AL335" s="35"/>
      <c r="AM335" s="35"/>
    </row>
    <row r="336" spans="1:39" ht="15" customHeight="1" x14ac:dyDescent="0.3">
      <c r="A336" s="185">
        <v>309</v>
      </c>
      <c r="B336" s="267" t="s">
        <v>1537</v>
      </c>
      <c r="C336" s="247" t="s">
        <v>1615</v>
      </c>
      <c r="D336" s="199" t="s">
        <v>1881</v>
      </c>
      <c r="E336" s="196" t="s">
        <v>1596</v>
      </c>
      <c r="F336" s="269" t="s">
        <v>1597</v>
      </c>
      <c r="G336" s="196" t="s">
        <v>1604</v>
      </c>
      <c r="H336" s="248" t="s">
        <v>422</v>
      </c>
      <c r="I336" s="356">
        <v>2</v>
      </c>
      <c r="J336" s="317">
        <v>10</v>
      </c>
      <c r="K336" s="317">
        <v>0</v>
      </c>
      <c r="L336" s="212">
        <v>1.5</v>
      </c>
      <c r="M336" s="212">
        <f t="shared" si="45"/>
        <v>13.5</v>
      </c>
      <c r="N336" s="212">
        <f t="shared" si="46"/>
        <v>16</v>
      </c>
      <c r="O336" s="212">
        <f t="shared" si="47"/>
        <v>40</v>
      </c>
      <c r="P336" s="212">
        <f t="shared" si="48"/>
        <v>0</v>
      </c>
      <c r="Q336" s="212">
        <f t="shared" si="49"/>
        <v>12</v>
      </c>
      <c r="R336" s="212">
        <f t="shared" si="50"/>
        <v>68</v>
      </c>
      <c r="S336" s="270" t="s">
        <v>1539</v>
      </c>
      <c r="T336" s="270" t="s">
        <v>1032</v>
      </c>
      <c r="U336" s="272">
        <v>120</v>
      </c>
      <c r="V336" s="272">
        <v>120</v>
      </c>
      <c r="W336" s="246">
        <v>44123</v>
      </c>
      <c r="X336" s="246">
        <v>44185</v>
      </c>
      <c r="Y336" s="246">
        <v>44389</v>
      </c>
      <c r="Z336" s="311">
        <f t="shared" si="43"/>
        <v>2021</v>
      </c>
      <c r="AA336" s="311">
        <f t="shared" si="44"/>
        <v>7</v>
      </c>
      <c r="AB336" s="305" t="s">
        <v>920</v>
      </c>
      <c r="AC336" s="243" t="s">
        <v>422</v>
      </c>
      <c r="AD336" s="243" t="s">
        <v>422</v>
      </c>
      <c r="AE336" s="243" t="s">
        <v>422</v>
      </c>
      <c r="AF336" s="243" t="s">
        <v>422</v>
      </c>
      <c r="AG336" s="243" t="s">
        <v>422</v>
      </c>
      <c r="AH336" s="243" t="s">
        <v>423</v>
      </c>
      <c r="AI336" s="243" t="s">
        <v>422</v>
      </c>
      <c r="AJ336" s="243" t="s">
        <v>423</v>
      </c>
      <c r="AK336" s="244" t="s">
        <v>1372</v>
      </c>
      <c r="AL336" s="241"/>
      <c r="AM336" s="241"/>
    </row>
    <row r="337" spans="1:39" ht="15" customHeight="1" x14ac:dyDescent="0.3">
      <c r="A337" s="185">
        <v>310</v>
      </c>
      <c r="B337" s="267" t="s">
        <v>1538</v>
      </c>
      <c r="C337" s="247" t="s">
        <v>1615</v>
      </c>
      <c r="D337" s="199" t="s">
        <v>1881</v>
      </c>
      <c r="E337" s="196" t="s">
        <v>1596</v>
      </c>
      <c r="F337" s="269" t="s">
        <v>1597</v>
      </c>
      <c r="G337" s="196" t="s">
        <v>1604</v>
      </c>
      <c r="H337" s="248" t="s">
        <v>422</v>
      </c>
      <c r="I337" s="356">
        <v>2</v>
      </c>
      <c r="J337" s="317">
        <v>7</v>
      </c>
      <c r="K337" s="317">
        <v>0</v>
      </c>
      <c r="L337" s="212">
        <v>1</v>
      </c>
      <c r="M337" s="212">
        <f t="shared" si="45"/>
        <v>10</v>
      </c>
      <c r="N337" s="212">
        <f t="shared" si="46"/>
        <v>16</v>
      </c>
      <c r="O337" s="212">
        <f t="shared" si="47"/>
        <v>28</v>
      </c>
      <c r="P337" s="212">
        <f t="shared" si="48"/>
        <v>0</v>
      </c>
      <c r="Q337" s="212">
        <f t="shared" si="49"/>
        <v>8</v>
      </c>
      <c r="R337" s="212">
        <f t="shared" si="50"/>
        <v>52</v>
      </c>
      <c r="S337" s="270" t="s">
        <v>1540</v>
      </c>
      <c r="T337" s="270" t="s">
        <v>1541</v>
      </c>
      <c r="U337" s="272">
        <v>170</v>
      </c>
      <c r="V337" s="272">
        <v>170</v>
      </c>
      <c r="W337" s="246">
        <v>44286</v>
      </c>
      <c r="X337" s="246">
        <v>44317</v>
      </c>
      <c r="Y337" s="246">
        <v>44389</v>
      </c>
      <c r="Z337" s="311">
        <f t="shared" si="43"/>
        <v>2021</v>
      </c>
      <c r="AA337" s="311">
        <f t="shared" si="44"/>
        <v>7</v>
      </c>
      <c r="AB337" s="305" t="s">
        <v>920</v>
      </c>
      <c r="AC337" s="243" t="s">
        <v>422</v>
      </c>
      <c r="AD337" s="243" t="s">
        <v>422</v>
      </c>
      <c r="AE337" s="243" t="s">
        <v>422</v>
      </c>
      <c r="AF337" s="243" t="s">
        <v>422</v>
      </c>
      <c r="AG337" s="243" t="s">
        <v>422</v>
      </c>
      <c r="AH337" s="243" t="s">
        <v>423</v>
      </c>
      <c r="AI337" s="243" t="s">
        <v>422</v>
      </c>
      <c r="AJ337" s="243" t="s">
        <v>423</v>
      </c>
      <c r="AK337" s="244" t="s">
        <v>1372</v>
      </c>
      <c r="AL337" s="241"/>
      <c r="AM337" s="241"/>
    </row>
    <row r="338" spans="1:39" ht="15" customHeight="1" x14ac:dyDescent="0.3">
      <c r="A338" s="185">
        <v>311</v>
      </c>
      <c r="B338" s="267" t="s">
        <v>1619</v>
      </c>
      <c r="C338" s="247" t="s">
        <v>1615</v>
      </c>
      <c r="D338" s="199" t="s">
        <v>1881</v>
      </c>
      <c r="E338" s="196" t="s">
        <v>1596</v>
      </c>
      <c r="F338" s="269" t="s">
        <v>1597</v>
      </c>
      <c r="G338" s="196" t="s">
        <v>1604</v>
      </c>
      <c r="H338" s="248" t="s">
        <v>422</v>
      </c>
      <c r="I338" s="356">
        <v>2</v>
      </c>
      <c r="J338" s="317">
        <v>6.5</v>
      </c>
      <c r="K338" s="317">
        <v>0</v>
      </c>
      <c r="L338" s="212">
        <v>1</v>
      </c>
      <c r="M338" s="212">
        <f t="shared" si="45"/>
        <v>9.5</v>
      </c>
      <c r="N338" s="212">
        <f t="shared" si="46"/>
        <v>16</v>
      </c>
      <c r="O338" s="212">
        <f t="shared" si="47"/>
        <v>26</v>
      </c>
      <c r="P338" s="212">
        <f t="shared" si="48"/>
        <v>0</v>
      </c>
      <c r="Q338" s="212">
        <f t="shared" si="49"/>
        <v>8</v>
      </c>
      <c r="R338" s="212">
        <f t="shared" si="50"/>
        <v>50</v>
      </c>
      <c r="S338" s="270" t="s">
        <v>1542</v>
      </c>
      <c r="T338" s="270" t="s">
        <v>1541</v>
      </c>
      <c r="U338" s="272">
        <v>56</v>
      </c>
      <c r="V338" s="272">
        <v>56</v>
      </c>
      <c r="W338" s="246">
        <v>44286</v>
      </c>
      <c r="X338" s="246">
        <v>44317</v>
      </c>
      <c r="Y338" s="246">
        <v>44389</v>
      </c>
      <c r="Z338" s="311">
        <f t="shared" si="43"/>
        <v>2021</v>
      </c>
      <c r="AA338" s="311">
        <f t="shared" si="44"/>
        <v>7</v>
      </c>
      <c r="AB338" s="305" t="s">
        <v>920</v>
      </c>
      <c r="AC338" s="243" t="s">
        <v>422</v>
      </c>
      <c r="AD338" s="243" t="s">
        <v>422</v>
      </c>
      <c r="AE338" s="243" t="s">
        <v>422</v>
      </c>
      <c r="AF338" s="243" t="s">
        <v>422</v>
      </c>
      <c r="AG338" s="243" t="s">
        <v>422</v>
      </c>
      <c r="AH338" s="243" t="s">
        <v>423</v>
      </c>
      <c r="AI338" s="243" t="s">
        <v>422</v>
      </c>
      <c r="AJ338" s="243" t="s">
        <v>423</v>
      </c>
      <c r="AK338" s="244" t="s">
        <v>1372</v>
      </c>
      <c r="AL338" s="241"/>
      <c r="AM338" s="241"/>
    </row>
    <row r="339" spans="1:39" ht="15" customHeight="1" x14ac:dyDescent="0.3">
      <c r="A339" s="185">
        <v>320</v>
      </c>
      <c r="B339" s="267" t="s">
        <v>1501</v>
      </c>
      <c r="C339" s="247" t="s">
        <v>1615</v>
      </c>
      <c r="D339" s="199" t="s">
        <v>1881</v>
      </c>
      <c r="E339" s="269"/>
      <c r="F339" s="269" t="s">
        <v>1597</v>
      </c>
      <c r="G339" s="196" t="s">
        <v>1604</v>
      </c>
      <c r="H339" s="248" t="s">
        <v>422</v>
      </c>
      <c r="I339" s="356">
        <v>2</v>
      </c>
      <c r="J339" s="317">
        <v>4.5</v>
      </c>
      <c r="K339" s="317">
        <v>0</v>
      </c>
      <c r="L339" s="212">
        <v>1</v>
      </c>
      <c r="M339" s="212">
        <f t="shared" si="45"/>
        <v>7.5</v>
      </c>
      <c r="N339" s="212">
        <f t="shared" si="46"/>
        <v>16</v>
      </c>
      <c r="O339" s="212">
        <f t="shared" si="47"/>
        <v>18</v>
      </c>
      <c r="P339" s="212">
        <f t="shared" si="48"/>
        <v>0</v>
      </c>
      <c r="Q339" s="212">
        <f t="shared" si="49"/>
        <v>8</v>
      </c>
      <c r="R339" s="212">
        <f t="shared" si="50"/>
        <v>42</v>
      </c>
      <c r="S339" s="270" t="s">
        <v>1508</v>
      </c>
      <c r="T339" s="270" t="s">
        <v>1509</v>
      </c>
      <c r="U339" s="272">
        <v>104</v>
      </c>
      <c r="V339" s="272">
        <v>98</v>
      </c>
      <c r="W339" s="246">
        <v>44244</v>
      </c>
      <c r="X339" s="246">
        <v>44317</v>
      </c>
      <c r="Y339" s="245">
        <v>44389</v>
      </c>
      <c r="Z339" s="311">
        <f t="shared" si="43"/>
        <v>2021</v>
      </c>
      <c r="AA339" s="311">
        <f t="shared" si="44"/>
        <v>7</v>
      </c>
      <c r="AB339" s="243" t="s">
        <v>920</v>
      </c>
      <c r="AC339" s="243" t="s">
        <v>422</v>
      </c>
      <c r="AD339" s="243" t="s">
        <v>422</v>
      </c>
      <c r="AE339" s="243" t="s">
        <v>422</v>
      </c>
      <c r="AF339" s="243" t="s">
        <v>422</v>
      </c>
      <c r="AG339" s="243" t="s">
        <v>422</v>
      </c>
      <c r="AH339" s="243" t="s">
        <v>423</v>
      </c>
      <c r="AI339" s="243" t="s">
        <v>422</v>
      </c>
      <c r="AJ339" s="243" t="s">
        <v>423</v>
      </c>
      <c r="AK339" s="244" t="s">
        <v>1240</v>
      </c>
      <c r="AL339" s="241"/>
      <c r="AM339" s="241"/>
    </row>
    <row r="340" spans="1:39" ht="15" customHeight="1" x14ac:dyDescent="0.3">
      <c r="A340" s="185">
        <v>321</v>
      </c>
      <c r="B340" s="267" t="s">
        <v>1502</v>
      </c>
      <c r="C340" s="247" t="s">
        <v>1615</v>
      </c>
      <c r="D340" s="199" t="s">
        <v>1881</v>
      </c>
      <c r="E340" s="269"/>
      <c r="F340" s="269" t="s">
        <v>1597</v>
      </c>
      <c r="G340" s="196" t="s">
        <v>1604</v>
      </c>
      <c r="H340" s="248" t="s">
        <v>1596</v>
      </c>
      <c r="I340" s="356">
        <v>2</v>
      </c>
      <c r="J340" s="317">
        <v>4</v>
      </c>
      <c r="K340" s="317">
        <v>0</v>
      </c>
      <c r="L340" s="212">
        <v>1</v>
      </c>
      <c r="M340" s="212">
        <f t="shared" si="45"/>
        <v>7</v>
      </c>
      <c r="N340" s="212">
        <f t="shared" si="46"/>
        <v>16</v>
      </c>
      <c r="O340" s="212">
        <f t="shared" si="47"/>
        <v>16</v>
      </c>
      <c r="P340" s="212">
        <f t="shared" si="48"/>
        <v>0</v>
      </c>
      <c r="Q340" s="212">
        <f t="shared" si="49"/>
        <v>8</v>
      </c>
      <c r="R340" s="212">
        <f t="shared" si="50"/>
        <v>40</v>
      </c>
      <c r="S340" s="270" t="s">
        <v>1510</v>
      </c>
      <c r="T340" s="270" t="s">
        <v>1511</v>
      </c>
      <c r="U340" s="272">
        <f>61*2</f>
        <v>122</v>
      </c>
      <c r="V340" s="272">
        <v>116</v>
      </c>
      <c r="W340" s="246">
        <v>44244</v>
      </c>
      <c r="X340" s="246">
        <v>44317</v>
      </c>
      <c r="Y340" s="245">
        <v>44389</v>
      </c>
      <c r="Z340" s="311">
        <f t="shared" si="43"/>
        <v>2021</v>
      </c>
      <c r="AA340" s="311">
        <f t="shared" si="44"/>
        <v>7</v>
      </c>
      <c r="AB340" s="243" t="s">
        <v>920</v>
      </c>
      <c r="AC340" s="243" t="s">
        <v>422</v>
      </c>
      <c r="AD340" s="243" t="s">
        <v>423</v>
      </c>
      <c r="AE340" s="243" t="s">
        <v>422</v>
      </c>
      <c r="AF340" s="243" t="s">
        <v>422</v>
      </c>
      <c r="AG340" s="243" t="s">
        <v>423</v>
      </c>
      <c r="AH340" s="243" t="s">
        <v>423</v>
      </c>
      <c r="AI340" s="243" t="s">
        <v>423</v>
      </c>
      <c r="AJ340" s="243" t="s">
        <v>423</v>
      </c>
      <c r="AK340" s="244" t="s">
        <v>138</v>
      </c>
      <c r="AL340" s="241"/>
      <c r="AM340" s="241"/>
    </row>
    <row r="341" spans="1:39" ht="15" customHeight="1" x14ac:dyDescent="0.3">
      <c r="A341" s="185">
        <v>341</v>
      </c>
      <c r="B341" s="247" t="s">
        <v>1750</v>
      </c>
      <c r="C341" s="247" t="s">
        <v>1615</v>
      </c>
      <c r="D341" s="199" t="s">
        <v>1881</v>
      </c>
      <c r="E341" s="282"/>
      <c r="F341" s="282" t="s">
        <v>1601</v>
      </c>
      <c r="G341" s="196" t="s">
        <v>1604</v>
      </c>
      <c r="H341" s="248" t="s">
        <v>422</v>
      </c>
      <c r="I341" s="317">
        <v>1</v>
      </c>
      <c r="J341" s="317">
        <v>6.5</v>
      </c>
      <c r="K341" s="317">
        <v>0</v>
      </c>
      <c r="L341" s="212">
        <v>1</v>
      </c>
      <c r="M341" s="212">
        <f t="shared" si="45"/>
        <v>8.5</v>
      </c>
      <c r="N341" s="212">
        <f t="shared" si="46"/>
        <v>8</v>
      </c>
      <c r="O341" s="212">
        <f t="shared" si="47"/>
        <v>26</v>
      </c>
      <c r="P341" s="212">
        <f t="shared" si="48"/>
        <v>0</v>
      </c>
      <c r="Q341" s="212">
        <f t="shared" si="49"/>
        <v>8</v>
      </c>
      <c r="R341" s="212">
        <f t="shared" si="50"/>
        <v>42</v>
      </c>
      <c r="S341" s="312" t="s">
        <v>1624</v>
      </c>
      <c r="T341" s="313" t="s">
        <v>1825</v>
      </c>
      <c r="U341" s="280">
        <v>97</v>
      </c>
      <c r="V341" s="273">
        <f>103-2</f>
        <v>101</v>
      </c>
      <c r="W341" s="276">
        <v>44307</v>
      </c>
      <c r="X341" s="277">
        <v>44392</v>
      </c>
      <c r="Y341" s="277">
        <v>44389</v>
      </c>
      <c r="Z341" s="311">
        <f t="shared" si="43"/>
        <v>2021</v>
      </c>
      <c r="AA341" s="311">
        <f t="shared" si="44"/>
        <v>7</v>
      </c>
      <c r="AB341" s="278" t="s">
        <v>920</v>
      </c>
      <c r="AC341" s="278" t="s">
        <v>422</v>
      </c>
      <c r="AD341" s="278" t="s">
        <v>422</v>
      </c>
      <c r="AE341" s="278" t="s">
        <v>422</v>
      </c>
      <c r="AF341" s="278" t="s">
        <v>422</v>
      </c>
      <c r="AG341" s="243" t="s">
        <v>423</v>
      </c>
      <c r="AH341" s="243" t="s">
        <v>422</v>
      </c>
      <c r="AI341" s="278" t="s">
        <v>423</v>
      </c>
      <c r="AJ341" s="278" t="s">
        <v>422</v>
      </c>
      <c r="AK341" s="279" t="s">
        <v>1240</v>
      </c>
      <c r="AL341" s="29"/>
      <c r="AM341" s="29" t="s">
        <v>1756</v>
      </c>
    </row>
    <row r="342" spans="1:39" ht="15" customHeight="1" x14ac:dyDescent="0.3">
      <c r="A342" s="185">
        <v>346</v>
      </c>
      <c r="B342" s="326" t="s">
        <v>1894</v>
      </c>
      <c r="C342" s="247" t="s">
        <v>1615</v>
      </c>
      <c r="D342" s="199" t="s">
        <v>1881</v>
      </c>
      <c r="E342" s="282"/>
      <c r="F342" s="282" t="s">
        <v>1597</v>
      </c>
      <c r="G342" s="196" t="s">
        <v>1604</v>
      </c>
      <c r="H342" s="248" t="s">
        <v>422</v>
      </c>
      <c r="I342" s="317">
        <v>2</v>
      </c>
      <c r="J342" s="317">
        <v>9.8000000000000007</v>
      </c>
      <c r="K342" s="317">
        <v>0</v>
      </c>
      <c r="L342" s="212">
        <v>1.5</v>
      </c>
      <c r="M342" s="212">
        <f t="shared" si="45"/>
        <v>13.3</v>
      </c>
      <c r="N342" s="212">
        <f t="shared" si="46"/>
        <v>16</v>
      </c>
      <c r="O342" s="212">
        <f t="shared" si="47"/>
        <v>39.200000000000003</v>
      </c>
      <c r="P342" s="212">
        <f t="shared" si="48"/>
        <v>0</v>
      </c>
      <c r="Q342" s="212">
        <f t="shared" si="49"/>
        <v>12</v>
      </c>
      <c r="R342" s="212">
        <f t="shared" si="50"/>
        <v>67.2</v>
      </c>
      <c r="S342" s="283" t="s">
        <v>1627</v>
      </c>
      <c r="T342" s="284" t="s">
        <v>1824</v>
      </c>
      <c r="U342" s="280">
        <v>118</v>
      </c>
      <c r="V342" s="273">
        <v>121</v>
      </c>
      <c r="W342" s="276">
        <v>44307</v>
      </c>
      <c r="X342" s="277">
        <v>44392</v>
      </c>
      <c r="Y342" s="277">
        <v>44389</v>
      </c>
      <c r="Z342" s="311">
        <f t="shared" si="43"/>
        <v>2021</v>
      </c>
      <c r="AA342" s="311">
        <f t="shared" si="44"/>
        <v>7</v>
      </c>
      <c r="AB342" s="278" t="s">
        <v>920</v>
      </c>
      <c r="AC342" s="278" t="s">
        <v>422</v>
      </c>
      <c r="AD342" s="278" t="s">
        <v>422</v>
      </c>
      <c r="AE342" s="278" t="s">
        <v>422</v>
      </c>
      <c r="AF342" s="278" t="s">
        <v>422</v>
      </c>
      <c r="AG342" s="278" t="s">
        <v>422</v>
      </c>
      <c r="AH342" s="243" t="s">
        <v>423</v>
      </c>
      <c r="AI342" s="243" t="s">
        <v>422</v>
      </c>
      <c r="AJ342" s="243" t="s">
        <v>423</v>
      </c>
      <c r="AK342" s="279" t="s">
        <v>1240</v>
      </c>
      <c r="AL342" s="29"/>
      <c r="AM342" s="29" t="s">
        <v>1821</v>
      </c>
    </row>
    <row r="343" spans="1:39" ht="15" customHeight="1" x14ac:dyDescent="0.3">
      <c r="A343" s="185">
        <v>350</v>
      </c>
      <c r="B343" s="326" t="s">
        <v>1633</v>
      </c>
      <c r="C343" s="247" t="s">
        <v>1615</v>
      </c>
      <c r="D343" s="200" t="s">
        <v>1881</v>
      </c>
      <c r="E343" s="267"/>
      <c r="F343" s="350" t="s">
        <v>1597</v>
      </c>
      <c r="G343" s="196" t="s">
        <v>1604</v>
      </c>
      <c r="H343" s="248" t="s">
        <v>422</v>
      </c>
      <c r="I343" s="317">
        <v>2</v>
      </c>
      <c r="J343" s="248">
        <v>15</v>
      </c>
      <c r="K343" s="248">
        <v>0</v>
      </c>
      <c r="L343" s="212">
        <v>1</v>
      </c>
      <c r="M343" s="212">
        <f t="shared" si="45"/>
        <v>18</v>
      </c>
      <c r="N343" s="212">
        <f t="shared" si="46"/>
        <v>16</v>
      </c>
      <c r="O343" s="212">
        <f t="shared" si="47"/>
        <v>60</v>
      </c>
      <c r="P343" s="212">
        <f t="shared" si="48"/>
        <v>0</v>
      </c>
      <c r="Q343" s="212">
        <f t="shared" si="49"/>
        <v>8</v>
      </c>
      <c r="R343" s="212">
        <f t="shared" si="50"/>
        <v>84</v>
      </c>
      <c r="S343" s="286" t="s">
        <v>1634</v>
      </c>
      <c r="T343" s="287" t="s">
        <v>1299</v>
      </c>
      <c r="U343" s="272">
        <v>104</v>
      </c>
      <c r="V343" s="272">
        <v>105</v>
      </c>
      <c r="W343" s="276">
        <v>44307</v>
      </c>
      <c r="X343" s="277">
        <v>44392</v>
      </c>
      <c r="Y343" s="246">
        <v>44389</v>
      </c>
      <c r="Z343" s="311">
        <f t="shared" si="43"/>
        <v>2021</v>
      </c>
      <c r="AA343" s="311">
        <f t="shared" si="44"/>
        <v>7</v>
      </c>
      <c r="AB343" s="305" t="s">
        <v>920</v>
      </c>
      <c r="AC343" s="278" t="s">
        <v>422</v>
      </c>
      <c r="AD343" s="278" t="s">
        <v>422</v>
      </c>
      <c r="AE343" s="278" t="s">
        <v>422</v>
      </c>
      <c r="AF343" s="278" t="s">
        <v>422</v>
      </c>
      <c r="AG343" s="278" t="s">
        <v>422</v>
      </c>
      <c r="AH343" s="243" t="s">
        <v>423</v>
      </c>
      <c r="AI343" s="243" t="s">
        <v>423</v>
      </c>
      <c r="AJ343" s="243" t="s">
        <v>423</v>
      </c>
      <c r="AK343" s="244" t="s">
        <v>1240</v>
      </c>
      <c r="AL343" s="241"/>
      <c r="AM343" s="242"/>
    </row>
    <row r="344" spans="1:39" s="309" customFormat="1" ht="15" customHeight="1" x14ac:dyDescent="0.3">
      <c r="A344" s="185">
        <v>351</v>
      </c>
      <c r="B344" s="326" t="s">
        <v>1635</v>
      </c>
      <c r="C344" s="281" t="s">
        <v>1615</v>
      </c>
      <c r="D344" s="200" t="s">
        <v>1881</v>
      </c>
      <c r="E344" s="269"/>
      <c r="F344" s="269" t="s">
        <v>1597</v>
      </c>
      <c r="G344" s="196" t="s">
        <v>1604</v>
      </c>
      <c r="H344" s="248"/>
      <c r="I344" s="317">
        <v>2</v>
      </c>
      <c r="J344" s="317">
        <v>14</v>
      </c>
      <c r="K344" s="317">
        <v>0</v>
      </c>
      <c r="L344" s="212">
        <v>1</v>
      </c>
      <c r="M344" s="212">
        <f t="shared" si="45"/>
        <v>17</v>
      </c>
      <c r="N344" s="212">
        <f t="shared" si="46"/>
        <v>16</v>
      </c>
      <c r="O344" s="212">
        <f t="shared" si="47"/>
        <v>56</v>
      </c>
      <c r="P344" s="212">
        <f t="shared" si="48"/>
        <v>0</v>
      </c>
      <c r="Q344" s="212">
        <f t="shared" si="49"/>
        <v>8</v>
      </c>
      <c r="R344" s="212">
        <f t="shared" si="50"/>
        <v>80</v>
      </c>
      <c r="S344" s="283" t="s">
        <v>1636</v>
      </c>
      <c r="T344" s="284" t="s">
        <v>1637</v>
      </c>
      <c r="U344" s="272">
        <v>16</v>
      </c>
      <c r="V344" s="272">
        <v>17</v>
      </c>
      <c r="W344" s="276">
        <v>44307</v>
      </c>
      <c r="X344" s="277">
        <v>44392</v>
      </c>
      <c r="Y344" s="246">
        <v>44389</v>
      </c>
      <c r="Z344" s="311">
        <f t="shared" si="43"/>
        <v>2021</v>
      </c>
      <c r="AA344" s="311">
        <f t="shared" si="44"/>
        <v>7</v>
      </c>
      <c r="AB344" s="305" t="s">
        <v>920</v>
      </c>
      <c r="AC344" s="278" t="s">
        <v>422</v>
      </c>
      <c r="AD344" s="278" t="s">
        <v>422</v>
      </c>
      <c r="AE344" s="278" t="s">
        <v>422</v>
      </c>
      <c r="AF344" s="278" t="s">
        <v>422</v>
      </c>
      <c r="AG344" s="278" t="s">
        <v>422</v>
      </c>
      <c r="AH344" s="243" t="s">
        <v>423</v>
      </c>
      <c r="AI344" s="278" t="s">
        <v>422</v>
      </c>
      <c r="AJ344" s="243" t="s">
        <v>423</v>
      </c>
      <c r="AK344" s="244" t="s">
        <v>1240</v>
      </c>
      <c r="AL344" s="241"/>
      <c r="AM344" s="242"/>
    </row>
    <row r="345" spans="1:39" s="309" customFormat="1" ht="15" customHeight="1" x14ac:dyDescent="0.3">
      <c r="A345" s="185">
        <v>357</v>
      </c>
      <c r="B345" s="326" t="s">
        <v>1653</v>
      </c>
      <c r="C345" s="281" t="s">
        <v>1615</v>
      </c>
      <c r="D345" s="200" t="s">
        <v>1881</v>
      </c>
      <c r="E345" s="269"/>
      <c r="F345" s="269" t="s">
        <v>1777</v>
      </c>
      <c r="G345" s="196" t="s">
        <v>1604</v>
      </c>
      <c r="H345" s="248" t="s">
        <v>422</v>
      </c>
      <c r="I345" s="317">
        <v>1</v>
      </c>
      <c r="J345" s="317">
        <v>5.2</v>
      </c>
      <c r="K345" s="317">
        <v>0</v>
      </c>
      <c r="L345" s="212">
        <v>1</v>
      </c>
      <c r="M345" s="212">
        <f t="shared" si="45"/>
        <v>7.2</v>
      </c>
      <c r="N345" s="212">
        <f t="shared" si="46"/>
        <v>8</v>
      </c>
      <c r="O345" s="212">
        <f t="shared" si="47"/>
        <v>20.8</v>
      </c>
      <c r="P345" s="212">
        <f t="shared" si="48"/>
        <v>0</v>
      </c>
      <c r="Q345" s="212">
        <f t="shared" si="49"/>
        <v>8</v>
      </c>
      <c r="R345" s="212">
        <f t="shared" si="50"/>
        <v>36.799999999999997</v>
      </c>
      <c r="S345" s="283" t="s">
        <v>1654</v>
      </c>
      <c r="T345" s="284" t="s">
        <v>1304</v>
      </c>
      <c r="U345" s="272">
        <v>200</v>
      </c>
      <c r="V345" s="280">
        <v>200</v>
      </c>
      <c r="W345" s="276">
        <v>44314</v>
      </c>
      <c r="X345" s="277">
        <v>44362</v>
      </c>
      <c r="Y345" s="245">
        <v>44389</v>
      </c>
      <c r="Z345" s="311">
        <f t="shared" si="43"/>
        <v>2021</v>
      </c>
      <c r="AA345" s="311">
        <f t="shared" si="44"/>
        <v>7</v>
      </c>
      <c r="AB345" s="243" t="s">
        <v>920</v>
      </c>
      <c r="AC345" s="243" t="s">
        <v>422</v>
      </c>
      <c r="AD345" s="243" t="s">
        <v>422</v>
      </c>
      <c r="AE345" s="243" t="s">
        <v>422</v>
      </c>
      <c r="AF345" s="243" t="s">
        <v>422</v>
      </c>
      <c r="AG345" s="243" t="s">
        <v>422</v>
      </c>
      <c r="AH345" s="243" t="s">
        <v>423</v>
      </c>
      <c r="AI345" s="243" t="s">
        <v>422</v>
      </c>
      <c r="AJ345" s="243" t="s">
        <v>423</v>
      </c>
      <c r="AK345" s="244" t="s">
        <v>140</v>
      </c>
      <c r="AL345" s="241"/>
      <c r="AM345" s="242"/>
    </row>
    <row r="346" spans="1:39" s="309" customFormat="1" ht="15" customHeight="1" x14ac:dyDescent="0.3">
      <c r="A346" s="185">
        <v>367</v>
      </c>
      <c r="B346" s="326" t="s">
        <v>1681</v>
      </c>
      <c r="C346" s="281" t="s">
        <v>1615</v>
      </c>
      <c r="D346" s="200" t="s">
        <v>1881</v>
      </c>
      <c r="E346" s="269"/>
      <c r="F346" s="269" t="s">
        <v>1597</v>
      </c>
      <c r="G346" s="196" t="s">
        <v>1604</v>
      </c>
      <c r="H346" s="248" t="s">
        <v>422</v>
      </c>
      <c r="I346" s="317">
        <v>2</v>
      </c>
      <c r="J346" s="317">
        <v>10.5</v>
      </c>
      <c r="K346" s="317">
        <v>0</v>
      </c>
      <c r="L346" s="212">
        <v>1.5</v>
      </c>
      <c r="M346" s="212">
        <f t="shared" si="45"/>
        <v>14</v>
      </c>
      <c r="N346" s="212">
        <f t="shared" si="46"/>
        <v>16</v>
      </c>
      <c r="O346" s="212">
        <f t="shared" si="47"/>
        <v>42</v>
      </c>
      <c r="P346" s="212">
        <f t="shared" si="48"/>
        <v>0</v>
      </c>
      <c r="Q346" s="212">
        <f t="shared" si="49"/>
        <v>12</v>
      </c>
      <c r="R346" s="212">
        <f t="shared" si="50"/>
        <v>70</v>
      </c>
      <c r="S346" s="353" t="s">
        <v>1685</v>
      </c>
      <c r="T346" s="284" t="s">
        <v>1326</v>
      </c>
      <c r="U346" s="272">
        <v>129</v>
      </c>
      <c r="V346" s="272">
        <v>129</v>
      </c>
      <c r="W346" s="276">
        <v>44343</v>
      </c>
      <c r="X346" s="277">
        <v>44392</v>
      </c>
      <c r="Y346" s="245">
        <v>44389</v>
      </c>
      <c r="Z346" s="311">
        <f t="shared" si="43"/>
        <v>2021</v>
      </c>
      <c r="AA346" s="311">
        <f t="shared" si="44"/>
        <v>7</v>
      </c>
      <c r="AB346" s="278" t="s">
        <v>920</v>
      </c>
      <c r="AC346" s="243" t="s">
        <v>422</v>
      </c>
      <c r="AD346" s="291" t="s">
        <v>422</v>
      </c>
      <c r="AE346" s="291" t="s">
        <v>422</v>
      </c>
      <c r="AF346" s="291" t="s">
        <v>422</v>
      </c>
      <c r="AG346" s="291" t="s">
        <v>422</v>
      </c>
      <c r="AH346" s="291" t="s">
        <v>423</v>
      </c>
      <c r="AI346" s="291" t="s">
        <v>422</v>
      </c>
      <c r="AJ346" s="291" t="s">
        <v>423</v>
      </c>
      <c r="AK346" s="244" t="s">
        <v>140</v>
      </c>
      <c r="AL346" s="241"/>
      <c r="AM346" s="242"/>
    </row>
    <row r="347" spans="1:39" s="309" customFormat="1" ht="15" customHeight="1" x14ac:dyDescent="0.3">
      <c r="A347" s="185">
        <v>368</v>
      </c>
      <c r="B347" s="326" t="s">
        <v>1682</v>
      </c>
      <c r="C347" s="281" t="s">
        <v>1615</v>
      </c>
      <c r="D347" s="200" t="s">
        <v>1881</v>
      </c>
      <c r="E347" s="269"/>
      <c r="F347" s="269" t="s">
        <v>1597</v>
      </c>
      <c r="G347" s="196" t="s">
        <v>1604</v>
      </c>
      <c r="H347" s="248" t="s">
        <v>422</v>
      </c>
      <c r="I347" s="317">
        <v>2</v>
      </c>
      <c r="J347" s="317">
        <v>10.5</v>
      </c>
      <c r="K347" s="317">
        <v>0</v>
      </c>
      <c r="L347" s="212">
        <v>1.5</v>
      </c>
      <c r="M347" s="212">
        <f t="shared" si="45"/>
        <v>14</v>
      </c>
      <c r="N347" s="212">
        <f t="shared" si="46"/>
        <v>16</v>
      </c>
      <c r="O347" s="212">
        <f t="shared" si="47"/>
        <v>42</v>
      </c>
      <c r="P347" s="212">
        <f t="shared" si="48"/>
        <v>0</v>
      </c>
      <c r="Q347" s="212">
        <f t="shared" si="49"/>
        <v>12</v>
      </c>
      <c r="R347" s="212">
        <f t="shared" si="50"/>
        <v>70</v>
      </c>
      <c r="S347" s="353" t="s">
        <v>1686</v>
      </c>
      <c r="T347" s="284" t="s">
        <v>1687</v>
      </c>
      <c r="U347" s="272">
        <v>76</v>
      </c>
      <c r="V347" s="272">
        <v>76</v>
      </c>
      <c r="W347" s="276">
        <v>44343</v>
      </c>
      <c r="X347" s="277">
        <v>44397</v>
      </c>
      <c r="Y347" s="245">
        <v>44389</v>
      </c>
      <c r="Z347" s="311">
        <f t="shared" si="43"/>
        <v>2021</v>
      </c>
      <c r="AA347" s="311">
        <f t="shared" si="44"/>
        <v>7</v>
      </c>
      <c r="AB347" s="278" t="s">
        <v>920</v>
      </c>
      <c r="AC347" s="243" t="s">
        <v>422</v>
      </c>
      <c r="AD347" s="291" t="s">
        <v>422</v>
      </c>
      <c r="AE347" s="291" t="s">
        <v>422</v>
      </c>
      <c r="AF347" s="291" t="s">
        <v>422</v>
      </c>
      <c r="AG347" s="291" t="s">
        <v>422</v>
      </c>
      <c r="AH347" s="291" t="s">
        <v>423</v>
      </c>
      <c r="AI347" s="291" t="s">
        <v>422</v>
      </c>
      <c r="AJ347" s="291" t="s">
        <v>423</v>
      </c>
      <c r="AK347" s="244" t="s">
        <v>140</v>
      </c>
      <c r="AL347" s="241"/>
      <c r="AM347" s="242"/>
    </row>
    <row r="348" spans="1:39" s="309" customFormat="1" ht="15" customHeight="1" x14ac:dyDescent="0.3">
      <c r="A348" s="185">
        <v>369</v>
      </c>
      <c r="B348" s="326" t="s">
        <v>1683</v>
      </c>
      <c r="C348" s="281" t="s">
        <v>1615</v>
      </c>
      <c r="D348" s="200" t="s">
        <v>1881</v>
      </c>
      <c r="E348" s="269"/>
      <c r="F348" s="269" t="s">
        <v>1597</v>
      </c>
      <c r="G348" s="196" t="s">
        <v>1604</v>
      </c>
      <c r="H348" s="248" t="s">
        <v>422</v>
      </c>
      <c r="I348" s="317">
        <v>2</v>
      </c>
      <c r="J348" s="317">
        <v>7.8</v>
      </c>
      <c r="K348" s="317">
        <v>0</v>
      </c>
      <c r="L348" s="212">
        <v>1.5</v>
      </c>
      <c r="M348" s="212">
        <f t="shared" si="45"/>
        <v>11.3</v>
      </c>
      <c r="N348" s="212">
        <f t="shared" si="46"/>
        <v>16</v>
      </c>
      <c r="O348" s="212">
        <f t="shared" si="47"/>
        <v>31.2</v>
      </c>
      <c r="P348" s="212">
        <f t="shared" si="48"/>
        <v>0</v>
      </c>
      <c r="Q348" s="212">
        <f t="shared" si="49"/>
        <v>12</v>
      </c>
      <c r="R348" s="212">
        <f t="shared" si="50"/>
        <v>59.2</v>
      </c>
      <c r="S348" s="353" t="s">
        <v>1688</v>
      </c>
      <c r="T348" s="284" t="s">
        <v>1687</v>
      </c>
      <c r="U348" s="272">
        <v>60</v>
      </c>
      <c r="V348" s="272">
        <v>60</v>
      </c>
      <c r="W348" s="276">
        <v>44343</v>
      </c>
      <c r="X348" s="277">
        <v>44397</v>
      </c>
      <c r="Y348" s="245">
        <v>44389</v>
      </c>
      <c r="Z348" s="311">
        <f t="shared" si="43"/>
        <v>2021</v>
      </c>
      <c r="AA348" s="311">
        <f t="shared" si="44"/>
        <v>7</v>
      </c>
      <c r="AB348" s="278" t="s">
        <v>920</v>
      </c>
      <c r="AC348" s="243" t="s">
        <v>422</v>
      </c>
      <c r="AD348" s="291" t="s">
        <v>422</v>
      </c>
      <c r="AE348" s="291" t="s">
        <v>422</v>
      </c>
      <c r="AF348" s="291" t="s">
        <v>422</v>
      </c>
      <c r="AG348" s="291" t="s">
        <v>422</v>
      </c>
      <c r="AH348" s="291" t="s">
        <v>423</v>
      </c>
      <c r="AI348" s="291" t="s">
        <v>422</v>
      </c>
      <c r="AJ348" s="291" t="s">
        <v>423</v>
      </c>
      <c r="AK348" s="244" t="s">
        <v>140</v>
      </c>
      <c r="AL348" s="241"/>
      <c r="AM348" s="242"/>
    </row>
    <row r="349" spans="1:39" s="309" customFormat="1" ht="15" customHeight="1" x14ac:dyDescent="0.3">
      <c r="A349" s="185">
        <v>340</v>
      </c>
      <c r="B349" s="333" t="s">
        <v>1612</v>
      </c>
      <c r="C349" s="281" t="s">
        <v>1618</v>
      </c>
      <c r="D349" s="200" t="s">
        <v>1881</v>
      </c>
      <c r="E349" s="282" t="s">
        <v>1596</v>
      </c>
      <c r="F349" s="282" t="s">
        <v>1597</v>
      </c>
      <c r="G349" s="196" t="s">
        <v>1596</v>
      </c>
      <c r="H349" s="248" t="s">
        <v>422</v>
      </c>
      <c r="I349" s="317">
        <v>2</v>
      </c>
      <c r="J349" s="317">
        <v>6.4</v>
      </c>
      <c r="K349" s="317">
        <v>28</v>
      </c>
      <c r="L349" s="212">
        <v>1</v>
      </c>
      <c r="M349" s="212">
        <f t="shared" si="45"/>
        <v>37.4</v>
      </c>
      <c r="N349" s="212">
        <f t="shared" si="46"/>
        <v>16</v>
      </c>
      <c r="O349" s="212">
        <f t="shared" si="47"/>
        <v>25.6</v>
      </c>
      <c r="P349" s="212">
        <f t="shared" si="48"/>
        <v>186.66666666666669</v>
      </c>
      <c r="Q349" s="212">
        <f t="shared" si="49"/>
        <v>8</v>
      </c>
      <c r="R349" s="212">
        <f t="shared" si="50"/>
        <v>236.26666666666668</v>
      </c>
      <c r="S349" s="312" t="s">
        <v>1611</v>
      </c>
      <c r="T349" s="313" t="s">
        <v>1613</v>
      </c>
      <c r="U349" s="280">
        <v>50</v>
      </c>
      <c r="V349" s="280">
        <v>52</v>
      </c>
      <c r="W349" s="276">
        <v>44300</v>
      </c>
      <c r="X349" s="277">
        <v>44391</v>
      </c>
      <c r="Y349" s="26">
        <v>44420</v>
      </c>
      <c r="Z349" s="311">
        <f t="shared" si="43"/>
        <v>2021</v>
      </c>
      <c r="AA349" s="311">
        <f t="shared" si="44"/>
        <v>8</v>
      </c>
      <c r="AB349" s="278" t="s">
        <v>920</v>
      </c>
      <c r="AC349" s="278" t="s">
        <v>422</v>
      </c>
      <c r="AD349" s="278" t="s">
        <v>422</v>
      </c>
      <c r="AE349" s="278" t="s">
        <v>422</v>
      </c>
      <c r="AF349" s="278" t="s">
        <v>422</v>
      </c>
      <c r="AG349" s="243" t="s">
        <v>423</v>
      </c>
      <c r="AH349" s="243" t="s">
        <v>422</v>
      </c>
      <c r="AI349" s="278" t="s">
        <v>423</v>
      </c>
      <c r="AJ349" s="278" t="s">
        <v>422</v>
      </c>
      <c r="AK349" s="279" t="s">
        <v>140</v>
      </c>
      <c r="AL349" s="33"/>
      <c r="AM349" s="1" t="s">
        <v>1603</v>
      </c>
    </row>
    <row r="350" spans="1:39" s="309" customFormat="1" ht="15" customHeight="1" x14ac:dyDescent="0.3">
      <c r="A350" s="185">
        <v>272</v>
      </c>
      <c r="B350" s="330" t="s">
        <v>1407</v>
      </c>
      <c r="C350" s="281" t="s">
        <v>1615</v>
      </c>
      <c r="D350" s="200" t="s">
        <v>1881</v>
      </c>
      <c r="E350" s="197" t="s">
        <v>1596</v>
      </c>
      <c r="F350" s="269" t="s">
        <v>1601</v>
      </c>
      <c r="G350" s="196" t="s">
        <v>1604</v>
      </c>
      <c r="H350" s="196" t="s">
        <v>422</v>
      </c>
      <c r="I350" s="197">
        <v>1.7</v>
      </c>
      <c r="J350" s="269">
        <v>10</v>
      </c>
      <c r="K350" s="269">
        <v>0</v>
      </c>
      <c r="L350" s="212">
        <v>1.5</v>
      </c>
      <c r="M350" s="212">
        <f t="shared" si="45"/>
        <v>13.2</v>
      </c>
      <c r="N350" s="212">
        <f t="shared" si="46"/>
        <v>13.6</v>
      </c>
      <c r="O350" s="212">
        <f t="shared" si="47"/>
        <v>40</v>
      </c>
      <c r="P350" s="212">
        <f t="shared" si="48"/>
        <v>0</v>
      </c>
      <c r="Q350" s="212">
        <f t="shared" si="49"/>
        <v>12</v>
      </c>
      <c r="R350" s="212">
        <f t="shared" si="50"/>
        <v>65.599999999999994</v>
      </c>
      <c r="S350" s="270" t="s">
        <v>1417</v>
      </c>
      <c r="T350" s="270" t="s">
        <v>939</v>
      </c>
      <c r="U350" s="272">
        <v>188</v>
      </c>
      <c r="V350" s="272">
        <v>188</v>
      </c>
      <c r="W350" s="246">
        <v>44160</v>
      </c>
      <c r="X350" s="246">
        <v>44185</v>
      </c>
      <c r="Y350" s="245">
        <v>44414</v>
      </c>
      <c r="Z350" s="311">
        <f t="shared" si="43"/>
        <v>2021</v>
      </c>
      <c r="AA350" s="311">
        <f t="shared" si="44"/>
        <v>8</v>
      </c>
      <c r="AB350" s="243" t="s">
        <v>920</v>
      </c>
      <c r="AC350" s="243" t="s">
        <v>422</v>
      </c>
      <c r="AD350" s="243" t="s">
        <v>422</v>
      </c>
      <c r="AE350" s="243" t="s">
        <v>422</v>
      </c>
      <c r="AF350" s="243" t="s">
        <v>422</v>
      </c>
      <c r="AG350" s="243" t="s">
        <v>423</v>
      </c>
      <c r="AH350" s="243" t="s">
        <v>423</v>
      </c>
      <c r="AI350" s="243" t="s">
        <v>422</v>
      </c>
      <c r="AJ350" s="243" t="s">
        <v>423</v>
      </c>
      <c r="AK350" s="244" t="s">
        <v>138</v>
      </c>
      <c r="AL350" s="241"/>
      <c r="AM350" s="242" t="s">
        <v>1752</v>
      </c>
    </row>
    <row r="351" spans="1:39" ht="15" customHeight="1" x14ac:dyDescent="0.3">
      <c r="A351" s="185">
        <v>273</v>
      </c>
      <c r="B351" s="330" t="s">
        <v>1408</v>
      </c>
      <c r="C351" s="281" t="s">
        <v>1615</v>
      </c>
      <c r="D351" s="200" t="s">
        <v>1881</v>
      </c>
      <c r="E351" s="197" t="s">
        <v>1596</v>
      </c>
      <c r="F351" s="269" t="s">
        <v>1601</v>
      </c>
      <c r="G351" s="196" t="s">
        <v>1604</v>
      </c>
      <c r="H351" s="196" t="s">
        <v>422</v>
      </c>
      <c r="I351" s="197">
        <v>2</v>
      </c>
      <c r="J351" s="269">
        <v>12.5</v>
      </c>
      <c r="K351" s="269">
        <v>0</v>
      </c>
      <c r="L351" s="212">
        <v>1</v>
      </c>
      <c r="M351" s="212">
        <f t="shared" si="45"/>
        <v>15.5</v>
      </c>
      <c r="N351" s="212">
        <f t="shared" si="46"/>
        <v>16</v>
      </c>
      <c r="O351" s="212">
        <f t="shared" si="47"/>
        <v>50</v>
      </c>
      <c r="P351" s="212">
        <f t="shared" si="48"/>
        <v>0</v>
      </c>
      <c r="Q351" s="212">
        <f t="shared" si="49"/>
        <v>8</v>
      </c>
      <c r="R351" s="212">
        <f t="shared" si="50"/>
        <v>74</v>
      </c>
      <c r="S351" s="270" t="s">
        <v>1418</v>
      </c>
      <c r="T351" s="270" t="s">
        <v>940</v>
      </c>
      <c r="U351" s="272">
        <v>70</v>
      </c>
      <c r="V351" s="272">
        <v>70</v>
      </c>
      <c r="W351" s="246">
        <v>44160</v>
      </c>
      <c r="X351" s="246">
        <v>44185</v>
      </c>
      <c r="Y351" s="245">
        <v>44414</v>
      </c>
      <c r="Z351" s="311">
        <f t="shared" si="43"/>
        <v>2021</v>
      </c>
      <c r="AA351" s="311">
        <f t="shared" si="44"/>
        <v>8</v>
      </c>
      <c r="AB351" s="243" t="s">
        <v>920</v>
      </c>
      <c r="AC351" s="243" t="s">
        <v>422</v>
      </c>
      <c r="AD351" s="243" t="s">
        <v>422</v>
      </c>
      <c r="AE351" s="243" t="s">
        <v>422</v>
      </c>
      <c r="AF351" s="243" t="s">
        <v>422</v>
      </c>
      <c r="AG351" s="243" t="s">
        <v>422</v>
      </c>
      <c r="AH351" s="243" t="s">
        <v>423</v>
      </c>
      <c r="AI351" s="243" t="s">
        <v>423</v>
      </c>
      <c r="AJ351" s="243" t="s">
        <v>423</v>
      </c>
      <c r="AK351" s="244" t="s">
        <v>140</v>
      </c>
      <c r="AL351" s="241"/>
      <c r="AM351" s="241"/>
    </row>
    <row r="352" spans="1:39" ht="15" customHeight="1" x14ac:dyDescent="0.3">
      <c r="A352" s="185">
        <v>344</v>
      </c>
      <c r="B352" s="327" t="s">
        <v>1751</v>
      </c>
      <c r="C352" s="281" t="s">
        <v>1615</v>
      </c>
      <c r="D352" s="200" t="s">
        <v>1881</v>
      </c>
      <c r="E352" s="282"/>
      <c r="F352" s="282" t="s">
        <v>1597</v>
      </c>
      <c r="G352" s="196" t="s">
        <v>1604</v>
      </c>
      <c r="H352" s="248" t="s">
        <v>422</v>
      </c>
      <c r="I352" s="317">
        <v>2</v>
      </c>
      <c r="J352" s="317">
        <v>12</v>
      </c>
      <c r="K352" s="317">
        <v>0</v>
      </c>
      <c r="L352" s="212">
        <v>1</v>
      </c>
      <c r="M352" s="212">
        <f t="shared" si="45"/>
        <v>15</v>
      </c>
      <c r="N352" s="212">
        <f t="shared" si="46"/>
        <v>16</v>
      </c>
      <c r="O352" s="212">
        <f t="shared" si="47"/>
        <v>48</v>
      </c>
      <c r="P352" s="212">
        <f t="shared" si="48"/>
        <v>0</v>
      </c>
      <c r="Q352" s="212">
        <f t="shared" si="49"/>
        <v>8</v>
      </c>
      <c r="R352" s="212">
        <f t="shared" si="50"/>
        <v>72</v>
      </c>
      <c r="S352" s="312" t="s">
        <v>1626</v>
      </c>
      <c r="T352" s="313" t="s">
        <v>1823</v>
      </c>
      <c r="U352" s="280">
        <v>80</v>
      </c>
      <c r="V352" s="273">
        <v>82</v>
      </c>
      <c r="W352" s="276">
        <v>44307</v>
      </c>
      <c r="X352" s="277">
        <v>44392</v>
      </c>
      <c r="Y352" s="277">
        <v>44414</v>
      </c>
      <c r="Z352" s="311">
        <f t="shared" si="43"/>
        <v>2021</v>
      </c>
      <c r="AA352" s="311">
        <f t="shared" si="44"/>
        <v>8</v>
      </c>
      <c r="AB352" s="243" t="s">
        <v>920</v>
      </c>
      <c r="AC352" s="278" t="s">
        <v>422</v>
      </c>
      <c r="AD352" s="278" t="s">
        <v>422</v>
      </c>
      <c r="AE352" s="278" t="s">
        <v>422</v>
      </c>
      <c r="AF352" s="278" t="s">
        <v>422</v>
      </c>
      <c r="AG352" s="278" t="s">
        <v>422</v>
      </c>
      <c r="AH352" s="243" t="s">
        <v>423</v>
      </c>
      <c r="AI352" s="243" t="s">
        <v>423</v>
      </c>
      <c r="AJ352" s="243" t="s">
        <v>423</v>
      </c>
      <c r="AK352" s="244" t="s">
        <v>1372</v>
      </c>
      <c r="AL352" s="29"/>
      <c r="AM352" s="29" t="s">
        <v>1755</v>
      </c>
    </row>
    <row r="353" spans="1:39" ht="15" customHeight="1" x14ac:dyDescent="0.3">
      <c r="A353" s="185">
        <v>345</v>
      </c>
      <c r="B353" s="327" t="s">
        <v>1751</v>
      </c>
      <c r="C353" s="281" t="s">
        <v>1615</v>
      </c>
      <c r="D353" s="200" t="s">
        <v>1881</v>
      </c>
      <c r="E353" s="308"/>
      <c r="F353" s="282" t="s">
        <v>1597</v>
      </c>
      <c r="G353" s="196" t="s">
        <v>1604</v>
      </c>
      <c r="H353" s="248" t="s">
        <v>1789</v>
      </c>
      <c r="I353" s="317">
        <v>2</v>
      </c>
      <c r="J353" s="356">
        <v>12</v>
      </c>
      <c r="K353" s="317">
        <v>0</v>
      </c>
      <c r="L353" s="212">
        <v>1</v>
      </c>
      <c r="M353" s="212">
        <f t="shared" si="45"/>
        <v>15</v>
      </c>
      <c r="N353" s="212">
        <f t="shared" si="46"/>
        <v>16</v>
      </c>
      <c r="O353" s="212">
        <f t="shared" si="47"/>
        <v>48</v>
      </c>
      <c r="P353" s="212">
        <f t="shared" si="48"/>
        <v>0</v>
      </c>
      <c r="Q353" s="212">
        <f t="shared" si="49"/>
        <v>8</v>
      </c>
      <c r="R353" s="212">
        <f t="shared" si="50"/>
        <v>72</v>
      </c>
      <c r="S353" s="312" t="s">
        <v>1626</v>
      </c>
      <c r="T353" s="313" t="s">
        <v>1823</v>
      </c>
      <c r="U353" s="280">
        <f>226-80</f>
        <v>146</v>
      </c>
      <c r="V353" s="273">
        <v>0</v>
      </c>
      <c r="W353" s="276">
        <v>44307</v>
      </c>
      <c r="X353" s="277">
        <v>44392</v>
      </c>
      <c r="Y353" s="277">
        <v>44414</v>
      </c>
      <c r="Z353" s="311">
        <f t="shared" si="43"/>
        <v>2021</v>
      </c>
      <c r="AA353" s="311">
        <f t="shared" si="44"/>
        <v>8</v>
      </c>
      <c r="AB353" s="322" t="s">
        <v>1819</v>
      </c>
      <c r="AC353" s="278" t="s">
        <v>449</v>
      </c>
      <c r="AD353" s="278" t="s">
        <v>422</v>
      </c>
      <c r="AE353" s="278" t="s">
        <v>449</v>
      </c>
      <c r="AF353" s="278" t="s">
        <v>449</v>
      </c>
      <c r="AG353" s="278" t="s">
        <v>449</v>
      </c>
      <c r="AH353" s="243" t="s">
        <v>423</v>
      </c>
      <c r="AI353" s="243" t="s">
        <v>422</v>
      </c>
      <c r="AJ353" s="243" t="s">
        <v>423</v>
      </c>
      <c r="AK353" s="279"/>
      <c r="AL353" s="29"/>
      <c r="AM353" s="29"/>
    </row>
    <row r="354" spans="1:39" ht="15" customHeight="1" x14ac:dyDescent="0.3">
      <c r="A354" s="185">
        <v>358</v>
      </c>
      <c r="B354" s="285" t="s">
        <v>1656</v>
      </c>
      <c r="C354" s="281" t="s">
        <v>1618</v>
      </c>
      <c r="D354" s="200" t="s">
        <v>1881</v>
      </c>
      <c r="E354" s="269"/>
      <c r="F354" s="269" t="s">
        <v>1777</v>
      </c>
      <c r="G354" s="196" t="s">
        <v>1604</v>
      </c>
      <c r="H354" s="248" t="s">
        <v>422</v>
      </c>
      <c r="I354" s="317">
        <v>1.5</v>
      </c>
      <c r="J354" s="317">
        <v>14</v>
      </c>
      <c r="K354" s="317">
        <v>0</v>
      </c>
      <c r="L354" s="212">
        <v>1</v>
      </c>
      <c r="M354" s="212">
        <f t="shared" si="45"/>
        <v>16.5</v>
      </c>
      <c r="N354" s="212">
        <f t="shared" si="46"/>
        <v>12</v>
      </c>
      <c r="O354" s="212">
        <f t="shared" si="47"/>
        <v>56</v>
      </c>
      <c r="P354" s="212">
        <f t="shared" si="48"/>
        <v>0</v>
      </c>
      <c r="Q354" s="212">
        <f t="shared" si="49"/>
        <v>8</v>
      </c>
      <c r="R354" s="212">
        <f t="shared" si="50"/>
        <v>76</v>
      </c>
      <c r="S354" s="283" t="s">
        <v>1666</v>
      </c>
      <c r="T354" s="284" t="s">
        <v>1664</v>
      </c>
      <c r="U354" s="272">
        <v>30</v>
      </c>
      <c r="V354" s="280">
        <v>31</v>
      </c>
      <c r="W354" s="276">
        <v>44327</v>
      </c>
      <c r="X354" s="277">
        <v>44388</v>
      </c>
      <c r="Y354" s="26">
        <v>44420</v>
      </c>
      <c r="Z354" s="311">
        <f t="shared" si="43"/>
        <v>2021</v>
      </c>
      <c r="AA354" s="311">
        <f t="shared" si="44"/>
        <v>8</v>
      </c>
      <c r="AB354" s="278" t="s">
        <v>920</v>
      </c>
      <c r="AC354" s="288" t="s">
        <v>422</v>
      </c>
      <c r="AD354" s="278" t="s">
        <v>422</v>
      </c>
      <c r="AE354" s="278" t="s">
        <v>422</v>
      </c>
      <c r="AF354" s="278" t="s">
        <v>422</v>
      </c>
      <c r="AG354" s="243" t="s">
        <v>422</v>
      </c>
      <c r="AH354" s="243" t="s">
        <v>423</v>
      </c>
      <c r="AI354" s="243" t="s">
        <v>423</v>
      </c>
      <c r="AJ354" s="243" t="s">
        <v>423</v>
      </c>
      <c r="AK354" s="244" t="s">
        <v>1937</v>
      </c>
      <c r="AL354" s="241"/>
      <c r="AM354" s="242" t="s">
        <v>1749</v>
      </c>
    </row>
    <row r="355" spans="1:39" ht="15" customHeight="1" x14ac:dyDescent="0.3">
      <c r="A355" s="185">
        <v>359</v>
      </c>
      <c r="B355" s="285" t="s">
        <v>1655</v>
      </c>
      <c r="C355" s="281" t="s">
        <v>1618</v>
      </c>
      <c r="D355" s="200" t="s">
        <v>1881</v>
      </c>
      <c r="E355" s="269"/>
      <c r="F355" s="269" t="s">
        <v>1777</v>
      </c>
      <c r="G355" s="196" t="s">
        <v>1604</v>
      </c>
      <c r="H355" s="248" t="s">
        <v>422</v>
      </c>
      <c r="I355" s="248">
        <v>1.5</v>
      </c>
      <c r="J355" s="248">
        <v>14</v>
      </c>
      <c r="K355" s="317">
        <v>0</v>
      </c>
      <c r="L355" s="212">
        <v>1</v>
      </c>
      <c r="M355" s="212">
        <f t="shared" si="45"/>
        <v>16.5</v>
      </c>
      <c r="N355" s="212">
        <f t="shared" si="46"/>
        <v>12</v>
      </c>
      <c r="O355" s="212">
        <f t="shared" si="47"/>
        <v>56</v>
      </c>
      <c r="P355" s="212">
        <f t="shared" si="48"/>
        <v>0</v>
      </c>
      <c r="Q355" s="212">
        <f t="shared" si="49"/>
        <v>8</v>
      </c>
      <c r="R355" s="212">
        <f t="shared" si="50"/>
        <v>76</v>
      </c>
      <c r="S355" s="286" t="s">
        <v>1667</v>
      </c>
      <c r="T355" s="284" t="s">
        <v>1665</v>
      </c>
      <c r="U355" s="272">
        <v>10</v>
      </c>
      <c r="V355" s="280">
        <v>10</v>
      </c>
      <c r="W355" s="276">
        <v>44327</v>
      </c>
      <c r="X355" s="277">
        <v>44388</v>
      </c>
      <c r="Y355" s="26">
        <v>44420</v>
      </c>
      <c r="Z355" s="311">
        <f t="shared" si="43"/>
        <v>2021</v>
      </c>
      <c r="AA355" s="311">
        <f t="shared" si="44"/>
        <v>8</v>
      </c>
      <c r="AB355" s="278" t="s">
        <v>920</v>
      </c>
      <c r="AC355" s="243" t="s">
        <v>422</v>
      </c>
      <c r="AD355" s="278" t="s">
        <v>422</v>
      </c>
      <c r="AE355" s="278" t="s">
        <v>422</v>
      </c>
      <c r="AF355" s="278" t="s">
        <v>422</v>
      </c>
      <c r="AG355" s="243" t="s">
        <v>422</v>
      </c>
      <c r="AH355" s="243" t="s">
        <v>423</v>
      </c>
      <c r="AI355" s="243" t="s">
        <v>423</v>
      </c>
      <c r="AJ355" s="243" t="s">
        <v>423</v>
      </c>
      <c r="AK355" s="244" t="s">
        <v>1937</v>
      </c>
      <c r="AL355" s="241"/>
      <c r="AM355" s="242" t="s">
        <v>1749</v>
      </c>
    </row>
    <row r="356" spans="1:39" ht="15" customHeight="1" x14ac:dyDescent="0.3">
      <c r="A356" s="185">
        <v>360</v>
      </c>
      <c r="B356" s="285" t="s">
        <v>1657</v>
      </c>
      <c r="C356" s="281" t="s">
        <v>1618</v>
      </c>
      <c r="D356" s="200" t="s">
        <v>1881</v>
      </c>
      <c r="E356" s="269"/>
      <c r="F356" s="269" t="s">
        <v>1597</v>
      </c>
      <c r="G356" s="196" t="s">
        <v>1604</v>
      </c>
      <c r="H356" s="248" t="s">
        <v>422</v>
      </c>
      <c r="I356" s="248">
        <v>2</v>
      </c>
      <c r="J356" s="248">
        <v>13</v>
      </c>
      <c r="K356" s="317">
        <v>0</v>
      </c>
      <c r="L356" s="212">
        <v>1</v>
      </c>
      <c r="M356" s="212">
        <f t="shared" si="45"/>
        <v>16</v>
      </c>
      <c r="N356" s="212">
        <f t="shared" si="46"/>
        <v>16</v>
      </c>
      <c r="O356" s="212">
        <f t="shared" si="47"/>
        <v>52</v>
      </c>
      <c r="P356" s="212">
        <f t="shared" si="48"/>
        <v>0</v>
      </c>
      <c r="Q356" s="212">
        <f t="shared" si="49"/>
        <v>8</v>
      </c>
      <c r="R356" s="212">
        <f t="shared" si="50"/>
        <v>76</v>
      </c>
      <c r="S356" s="286" t="s">
        <v>1670</v>
      </c>
      <c r="T356" s="284" t="s">
        <v>1668</v>
      </c>
      <c r="U356" s="272">
        <v>50</v>
      </c>
      <c r="V356" s="280">
        <v>51</v>
      </c>
      <c r="W356" s="276">
        <v>44327</v>
      </c>
      <c r="X356" s="277">
        <v>44388</v>
      </c>
      <c r="Y356" s="26">
        <v>44420</v>
      </c>
      <c r="Z356" s="311">
        <f t="shared" si="43"/>
        <v>2021</v>
      </c>
      <c r="AA356" s="311">
        <f t="shared" si="44"/>
        <v>8</v>
      </c>
      <c r="AB356" s="278" t="s">
        <v>920</v>
      </c>
      <c r="AC356" s="243" t="s">
        <v>422</v>
      </c>
      <c r="AD356" s="243" t="s">
        <v>422</v>
      </c>
      <c r="AE356" s="243" t="s">
        <v>422</v>
      </c>
      <c r="AF356" s="243" t="s">
        <v>422</v>
      </c>
      <c r="AG356" s="243" t="s">
        <v>423</v>
      </c>
      <c r="AH356" s="243" t="s">
        <v>423</v>
      </c>
      <c r="AI356" s="243" t="s">
        <v>423</v>
      </c>
      <c r="AJ356" s="243" t="s">
        <v>423</v>
      </c>
      <c r="AK356" s="244" t="s">
        <v>1240</v>
      </c>
      <c r="AL356" s="241"/>
      <c r="AM356" s="242" t="s">
        <v>1748</v>
      </c>
    </row>
    <row r="357" spans="1:39" ht="15" customHeight="1" x14ac:dyDescent="0.3">
      <c r="A357" s="185">
        <v>361</v>
      </c>
      <c r="B357" s="285" t="s">
        <v>1658</v>
      </c>
      <c r="C357" s="281" t="s">
        <v>1618</v>
      </c>
      <c r="D357" s="200" t="s">
        <v>1881</v>
      </c>
      <c r="E357" s="269"/>
      <c r="F357" s="269" t="s">
        <v>1597</v>
      </c>
      <c r="G357" s="196" t="s">
        <v>1604</v>
      </c>
      <c r="H357" s="248" t="s">
        <v>422</v>
      </c>
      <c r="I357" s="248">
        <v>2</v>
      </c>
      <c r="J357" s="248">
        <v>13</v>
      </c>
      <c r="K357" s="317">
        <v>0</v>
      </c>
      <c r="L357" s="212">
        <v>1</v>
      </c>
      <c r="M357" s="212">
        <f t="shared" si="45"/>
        <v>16</v>
      </c>
      <c r="N357" s="212">
        <f t="shared" si="46"/>
        <v>16</v>
      </c>
      <c r="O357" s="212">
        <f t="shared" si="47"/>
        <v>52</v>
      </c>
      <c r="P357" s="212">
        <f t="shared" si="48"/>
        <v>0</v>
      </c>
      <c r="Q357" s="212">
        <f t="shared" si="49"/>
        <v>8</v>
      </c>
      <c r="R357" s="212">
        <f t="shared" si="50"/>
        <v>76</v>
      </c>
      <c r="S357" s="286" t="s">
        <v>1671</v>
      </c>
      <c r="T357" s="284" t="s">
        <v>1669</v>
      </c>
      <c r="U357" s="272">
        <v>55</v>
      </c>
      <c r="V357" s="280">
        <v>56</v>
      </c>
      <c r="W357" s="276">
        <v>44327</v>
      </c>
      <c r="X357" s="277">
        <v>44388</v>
      </c>
      <c r="Y357" s="26">
        <v>44420</v>
      </c>
      <c r="Z357" s="311">
        <f t="shared" si="43"/>
        <v>2021</v>
      </c>
      <c r="AA357" s="311">
        <f t="shared" si="44"/>
        <v>8</v>
      </c>
      <c r="AB357" s="278" t="s">
        <v>920</v>
      </c>
      <c r="AC357" s="243" t="s">
        <v>422</v>
      </c>
      <c r="AD357" s="243" t="s">
        <v>422</v>
      </c>
      <c r="AE357" s="243" t="s">
        <v>422</v>
      </c>
      <c r="AF357" s="243" t="s">
        <v>422</v>
      </c>
      <c r="AG357" s="243" t="s">
        <v>423</v>
      </c>
      <c r="AH357" s="243" t="s">
        <v>423</v>
      </c>
      <c r="AI357" s="243" t="s">
        <v>423</v>
      </c>
      <c r="AJ357" s="243" t="s">
        <v>423</v>
      </c>
      <c r="AK357" s="244" t="s">
        <v>1240</v>
      </c>
      <c r="AL357" s="241"/>
      <c r="AM357" s="242" t="s">
        <v>1748</v>
      </c>
    </row>
    <row r="358" spans="1:39" ht="15" customHeight="1" x14ac:dyDescent="0.3">
      <c r="A358" s="185">
        <v>362</v>
      </c>
      <c r="B358" s="285" t="s">
        <v>1659</v>
      </c>
      <c r="C358" s="281" t="s">
        <v>1618</v>
      </c>
      <c r="D358" s="200" t="s">
        <v>1881</v>
      </c>
      <c r="E358" s="269"/>
      <c r="F358" s="269" t="s">
        <v>1777</v>
      </c>
      <c r="G358" s="196" t="s">
        <v>1604</v>
      </c>
      <c r="H358" s="248" t="s">
        <v>422</v>
      </c>
      <c r="I358" s="248">
        <v>1.4</v>
      </c>
      <c r="J358" s="248">
        <v>6.5</v>
      </c>
      <c r="K358" s="317">
        <v>0</v>
      </c>
      <c r="L358" s="212">
        <v>1</v>
      </c>
      <c r="M358" s="212">
        <f t="shared" si="45"/>
        <v>8.9</v>
      </c>
      <c r="N358" s="212">
        <f t="shared" si="46"/>
        <v>11.2</v>
      </c>
      <c r="O358" s="212">
        <f t="shared" si="47"/>
        <v>26</v>
      </c>
      <c r="P358" s="212">
        <f t="shared" si="48"/>
        <v>0</v>
      </c>
      <c r="Q358" s="212">
        <f t="shared" si="49"/>
        <v>8</v>
      </c>
      <c r="R358" s="212">
        <f t="shared" si="50"/>
        <v>45.2</v>
      </c>
      <c r="S358" s="286" t="s">
        <v>1674</v>
      </c>
      <c r="T358" s="284" t="s">
        <v>1672</v>
      </c>
      <c r="U358" s="272">
        <v>65</v>
      </c>
      <c r="V358" s="280">
        <v>66</v>
      </c>
      <c r="W358" s="276">
        <v>44327</v>
      </c>
      <c r="X358" s="277">
        <v>44388</v>
      </c>
      <c r="Y358" s="26">
        <v>44420</v>
      </c>
      <c r="Z358" s="311">
        <f t="shared" si="43"/>
        <v>2021</v>
      </c>
      <c r="AA358" s="311">
        <f t="shared" si="44"/>
        <v>8</v>
      </c>
      <c r="AB358" s="278" t="s">
        <v>920</v>
      </c>
      <c r="AC358" s="243" t="s">
        <v>422</v>
      </c>
      <c r="AD358" s="243" t="s">
        <v>422</v>
      </c>
      <c r="AE358" s="243" t="s">
        <v>422</v>
      </c>
      <c r="AF358" s="243" t="s">
        <v>422</v>
      </c>
      <c r="AG358" s="243" t="s">
        <v>423</v>
      </c>
      <c r="AH358" s="243" t="s">
        <v>423</v>
      </c>
      <c r="AI358" s="243" t="s">
        <v>423</v>
      </c>
      <c r="AJ358" s="243" t="s">
        <v>423</v>
      </c>
      <c r="AK358" s="244" t="s">
        <v>140</v>
      </c>
      <c r="AL358" s="241"/>
      <c r="AM358" s="242" t="s">
        <v>1749</v>
      </c>
    </row>
    <row r="359" spans="1:39" ht="15" customHeight="1" x14ac:dyDescent="0.3">
      <c r="A359" s="185">
        <v>363</v>
      </c>
      <c r="B359" s="285" t="s">
        <v>1660</v>
      </c>
      <c r="C359" s="281" t="s">
        <v>1618</v>
      </c>
      <c r="D359" s="200" t="s">
        <v>1881</v>
      </c>
      <c r="E359" s="269"/>
      <c r="F359" s="269" t="s">
        <v>1597</v>
      </c>
      <c r="G359" s="196" t="s">
        <v>1604</v>
      </c>
      <c r="H359" s="248" t="s">
        <v>422</v>
      </c>
      <c r="I359" s="248">
        <v>2</v>
      </c>
      <c r="J359" s="248">
        <v>6</v>
      </c>
      <c r="K359" s="317">
        <v>0</v>
      </c>
      <c r="L359" s="212">
        <v>1</v>
      </c>
      <c r="M359" s="212">
        <f t="shared" si="45"/>
        <v>9</v>
      </c>
      <c r="N359" s="212">
        <f t="shared" si="46"/>
        <v>16</v>
      </c>
      <c r="O359" s="212">
        <f t="shared" si="47"/>
        <v>24</v>
      </c>
      <c r="P359" s="212">
        <f t="shared" si="48"/>
        <v>0</v>
      </c>
      <c r="Q359" s="212">
        <f t="shared" si="49"/>
        <v>8</v>
      </c>
      <c r="R359" s="212">
        <f t="shared" si="50"/>
        <v>48</v>
      </c>
      <c r="S359" s="286" t="s">
        <v>1675</v>
      </c>
      <c r="T359" s="284" t="s">
        <v>1673</v>
      </c>
      <c r="U359" s="272">
        <v>90</v>
      </c>
      <c r="V359" s="280">
        <v>92</v>
      </c>
      <c r="W359" s="276">
        <v>44333</v>
      </c>
      <c r="X359" s="277">
        <v>44394</v>
      </c>
      <c r="Y359" s="26">
        <v>44420</v>
      </c>
      <c r="Z359" s="311">
        <f t="shared" si="43"/>
        <v>2021</v>
      </c>
      <c r="AA359" s="311">
        <f t="shared" si="44"/>
        <v>8</v>
      </c>
      <c r="AB359" s="278" t="s">
        <v>920</v>
      </c>
      <c r="AC359" s="243" t="s">
        <v>422</v>
      </c>
      <c r="AD359" s="243" t="s">
        <v>422</v>
      </c>
      <c r="AE359" s="243" t="s">
        <v>422</v>
      </c>
      <c r="AF359" s="243" t="s">
        <v>422</v>
      </c>
      <c r="AG359" s="243" t="s">
        <v>423</v>
      </c>
      <c r="AH359" s="243" t="s">
        <v>423</v>
      </c>
      <c r="AI359" s="243" t="s">
        <v>423</v>
      </c>
      <c r="AJ359" s="243" t="s">
        <v>423</v>
      </c>
      <c r="AK359" s="244" t="s">
        <v>1240</v>
      </c>
      <c r="AL359" s="241"/>
      <c r="AM359" s="242" t="s">
        <v>1754</v>
      </c>
    </row>
    <row r="360" spans="1:39" ht="15" customHeight="1" x14ac:dyDescent="0.3">
      <c r="A360" s="185">
        <v>364</v>
      </c>
      <c r="B360" s="285" t="s">
        <v>1661</v>
      </c>
      <c r="C360" s="281" t="s">
        <v>1618</v>
      </c>
      <c r="D360" s="200" t="s">
        <v>1881</v>
      </c>
      <c r="E360" s="269" t="s">
        <v>1789</v>
      </c>
      <c r="F360" s="269" t="s">
        <v>1597</v>
      </c>
      <c r="G360" s="196" t="s">
        <v>1604</v>
      </c>
      <c r="H360" s="248" t="s">
        <v>422</v>
      </c>
      <c r="I360" s="248">
        <v>2</v>
      </c>
      <c r="J360" s="359">
        <v>13</v>
      </c>
      <c r="K360" s="317">
        <v>0</v>
      </c>
      <c r="L360" s="212">
        <v>1</v>
      </c>
      <c r="M360" s="212">
        <f t="shared" si="45"/>
        <v>16</v>
      </c>
      <c r="N360" s="212">
        <f t="shared" si="46"/>
        <v>16</v>
      </c>
      <c r="O360" s="212">
        <f t="shared" si="47"/>
        <v>52</v>
      </c>
      <c r="P360" s="212">
        <f t="shared" si="48"/>
        <v>0</v>
      </c>
      <c r="Q360" s="212">
        <f t="shared" si="49"/>
        <v>8</v>
      </c>
      <c r="R360" s="212">
        <f t="shared" si="50"/>
        <v>76</v>
      </c>
      <c r="S360" s="324" t="s">
        <v>1791</v>
      </c>
      <c r="T360" s="325" t="s">
        <v>1676</v>
      </c>
      <c r="U360" s="272">
        <v>50</v>
      </c>
      <c r="V360" s="272">
        <v>51</v>
      </c>
      <c r="W360" s="245">
        <v>44333</v>
      </c>
      <c r="X360" s="262">
        <v>44394</v>
      </c>
      <c r="Y360" s="26">
        <v>44420</v>
      </c>
      <c r="Z360" s="311">
        <f t="shared" si="43"/>
        <v>2021</v>
      </c>
      <c r="AA360" s="311">
        <f t="shared" si="44"/>
        <v>8</v>
      </c>
      <c r="AB360" s="278" t="s">
        <v>920</v>
      </c>
      <c r="AC360" s="291" t="s">
        <v>422</v>
      </c>
      <c r="AD360" s="291" t="s">
        <v>423</v>
      </c>
      <c r="AE360" s="291" t="s">
        <v>422</v>
      </c>
      <c r="AF360" s="291" t="s">
        <v>422</v>
      </c>
      <c r="AG360" s="291" t="s">
        <v>423</v>
      </c>
      <c r="AH360" s="291" t="s">
        <v>423</v>
      </c>
      <c r="AI360" s="291" t="s">
        <v>423</v>
      </c>
      <c r="AJ360" s="291" t="s">
        <v>423</v>
      </c>
      <c r="AK360" s="292" t="s">
        <v>138</v>
      </c>
      <c r="AL360" s="293"/>
      <c r="AM360" s="294"/>
    </row>
    <row r="361" spans="1:39" ht="15" customHeight="1" x14ac:dyDescent="0.3">
      <c r="A361" s="185">
        <v>370</v>
      </c>
      <c r="B361" s="285" t="s">
        <v>1684</v>
      </c>
      <c r="C361" s="281" t="s">
        <v>1615</v>
      </c>
      <c r="D361" s="200" t="s">
        <v>1881</v>
      </c>
      <c r="E361" s="269"/>
      <c r="F361" s="269" t="s">
        <v>1777</v>
      </c>
      <c r="G361" s="196" t="s">
        <v>1604</v>
      </c>
      <c r="H361" s="248" t="s">
        <v>422</v>
      </c>
      <c r="I361" s="319">
        <v>1</v>
      </c>
      <c r="J361" s="319">
        <v>3.5</v>
      </c>
      <c r="K361" s="317">
        <v>0</v>
      </c>
      <c r="L361" s="212">
        <v>1</v>
      </c>
      <c r="M361" s="212">
        <f t="shared" si="45"/>
        <v>5.5</v>
      </c>
      <c r="N361" s="212">
        <f t="shared" si="46"/>
        <v>8</v>
      </c>
      <c r="O361" s="212">
        <f t="shared" si="47"/>
        <v>14</v>
      </c>
      <c r="P361" s="212">
        <f t="shared" si="48"/>
        <v>0</v>
      </c>
      <c r="Q361" s="212">
        <f t="shared" si="49"/>
        <v>8</v>
      </c>
      <c r="R361" s="212">
        <f t="shared" si="50"/>
        <v>30</v>
      </c>
      <c r="S361" s="351" t="s">
        <v>1689</v>
      </c>
      <c r="T361" s="323" t="s">
        <v>1690</v>
      </c>
      <c r="U361" s="272">
        <v>60</v>
      </c>
      <c r="V361" s="272">
        <v>60</v>
      </c>
      <c r="W361" s="354">
        <v>44405</v>
      </c>
      <c r="X361" s="262">
        <v>44409</v>
      </c>
      <c r="Y361" s="245">
        <v>44414</v>
      </c>
      <c r="Z361" s="311">
        <f t="shared" si="43"/>
        <v>2021</v>
      </c>
      <c r="AA361" s="311">
        <f t="shared" si="44"/>
        <v>8</v>
      </c>
      <c r="AB361" s="291" t="s">
        <v>920</v>
      </c>
      <c r="AC361" s="291" t="s">
        <v>422</v>
      </c>
      <c r="AD361" s="291" t="s">
        <v>423</v>
      </c>
      <c r="AE361" s="291" t="s">
        <v>422</v>
      </c>
      <c r="AF361" s="291" t="s">
        <v>422</v>
      </c>
      <c r="AG361" s="291" t="s">
        <v>423</v>
      </c>
      <c r="AH361" s="291" t="s">
        <v>423</v>
      </c>
      <c r="AI361" s="291" t="s">
        <v>423</v>
      </c>
      <c r="AJ361" s="291" t="s">
        <v>422</v>
      </c>
      <c r="AK361" s="292" t="s">
        <v>138</v>
      </c>
      <c r="AL361" s="293"/>
      <c r="AM361" s="294"/>
    </row>
    <row r="362" spans="1:39" ht="15" customHeight="1" x14ac:dyDescent="0.3">
      <c r="A362" s="185">
        <v>371</v>
      </c>
      <c r="B362" s="285" t="s">
        <v>1691</v>
      </c>
      <c r="C362" s="281" t="s">
        <v>1618</v>
      </c>
      <c r="D362" s="200" t="s">
        <v>1848</v>
      </c>
      <c r="E362" s="269" t="s">
        <v>1789</v>
      </c>
      <c r="F362" s="269" t="s">
        <v>1597</v>
      </c>
      <c r="G362" s="196" t="s">
        <v>1596</v>
      </c>
      <c r="H362" s="248" t="s">
        <v>422</v>
      </c>
      <c r="I362" s="319">
        <v>2</v>
      </c>
      <c r="J362" s="319">
        <v>13</v>
      </c>
      <c r="K362" s="317">
        <v>0</v>
      </c>
      <c r="L362" s="212">
        <v>1</v>
      </c>
      <c r="M362" s="212">
        <f t="shared" si="45"/>
        <v>16</v>
      </c>
      <c r="N362" s="212">
        <f t="shared" si="46"/>
        <v>16</v>
      </c>
      <c r="O362" s="212">
        <f t="shared" si="47"/>
        <v>52</v>
      </c>
      <c r="P362" s="212">
        <f t="shared" si="48"/>
        <v>0</v>
      </c>
      <c r="Q362" s="212">
        <f t="shared" si="49"/>
        <v>8</v>
      </c>
      <c r="R362" s="212">
        <f t="shared" si="50"/>
        <v>76</v>
      </c>
      <c r="S362" s="289" t="s">
        <v>1703</v>
      </c>
      <c r="T362" s="313" t="s">
        <v>1704</v>
      </c>
      <c r="U362" s="272">
        <v>10</v>
      </c>
      <c r="V362" s="272">
        <v>11</v>
      </c>
      <c r="W362" s="290">
        <v>44351</v>
      </c>
      <c r="X362" s="277">
        <v>44423</v>
      </c>
      <c r="Y362" s="26">
        <v>44420</v>
      </c>
      <c r="Z362" s="311">
        <f t="shared" si="43"/>
        <v>2021</v>
      </c>
      <c r="AA362" s="311">
        <f t="shared" si="44"/>
        <v>8</v>
      </c>
      <c r="AB362" s="278" t="s">
        <v>920</v>
      </c>
      <c r="AC362" s="243" t="s">
        <v>422</v>
      </c>
      <c r="AD362" s="243" t="s">
        <v>422</v>
      </c>
      <c r="AE362" s="243" t="s">
        <v>422</v>
      </c>
      <c r="AF362" s="243" t="s">
        <v>422</v>
      </c>
      <c r="AG362" s="243" t="s">
        <v>422</v>
      </c>
      <c r="AH362" s="243" t="s">
        <v>422</v>
      </c>
      <c r="AI362" s="243" t="s">
        <v>423</v>
      </c>
      <c r="AJ362" s="243" t="s">
        <v>423</v>
      </c>
      <c r="AK362" s="244" t="s">
        <v>1240</v>
      </c>
      <c r="AL362" s="241"/>
      <c r="AM362" s="242"/>
    </row>
    <row r="363" spans="1:39" ht="15" customHeight="1" x14ac:dyDescent="0.3">
      <c r="A363" s="185">
        <v>326</v>
      </c>
      <c r="B363" s="331" t="s">
        <v>1545</v>
      </c>
      <c r="C363" s="281" t="s">
        <v>1615</v>
      </c>
      <c r="D363" s="200" t="s">
        <v>1881</v>
      </c>
      <c r="E363" s="197" t="s">
        <v>1596</v>
      </c>
      <c r="F363" s="269" t="s">
        <v>1601</v>
      </c>
      <c r="G363" s="196" t="s">
        <v>1596</v>
      </c>
      <c r="H363" s="248" t="s">
        <v>422</v>
      </c>
      <c r="I363" s="319">
        <v>1.3</v>
      </c>
      <c r="J363" s="319">
        <v>6.4</v>
      </c>
      <c r="K363" s="319">
        <v>29</v>
      </c>
      <c r="L363" s="212">
        <v>1</v>
      </c>
      <c r="M363" s="212">
        <f t="shared" si="45"/>
        <v>37.700000000000003</v>
      </c>
      <c r="N363" s="212">
        <f t="shared" si="46"/>
        <v>10.4</v>
      </c>
      <c r="O363" s="212">
        <f t="shared" si="47"/>
        <v>25.6</v>
      </c>
      <c r="P363" s="212">
        <f t="shared" si="48"/>
        <v>193.33333333333334</v>
      </c>
      <c r="Q363" s="212">
        <f t="shared" si="49"/>
        <v>8</v>
      </c>
      <c r="R363" s="212">
        <f t="shared" si="50"/>
        <v>237.33333333333334</v>
      </c>
      <c r="S363" s="352" t="s">
        <v>1550</v>
      </c>
      <c r="T363" s="270" t="s">
        <v>1551</v>
      </c>
      <c r="U363" s="272">
        <v>96</v>
      </c>
      <c r="V363" s="272">
        <v>98</v>
      </c>
      <c r="W363" s="355">
        <v>44286</v>
      </c>
      <c r="X363" s="246">
        <v>44348</v>
      </c>
      <c r="Y363" s="245">
        <v>44460</v>
      </c>
      <c r="Z363" s="311">
        <f t="shared" si="43"/>
        <v>2021</v>
      </c>
      <c r="AA363" s="311">
        <f t="shared" si="44"/>
        <v>9</v>
      </c>
      <c r="AB363" s="243" t="s">
        <v>920</v>
      </c>
      <c r="AC363" s="243" t="s">
        <v>422</v>
      </c>
      <c r="AD363" s="243" t="s">
        <v>423</v>
      </c>
      <c r="AE363" s="243" t="s">
        <v>422</v>
      </c>
      <c r="AF363" s="243" t="s">
        <v>422</v>
      </c>
      <c r="AG363" s="243" t="s">
        <v>423</v>
      </c>
      <c r="AH363" s="243" t="s">
        <v>422</v>
      </c>
      <c r="AI363" s="243" t="s">
        <v>423</v>
      </c>
      <c r="AJ363" s="243" t="s">
        <v>422</v>
      </c>
      <c r="AK363" s="242" t="s">
        <v>140</v>
      </c>
      <c r="AL363" s="241"/>
      <c r="AM363" s="242" t="s">
        <v>140</v>
      </c>
    </row>
    <row r="364" spans="1:39" ht="15" customHeight="1" x14ac:dyDescent="0.3">
      <c r="A364" s="185">
        <v>349</v>
      </c>
      <c r="B364" s="285" t="s">
        <v>1630</v>
      </c>
      <c r="C364" s="281" t="s">
        <v>1615</v>
      </c>
      <c r="D364" s="200" t="s">
        <v>1881</v>
      </c>
      <c r="E364" s="269"/>
      <c r="F364" s="320" t="s">
        <v>1597</v>
      </c>
      <c r="G364" s="196" t="s">
        <v>1596</v>
      </c>
      <c r="H364" s="248" t="s">
        <v>422</v>
      </c>
      <c r="I364" s="319">
        <v>2</v>
      </c>
      <c r="J364" s="319">
        <v>9</v>
      </c>
      <c r="K364" s="319">
        <v>36</v>
      </c>
      <c r="L364" s="212">
        <v>1</v>
      </c>
      <c r="M364" s="212">
        <f t="shared" si="45"/>
        <v>48</v>
      </c>
      <c r="N364" s="212">
        <f t="shared" si="46"/>
        <v>16</v>
      </c>
      <c r="O364" s="212">
        <f t="shared" si="47"/>
        <v>36</v>
      </c>
      <c r="P364" s="212">
        <f t="shared" si="48"/>
        <v>240</v>
      </c>
      <c r="Q364" s="212">
        <f t="shared" si="49"/>
        <v>8</v>
      </c>
      <c r="R364" s="212">
        <f t="shared" si="50"/>
        <v>300</v>
      </c>
      <c r="S364" s="289" t="s">
        <v>1631</v>
      </c>
      <c r="T364" s="284" t="s">
        <v>1632</v>
      </c>
      <c r="U364" s="272">
        <v>20</v>
      </c>
      <c r="V364" s="272">
        <v>22</v>
      </c>
      <c r="W364" s="290">
        <v>44307</v>
      </c>
      <c r="X364" s="277">
        <v>44392</v>
      </c>
      <c r="Y364" s="245">
        <v>44460</v>
      </c>
      <c r="Z364" s="311">
        <f t="shared" si="43"/>
        <v>2021</v>
      </c>
      <c r="AA364" s="311">
        <f t="shared" si="44"/>
        <v>9</v>
      </c>
      <c r="AB364" s="243" t="s">
        <v>920</v>
      </c>
      <c r="AC364" s="278" t="s">
        <v>422</v>
      </c>
      <c r="AD364" s="278" t="s">
        <v>422</v>
      </c>
      <c r="AE364" s="278" t="s">
        <v>422</v>
      </c>
      <c r="AF364" s="278" t="s">
        <v>422</v>
      </c>
      <c r="AG364" s="243" t="s">
        <v>423</v>
      </c>
      <c r="AH364" s="243" t="s">
        <v>422</v>
      </c>
      <c r="AI364" s="243" t="s">
        <v>422</v>
      </c>
      <c r="AJ364" s="243" t="s">
        <v>422</v>
      </c>
      <c r="AK364" s="244" t="s">
        <v>772</v>
      </c>
      <c r="AL364" s="241"/>
      <c r="AM364" s="242"/>
    </row>
    <row r="365" spans="1:39" ht="15" customHeight="1" x14ac:dyDescent="0.3">
      <c r="A365" s="185">
        <v>353</v>
      </c>
      <c r="B365" s="285" t="s">
        <v>1642</v>
      </c>
      <c r="C365" s="281" t="s">
        <v>1615</v>
      </c>
      <c r="D365" s="200" t="s">
        <v>1881</v>
      </c>
      <c r="E365" s="269"/>
      <c r="F365" s="269" t="s">
        <v>1597</v>
      </c>
      <c r="G365" s="196" t="s">
        <v>1596</v>
      </c>
      <c r="H365" s="248" t="s">
        <v>422</v>
      </c>
      <c r="I365" s="319">
        <v>2</v>
      </c>
      <c r="J365" s="319">
        <v>6.5</v>
      </c>
      <c r="K365" s="319">
        <v>8</v>
      </c>
      <c r="L365" s="212">
        <v>1</v>
      </c>
      <c r="M365" s="212">
        <f t="shared" si="45"/>
        <v>17.5</v>
      </c>
      <c r="N365" s="212">
        <f t="shared" si="46"/>
        <v>16</v>
      </c>
      <c r="O365" s="212">
        <f t="shared" si="47"/>
        <v>26</v>
      </c>
      <c r="P365" s="212">
        <f t="shared" si="48"/>
        <v>53.333333333333336</v>
      </c>
      <c r="Q365" s="212">
        <f t="shared" si="49"/>
        <v>8</v>
      </c>
      <c r="R365" s="212">
        <f t="shared" si="50"/>
        <v>103.33333333333334</v>
      </c>
      <c r="S365" s="289" t="s">
        <v>1643</v>
      </c>
      <c r="T365" s="284" t="s">
        <v>1644</v>
      </c>
      <c r="U365" s="272">
        <v>52</v>
      </c>
      <c r="V365" s="272">
        <v>54</v>
      </c>
      <c r="W365" s="290">
        <v>44326</v>
      </c>
      <c r="X365" s="277">
        <v>44378</v>
      </c>
      <c r="Y365" s="245">
        <v>44460</v>
      </c>
      <c r="Z365" s="311">
        <f t="shared" si="43"/>
        <v>2021</v>
      </c>
      <c r="AA365" s="311">
        <f t="shared" si="44"/>
        <v>9</v>
      </c>
      <c r="AB365" s="243" t="s">
        <v>920</v>
      </c>
      <c r="AC365" s="278" t="s">
        <v>422</v>
      </c>
      <c r="AD365" s="243" t="s">
        <v>423</v>
      </c>
      <c r="AE365" s="278" t="s">
        <v>422</v>
      </c>
      <c r="AF365" s="278" t="s">
        <v>422</v>
      </c>
      <c r="AG365" s="243" t="s">
        <v>423</v>
      </c>
      <c r="AH365" s="243" t="s">
        <v>422</v>
      </c>
      <c r="AI365" s="243" t="s">
        <v>423</v>
      </c>
      <c r="AJ365" s="243" t="s">
        <v>423</v>
      </c>
      <c r="AK365" s="244" t="s">
        <v>1240</v>
      </c>
      <c r="AL365" s="241"/>
      <c r="AM365" s="242"/>
    </row>
    <row r="366" spans="1:39" ht="15" customHeight="1" x14ac:dyDescent="0.3">
      <c r="A366" s="185">
        <v>354</v>
      </c>
      <c r="B366" s="285" t="s">
        <v>1645</v>
      </c>
      <c r="C366" s="281" t="s">
        <v>1615</v>
      </c>
      <c r="D366" s="200" t="s">
        <v>1881</v>
      </c>
      <c r="E366" s="269"/>
      <c r="F366" s="269" t="s">
        <v>1597</v>
      </c>
      <c r="G366" s="196" t="s">
        <v>1596</v>
      </c>
      <c r="H366" s="248" t="s">
        <v>422</v>
      </c>
      <c r="I366" s="319">
        <v>2</v>
      </c>
      <c r="J366" s="319">
        <v>7</v>
      </c>
      <c r="K366" s="319">
        <v>8</v>
      </c>
      <c r="L366" s="212">
        <v>1</v>
      </c>
      <c r="M366" s="212">
        <f t="shared" si="45"/>
        <v>18</v>
      </c>
      <c r="N366" s="212">
        <f t="shared" si="46"/>
        <v>16</v>
      </c>
      <c r="O366" s="212">
        <f t="shared" si="47"/>
        <v>28</v>
      </c>
      <c r="P366" s="212">
        <f t="shared" si="48"/>
        <v>53.333333333333336</v>
      </c>
      <c r="Q366" s="212">
        <f t="shared" si="49"/>
        <v>8</v>
      </c>
      <c r="R366" s="212">
        <f t="shared" si="50"/>
        <v>105.33333333333334</v>
      </c>
      <c r="S366" s="289" t="s">
        <v>1646</v>
      </c>
      <c r="T366" s="284" t="s">
        <v>1647</v>
      </c>
      <c r="U366" s="272">
        <v>38</v>
      </c>
      <c r="V366" s="272">
        <v>39</v>
      </c>
      <c r="W366" s="290">
        <v>44327</v>
      </c>
      <c r="X366" s="277">
        <v>44367</v>
      </c>
      <c r="Y366" s="245">
        <v>44460</v>
      </c>
      <c r="Z366" s="311">
        <f t="shared" si="43"/>
        <v>2021</v>
      </c>
      <c r="AA366" s="311">
        <f t="shared" si="44"/>
        <v>9</v>
      </c>
      <c r="AB366" s="243" t="s">
        <v>920</v>
      </c>
      <c r="AC366" s="278" t="s">
        <v>422</v>
      </c>
      <c r="AD366" s="243" t="s">
        <v>423</v>
      </c>
      <c r="AE366" s="278" t="s">
        <v>422</v>
      </c>
      <c r="AF366" s="278" t="s">
        <v>422</v>
      </c>
      <c r="AG366" s="243" t="s">
        <v>423</v>
      </c>
      <c r="AH366" s="243" t="s">
        <v>422</v>
      </c>
      <c r="AI366" s="243" t="s">
        <v>423</v>
      </c>
      <c r="AJ366" s="243" t="s">
        <v>423</v>
      </c>
      <c r="AK366" s="244" t="s">
        <v>1240</v>
      </c>
      <c r="AL366" s="241"/>
      <c r="AM366" s="242"/>
    </row>
    <row r="367" spans="1:39" ht="15" customHeight="1" x14ac:dyDescent="0.3">
      <c r="A367" s="185">
        <v>355</v>
      </c>
      <c r="B367" s="285" t="s">
        <v>1648</v>
      </c>
      <c r="C367" s="281" t="s">
        <v>1615</v>
      </c>
      <c r="D367" s="200" t="s">
        <v>1881</v>
      </c>
      <c r="E367" s="269"/>
      <c r="F367" s="269" t="s">
        <v>1597</v>
      </c>
      <c r="G367" s="196" t="s">
        <v>1596</v>
      </c>
      <c r="H367" s="248" t="s">
        <v>422</v>
      </c>
      <c r="I367" s="248">
        <v>2</v>
      </c>
      <c r="J367" s="248">
        <v>6</v>
      </c>
      <c r="K367" s="248">
        <v>8</v>
      </c>
      <c r="L367" s="212">
        <v>1</v>
      </c>
      <c r="M367" s="212">
        <f t="shared" si="45"/>
        <v>17</v>
      </c>
      <c r="N367" s="212">
        <f t="shared" si="46"/>
        <v>16</v>
      </c>
      <c r="O367" s="212">
        <f t="shared" si="47"/>
        <v>24</v>
      </c>
      <c r="P367" s="212">
        <f t="shared" si="48"/>
        <v>53.333333333333336</v>
      </c>
      <c r="Q367" s="212">
        <f t="shared" si="49"/>
        <v>8</v>
      </c>
      <c r="R367" s="212">
        <f t="shared" si="50"/>
        <v>101.33333333333334</v>
      </c>
      <c r="S367" s="286" t="s">
        <v>1649</v>
      </c>
      <c r="T367" s="284" t="s">
        <v>1650</v>
      </c>
      <c r="U367" s="272">
        <v>48</v>
      </c>
      <c r="V367" s="272">
        <v>50</v>
      </c>
      <c r="W367" s="276">
        <v>44327</v>
      </c>
      <c r="X367" s="277">
        <v>44367</v>
      </c>
      <c r="Y367" s="245">
        <v>44460</v>
      </c>
      <c r="Z367" s="311">
        <f t="shared" si="43"/>
        <v>2021</v>
      </c>
      <c r="AA367" s="311">
        <f t="shared" si="44"/>
        <v>9</v>
      </c>
      <c r="AB367" s="243" t="s">
        <v>920</v>
      </c>
      <c r="AC367" s="278" t="s">
        <v>422</v>
      </c>
      <c r="AD367" s="243" t="s">
        <v>423</v>
      </c>
      <c r="AE367" s="278" t="s">
        <v>422</v>
      </c>
      <c r="AF367" s="278" t="s">
        <v>422</v>
      </c>
      <c r="AG367" s="243" t="s">
        <v>423</v>
      </c>
      <c r="AH367" s="243" t="s">
        <v>422</v>
      </c>
      <c r="AI367" s="243" t="s">
        <v>423</v>
      </c>
      <c r="AJ367" s="243" t="s">
        <v>423</v>
      </c>
      <c r="AK367" s="244" t="s">
        <v>1240</v>
      </c>
      <c r="AL367" s="241"/>
      <c r="AM367" s="242"/>
    </row>
    <row r="368" spans="1:39" ht="15" customHeight="1" x14ac:dyDescent="0.3">
      <c r="A368" s="185">
        <v>356</v>
      </c>
      <c r="B368" s="285" t="s">
        <v>1651</v>
      </c>
      <c r="C368" s="281" t="s">
        <v>1615</v>
      </c>
      <c r="D368" s="200" t="s">
        <v>1881</v>
      </c>
      <c r="E368" s="269"/>
      <c r="F368" s="269" t="s">
        <v>1597</v>
      </c>
      <c r="G368" s="196" t="s">
        <v>1596</v>
      </c>
      <c r="H368" s="248" t="s">
        <v>422</v>
      </c>
      <c r="I368" s="248">
        <v>2</v>
      </c>
      <c r="J368" s="248">
        <v>6.5</v>
      </c>
      <c r="K368" s="248">
        <v>5.8</v>
      </c>
      <c r="L368" s="212">
        <v>1</v>
      </c>
      <c r="M368" s="212">
        <f t="shared" si="45"/>
        <v>15.3</v>
      </c>
      <c r="N368" s="212">
        <f t="shared" si="46"/>
        <v>16</v>
      </c>
      <c r="O368" s="212">
        <f t="shared" si="47"/>
        <v>26</v>
      </c>
      <c r="P368" s="212">
        <f t="shared" si="48"/>
        <v>38.666666666666664</v>
      </c>
      <c r="Q368" s="212">
        <f t="shared" si="49"/>
        <v>8</v>
      </c>
      <c r="R368" s="212">
        <f t="shared" si="50"/>
        <v>88.666666666666657</v>
      </c>
      <c r="S368" s="286" t="s">
        <v>1923</v>
      </c>
      <c r="T368" s="284" t="s">
        <v>1652</v>
      </c>
      <c r="U368" s="272">
        <v>34</v>
      </c>
      <c r="V368" s="280">
        <v>34</v>
      </c>
      <c r="W368" s="276">
        <v>44327</v>
      </c>
      <c r="X368" s="277">
        <v>44367</v>
      </c>
      <c r="Y368" s="245">
        <v>44460</v>
      </c>
      <c r="Z368" s="311">
        <f t="shared" si="43"/>
        <v>2021</v>
      </c>
      <c r="AA368" s="311">
        <f t="shared" si="44"/>
        <v>9</v>
      </c>
      <c r="AB368" s="243" t="s">
        <v>920</v>
      </c>
      <c r="AC368" s="278" t="s">
        <v>422</v>
      </c>
      <c r="AD368" s="243" t="s">
        <v>423</v>
      </c>
      <c r="AE368" s="278" t="s">
        <v>422</v>
      </c>
      <c r="AF368" s="278" t="s">
        <v>422</v>
      </c>
      <c r="AG368" s="243" t="s">
        <v>423</v>
      </c>
      <c r="AH368" s="243" t="s">
        <v>422</v>
      </c>
      <c r="AI368" s="243" t="s">
        <v>423</v>
      </c>
      <c r="AJ368" s="243" t="s">
        <v>423</v>
      </c>
      <c r="AK368" s="244" t="s">
        <v>254</v>
      </c>
      <c r="AL368" s="241"/>
      <c r="AM368" s="242"/>
    </row>
    <row r="369" spans="1:39" s="295" customFormat="1" ht="15" customHeight="1" x14ac:dyDescent="0.3">
      <c r="A369" s="185">
        <v>365</v>
      </c>
      <c r="B369" s="285" t="s">
        <v>1662</v>
      </c>
      <c r="C369" s="281" t="s">
        <v>1618</v>
      </c>
      <c r="D369" s="200" t="s">
        <v>1881</v>
      </c>
      <c r="E369" s="269"/>
      <c r="F369" s="269"/>
      <c r="G369" s="196" t="s">
        <v>1604</v>
      </c>
      <c r="H369" s="248" t="s">
        <v>422</v>
      </c>
      <c r="I369" s="248">
        <v>2</v>
      </c>
      <c r="J369" s="248">
        <v>6.8</v>
      </c>
      <c r="K369" s="248">
        <v>0</v>
      </c>
      <c r="L369" s="212">
        <v>1</v>
      </c>
      <c r="M369" s="212">
        <f t="shared" si="45"/>
        <v>9.8000000000000007</v>
      </c>
      <c r="N369" s="212">
        <f t="shared" si="46"/>
        <v>16</v>
      </c>
      <c r="O369" s="212">
        <f t="shared" si="47"/>
        <v>27.2</v>
      </c>
      <c r="P369" s="212">
        <f t="shared" si="48"/>
        <v>0</v>
      </c>
      <c r="Q369" s="212">
        <f t="shared" si="49"/>
        <v>8</v>
      </c>
      <c r="R369" s="212">
        <f t="shared" si="50"/>
        <v>51.2</v>
      </c>
      <c r="S369" s="286" t="s">
        <v>1678</v>
      </c>
      <c r="T369" s="313" t="s">
        <v>1677</v>
      </c>
      <c r="U369" s="272">
        <v>120</v>
      </c>
      <c r="V369" s="272">
        <v>124</v>
      </c>
      <c r="W369" s="276">
        <v>44333</v>
      </c>
      <c r="X369" s="277">
        <v>44394</v>
      </c>
      <c r="Y369" s="245">
        <v>44463</v>
      </c>
      <c r="Z369" s="311">
        <f t="shared" si="43"/>
        <v>2021</v>
      </c>
      <c r="AA369" s="311">
        <f t="shared" si="44"/>
        <v>9</v>
      </c>
      <c r="AB369" s="243" t="s">
        <v>920</v>
      </c>
      <c r="AC369" s="243" t="s">
        <v>422</v>
      </c>
      <c r="AD369" s="243" t="s">
        <v>423</v>
      </c>
      <c r="AE369" s="243" t="s">
        <v>422</v>
      </c>
      <c r="AF369" s="243" t="s">
        <v>422</v>
      </c>
      <c r="AG369" s="243" t="s">
        <v>423</v>
      </c>
      <c r="AH369" s="243" t="s">
        <v>423</v>
      </c>
      <c r="AI369" s="243" t="s">
        <v>423</v>
      </c>
      <c r="AJ369" s="243" t="s">
        <v>422</v>
      </c>
      <c r="AK369" s="244" t="s">
        <v>1372</v>
      </c>
      <c r="AL369" s="241"/>
      <c r="AM369" s="242"/>
    </row>
    <row r="370" spans="1:39" ht="15" customHeight="1" x14ac:dyDescent="0.3">
      <c r="A370" s="185">
        <v>366</v>
      </c>
      <c r="B370" s="285" t="s">
        <v>1663</v>
      </c>
      <c r="C370" s="281" t="s">
        <v>1618</v>
      </c>
      <c r="D370" s="200" t="s">
        <v>1881</v>
      </c>
      <c r="E370" s="269"/>
      <c r="F370" s="269"/>
      <c r="G370" s="196" t="s">
        <v>1604</v>
      </c>
      <c r="H370" s="248" t="s">
        <v>422</v>
      </c>
      <c r="I370" s="248">
        <v>2</v>
      </c>
      <c r="J370" s="248">
        <v>7.5</v>
      </c>
      <c r="K370" s="248">
        <v>0</v>
      </c>
      <c r="L370" s="212">
        <v>1</v>
      </c>
      <c r="M370" s="212">
        <f t="shared" si="45"/>
        <v>10.5</v>
      </c>
      <c r="N370" s="212">
        <f t="shared" si="46"/>
        <v>16</v>
      </c>
      <c r="O370" s="212">
        <f t="shared" si="47"/>
        <v>30</v>
      </c>
      <c r="P370" s="212">
        <f t="shared" si="48"/>
        <v>0</v>
      </c>
      <c r="Q370" s="212">
        <f t="shared" si="49"/>
        <v>8</v>
      </c>
      <c r="R370" s="212">
        <f t="shared" si="50"/>
        <v>54</v>
      </c>
      <c r="S370" s="286" t="s">
        <v>1680</v>
      </c>
      <c r="T370" s="275" t="s">
        <v>1679</v>
      </c>
      <c r="U370" s="272">
        <v>120</v>
      </c>
      <c r="V370" s="272">
        <v>124</v>
      </c>
      <c r="W370" s="276">
        <v>44333</v>
      </c>
      <c r="X370" s="277">
        <v>44394</v>
      </c>
      <c r="Y370" s="245">
        <v>44463</v>
      </c>
      <c r="Z370" s="311">
        <f t="shared" si="43"/>
        <v>2021</v>
      </c>
      <c r="AA370" s="311">
        <f t="shared" si="44"/>
        <v>9</v>
      </c>
      <c r="AB370" s="243" t="s">
        <v>920</v>
      </c>
      <c r="AC370" s="243" t="s">
        <v>422</v>
      </c>
      <c r="AD370" s="243" t="s">
        <v>423</v>
      </c>
      <c r="AE370" s="243" t="s">
        <v>422</v>
      </c>
      <c r="AF370" s="243" t="s">
        <v>422</v>
      </c>
      <c r="AG370" s="243" t="s">
        <v>423</v>
      </c>
      <c r="AH370" s="243" t="s">
        <v>423</v>
      </c>
      <c r="AI370" s="243" t="s">
        <v>423</v>
      </c>
      <c r="AJ370" s="243" t="s">
        <v>422</v>
      </c>
      <c r="AK370" s="244" t="s">
        <v>1372</v>
      </c>
      <c r="AL370" s="241"/>
      <c r="AM370" s="242"/>
    </row>
    <row r="371" spans="1:39" ht="15" customHeight="1" x14ac:dyDescent="0.3">
      <c r="A371" s="185">
        <v>372</v>
      </c>
      <c r="B371" s="285" t="s">
        <v>1692</v>
      </c>
      <c r="C371" s="281" t="s">
        <v>1618</v>
      </c>
      <c r="D371" s="200" t="s">
        <v>1848</v>
      </c>
      <c r="E371" s="269" t="s">
        <v>1790</v>
      </c>
      <c r="F371" s="269" t="s">
        <v>1597</v>
      </c>
      <c r="G371" s="196" t="s">
        <v>1596</v>
      </c>
      <c r="H371" s="248" t="s">
        <v>422</v>
      </c>
      <c r="I371" s="248">
        <v>2</v>
      </c>
      <c r="J371" s="248">
        <v>11.5</v>
      </c>
      <c r="K371" s="248">
        <v>9</v>
      </c>
      <c r="L371" s="212">
        <v>1</v>
      </c>
      <c r="M371" s="212">
        <f t="shared" si="45"/>
        <v>23.5</v>
      </c>
      <c r="N371" s="212">
        <f t="shared" si="46"/>
        <v>16</v>
      </c>
      <c r="O371" s="212">
        <f t="shared" si="47"/>
        <v>46</v>
      </c>
      <c r="P371" s="212">
        <f t="shared" si="48"/>
        <v>60</v>
      </c>
      <c r="Q371" s="212">
        <f t="shared" si="49"/>
        <v>8</v>
      </c>
      <c r="R371" s="212">
        <f t="shared" si="50"/>
        <v>130</v>
      </c>
      <c r="S371" s="286" t="s">
        <v>1705</v>
      </c>
      <c r="T371" s="275" t="s">
        <v>1714</v>
      </c>
      <c r="U371" s="272">
        <v>20</v>
      </c>
      <c r="V371" s="272">
        <v>22</v>
      </c>
      <c r="W371" s="276">
        <v>44351</v>
      </c>
      <c r="X371" s="277">
        <v>44423</v>
      </c>
      <c r="Y371" s="245">
        <v>44463</v>
      </c>
      <c r="Z371" s="311">
        <f t="shared" si="43"/>
        <v>2021</v>
      </c>
      <c r="AA371" s="311">
        <f t="shared" si="44"/>
        <v>9</v>
      </c>
      <c r="AB371" s="278" t="s">
        <v>920</v>
      </c>
      <c r="AC371" s="243" t="s">
        <v>422</v>
      </c>
      <c r="AD371" s="243" t="s">
        <v>422</v>
      </c>
      <c r="AE371" s="243" t="s">
        <v>422</v>
      </c>
      <c r="AF371" s="243" t="s">
        <v>422</v>
      </c>
      <c r="AG371" s="243" t="s">
        <v>422</v>
      </c>
      <c r="AH371" s="243" t="s">
        <v>422</v>
      </c>
      <c r="AI371" s="243" t="s">
        <v>423</v>
      </c>
      <c r="AJ371" s="243" t="s">
        <v>423</v>
      </c>
      <c r="AK371" s="244" t="s">
        <v>772</v>
      </c>
      <c r="AL371" s="241"/>
      <c r="AM371" s="242"/>
    </row>
    <row r="372" spans="1:39" ht="15" customHeight="1" x14ac:dyDescent="0.3">
      <c r="A372" s="185">
        <v>373</v>
      </c>
      <c r="B372" s="285" t="s">
        <v>1693</v>
      </c>
      <c r="C372" s="281" t="s">
        <v>1618</v>
      </c>
      <c r="D372" s="200" t="s">
        <v>1848</v>
      </c>
      <c r="E372" s="269" t="s">
        <v>1790</v>
      </c>
      <c r="F372" s="269" t="s">
        <v>1597</v>
      </c>
      <c r="G372" s="196" t="s">
        <v>1596</v>
      </c>
      <c r="H372" s="248" t="s">
        <v>422</v>
      </c>
      <c r="I372" s="248">
        <v>2</v>
      </c>
      <c r="J372" s="248">
        <v>5.5</v>
      </c>
      <c r="K372" s="248">
        <v>11</v>
      </c>
      <c r="L372" s="212">
        <v>1</v>
      </c>
      <c r="M372" s="212">
        <f t="shared" si="45"/>
        <v>19.5</v>
      </c>
      <c r="N372" s="212">
        <f t="shared" si="46"/>
        <v>16</v>
      </c>
      <c r="O372" s="212">
        <f t="shared" si="47"/>
        <v>22</v>
      </c>
      <c r="P372" s="212">
        <f t="shared" si="48"/>
        <v>73.333333333333343</v>
      </c>
      <c r="Q372" s="212">
        <f t="shared" si="49"/>
        <v>8</v>
      </c>
      <c r="R372" s="212">
        <f t="shared" si="50"/>
        <v>119.33333333333334</v>
      </c>
      <c r="S372" s="286" t="s">
        <v>1706</v>
      </c>
      <c r="T372" s="275" t="s">
        <v>1715</v>
      </c>
      <c r="U372" s="272">
        <v>10</v>
      </c>
      <c r="V372" s="272">
        <v>11</v>
      </c>
      <c r="W372" s="276">
        <v>44351</v>
      </c>
      <c r="X372" s="277">
        <v>44423</v>
      </c>
      <c r="Y372" s="245">
        <v>44463</v>
      </c>
      <c r="Z372" s="311">
        <f t="shared" si="43"/>
        <v>2021</v>
      </c>
      <c r="AA372" s="311">
        <f t="shared" si="44"/>
        <v>9</v>
      </c>
      <c r="AB372" s="278" t="s">
        <v>920</v>
      </c>
      <c r="AC372" s="243" t="s">
        <v>422</v>
      </c>
      <c r="AD372" s="243" t="s">
        <v>423</v>
      </c>
      <c r="AE372" s="243" t="s">
        <v>422</v>
      </c>
      <c r="AF372" s="243" t="s">
        <v>422</v>
      </c>
      <c r="AG372" s="243" t="s">
        <v>423</v>
      </c>
      <c r="AH372" s="243" t="s">
        <v>422</v>
      </c>
      <c r="AI372" s="243" t="s">
        <v>423</v>
      </c>
      <c r="AJ372" s="243" t="s">
        <v>423</v>
      </c>
      <c r="AK372" s="244" t="s">
        <v>772</v>
      </c>
      <c r="AL372" s="241"/>
      <c r="AM372" s="242"/>
    </row>
    <row r="373" spans="1:39" ht="15" customHeight="1" x14ac:dyDescent="0.3">
      <c r="A373" s="185">
        <v>374</v>
      </c>
      <c r="B373" s="285" t="s">
        <v>1694</v>
      </c>
      <c r="C373" s="281" t="s">
        <v>1618</v>
      </c>
      <c r="D373" s="200" t="s">
        <v>1848</v>
      </c>
      <c r="E373" s="269" t="s">
        <v>1790</v>
      </c>
      <c r="F373" s="269" t="s">
        <v>1597</v>
      </c>
      <c r="G373" s="196" t="s">
        <v>1596</v>
      </c>
      <c r="H373" s="248" t="s">
        <v>422</v>
      </c>
      <c r="I373" s="248">
        <v>1</v>
      </c>
      <c r="J373" s="248">
        <v>3.5</v>
      </c>
      <c r="K373" s="248">
        <v>6</v>
      </c>
      <c r="L373" s="212">
        <v>1</v>
      </c>
      <c r="M373" s="212">
        <f t="shared" si="45"/>
        <v>11.5</v>
      </c>
      <c r="N373" s="212">
        <f t="shared" si="46"/>
        <v>8</v>
      </c>
      <c r="O373" s="212">
        <f t="shared" si="47"/>
        <v>14</v>
      </c>
      <c r="P373" s="212">
        <f t="shared" si="48"/>
        <v>40</v>
      </c>
      <c r="Q373" s="212">
        <f t="shared" si="49"/>
        <v>8</v>
      </c>
      <c r="R373" s="212">
        <f t="shared" si="50"/>
        <v>70</v>
      </c>
      <c r="S373" s="286" t="s">
        <v>1707</v>
      </c>
      <c r="T373" s="275" t="s">
        <v>1716</v>
      </c>
      <c r="U373" s="272">
        <v>10</v>
      </c>
      <c r="V373" s="272">
        <v>11</v>
      </c>
      <c r="W373" s="276">
        <v>44351</v>
      </c>
      <c r="X373" s="277">
        <v>44423</v>
      </c>
      <c r="Y373" s="245">
        <v>44463</v>
      </c>
      <c r="Z373" s="311">
        <f t="shared" si="43"/>
        <v>2021</v>
      </c>
      <c r="AA373" s="311">
        <f t="shared" si="44"/>
        <v>9</v>
      </c>
      <c r="AB373" s="278" t="s">
        <v>920</v>
      </c>
      <c r="AC373" s="243" t="s">
        <v>422</v>
      </c>
      <c r="AD373" s="243" t="s">
        <v>423</v>
      </c>
      <c r="AE373" s="243" t="s">
        <v>422</v>
      </c>
      <c r="AF373" s="243" t="s">
        <v>422</v>
      </c>
      <c r="AG373" s="243" t="s">
        <v>423</v>
      </c>
      <c r="AH373" s="243" t="s">
        <v>422</v>
      </c>
      <c r="AI373" s="243" t="s">
        <v>423</v>
      </c>
      <c r="AJ373" s="243" t="s">
        <v>423</v>
      </c>
      <c r="AK373" s="244" t="s">
        <v>772</v>
      </c>
      <c r="AL373" s="241"/>
      <c r="AM373" s="242"/>
    </row>
    <row r="374" spans="1:39" ht="15" customHeight="1" x14ac:dyDescent="0.3">
      <c r="A374" s="185">
        <v>375</v>
      </c>
      <c r="B374" s="285" t="s">
        <v>1695</v>
      </c>
      <c r="C374" s="281" t="s">
        <v>1618</v>
      </c>
      <c r="D374" s="200" t="s">
        <v>1848</v>
      </c>
      <c r="E374" s="269" t="s">
        <v>1790</v>
      </c>
      <c r="F374" s="269" t="s">
        <v>1597</v>
      </c>
      <c r="G374" s="196" t="s">
        <v>1596</v>
      </c>
      <c r="H374" s="248" t="s">
        <v>422</v>
      </c>
      <c r="I374" s="248">
        <v>1</v>
      </c>
      <c r="J374" s="248">
        <v>3.5</v>
      </c>
      <c r="K374" s="359">
        <v>6</v>
      </c>
      <c r="L374" s="212">
        <v>1</v>
      </c>
      <c r="M374" s="212">
        <f t="shared" si="45"/>
        <v>11.5</v>
      </c>
      <c r="N374" s="212">
        <f t="shared" si="46"/>
        <v>8</v>
      </c>
      <c r="O374" s="212">
        <f t="shared" si="47"/>
        <v>14</v>
      </c>
      <c r="P374" s="212">
        <f t="shared" si="48"/>
        <v>40</v>
      </c>
      <c r="Q374" s="212">
        <f t="shared" si="49"/>
        <v>8</v>
      </c>
      <c r="R374" s="212">
        <f t="shared" si="50"/>
        <v>70</v>
      </c>
      <c r="S374" s="286" t="s">
        <v>1708</v>
      </c>
      <c r="T374" s="275" t="s">
        <v>1717</v>
      </c>
      <c r="U374" s="272">
        <v>10</v>
      </c>
      <c r="V374" s="272">
        <v>11</v>
      </c>
      <c r="W374" s="276">
        <v>44351</v>
      </c>
      <c r="X374" s="277">
        <v>44423</v>
      </c>
      <c r="Y374" s="245">
        <v>44463</v>
      </c>
      <c r="Z374" s="311">
        <f t="shared" si="43"/>
        <v>2021</v>
      </c>
      <c r="AA374" s="311">
        <f t="shared" si="44"/>
        <v>9</v>
      </c>
      <c r="AB374" s="278" t="s">
        <v>920</v>
      </c>
      <c r="AC374" s="243" t="s">
        <v>422</v>
      </c>
      <c r="AD374" s="243" t="s">
        <v>423</v>
      </c>
      <c r="AE374" s="243" t="s">
        <v>422</v>
      </c>
      <c r="AF374" s="243" t="s">
        <v>422</v>
      </c>
      <c r="AG374" s="243" t="s">
        <v>423</v>
      </c>
      <c r="AH374" s="243" t="s">
        <v>422</v>
      </c>
      <c r="AI374" s="243" t="s">
        <v>423</v>
      </c>
      <c r="AJ374" s="243" t="s">
        <v>423</v>
      </c>
      <c r="AK374" s="244" t="s">
        <v>772</v>
      </c>
      <c r="AL374" s="241"/>
      <c r="AM374" s="242"/>
    </row>
    <row r="375" spans="1:39" s="295" customFormat="1" ht="15" customHeight="1" x14ac:dyDescent="0.3">
      <c r="A375" s="185">
        <v>376</v>
      </c>
      <c r="B375" s="285" t="s">
        <v>1696</v>
      </c>
      <c r="C375" s="281" t="s">
        <v>1618</v>
      </c>
      <c r="D375" s="200" t="s">
        <v>1848</v>
      </c>
      <c r="E375" s="269" t="s">
        <v>1790</v>
      </c>
      <c r="F375" s="269" t="s">
        <v>1597</v>
      </c>
      <c r="G375" s="196" t="s">
        <v>1596</v>
      </c>
      <c r="H375" s="248" t="s">
        <v>422</v>
      </c>
      <c r="I375" s="248">
        <v>2</v>
      </c>
      <c r="J375" s="248">
        <v>5.5</v>
      </c>
      <c r="K375" s="359">
        <v>6</v>
      </c>
      <c r="L375" s="212">
        <v>1</v>
      </c>
      <c r="M375" s="212">
        <f t="shared" si="45"/>
        <v>14.5</v>
      </c>
      <c r="N375" s="212">
        <f t="shared" si="46"/>
        <v>16</v>
      </c>
      <c r="O375" s="212">
        <f t="shared" si="47"/>
        <v>22</v>
      </c>
      <c r="P375" s="212">
        <f t="shared" si="48"/>
        <v>40</v>
      </c>
      <c r="Q375" s="212">
        <f t="shared" si="49"/>
        <v>8</v>
      </c>
      <c r="R375" s="212">
        <f t="shared" si="50"/>
        <v>86</v>
      </c>
      <c r="S375" s="286" t="s">
        <v>1709</v>
      </c>
      <c r="T375" s="313" t="s">
        <v>1718</v>
      </c>
      <c r="U375" s="272">
        <v>10</v>
      </c>
      <c r="V375" s="272">
        <v>11</v>
      </c>
      <c r="W375" s="276">
        <v>44351</v>
      </c>
      <c r="X375" s="277">
        <v>44423</v>
      </c>
      <c r="Y375" s="245">
        <v>44463</v>
      </c>
      <c r="Z375" s="311">
        <f t="shared" si="43"/>
        <v>2021</v>
      </c>
      <c r="AA375" s="311">
        <f t="shared" si="44"/>
        <v>9</v>
      </c>
      <c r="AB375" s="278" t="s">
        <v>920</v>
      </c>
      <c r="AC375" s="243" t="s">
        <v>422</v>
      </c>
      <c r="AD375" s="243" t="s">
        <v>423</v>
      </c>
      <c r="AE375" s="243" t="s">
        <v>422</v>
      </c>
      <c r="AF375" s="243" t="s">
        <v>422</v>
      </c>
      <c r="AG375" s="243" t="s">
        <v>423</v>
      </c>
      <c r="AH375" s="243" t="s">
        <v>422</v>
      </c>
      <c r="AI375" s="243" t="s">
        <v>423</v>
      </c>
      <c r="AJ375" s="243" t="s">
        <v>423</v>
      </c>
      <c r="AK375" s="244" t="s">
        <v>772</v>
      </c>
      <c r="AL375" s="241"/>
      <c r="AM375" s="242"/>
    </row>
    <row r="376" spans="1:39" ht="15" customHeight="1" x14ac:dyDescent="0.3">
      <c r="A376" s="185">
        <v>377</v>
      </c>
      <c r="B376" s="285" t="s">
        <v>1697</v>
      </c>
      <c r="C376" s="281" t="s">
        <v>1618</v>
      </c>
      <c r="D376" s="200" t="s">
        <v>1848</v>
      </c>
      <c r="E376" s="269" t="s">
        <v>1790</v>
      </c>
      <c r="F376" s="269" t="s">
        <v>1597</v>
      </c>
      <c r="G376" s="196" t="s">
        <v>1596</v>
      </c>
      <c r="H376" s="248" t="s">
        <v>422</v>
      </c>
      <c r="I376" s="248">
        <v>1</v>
      </c>
      <c r="J376" s="248">
        <v>3.5</v>
      </c>
      <c r="K376" s="359">
        <v>6</v>
      </c>
      <c r="L376" s="212">
        <v>1</v>
      </c>
      <c r="M376" s="212">
        <f t="shared" si="45"/>
        <v>11.5</v>
      </c>
      <c r="N376" s="212">
        <f t="shared" si="46"/>
        <v>8</v>
      </c>
      <c r="O376" s="212">
        <f t="shared" si="47"/>
        <v>14</v>
      </c>
      <c r="P376" s="212">
        <f t="shared" si="48"/>
        <v>40</v>
      </c>
      <c r="Q376" s="212">
        <f t="shared" si="49"/>
        <v>8</v>
      </c>
      <c r="R376" s="212">
        <f t="shared" si="50"/>
        <v>70</v>
      </c>
      <c r="S376" s="286" t="s">
        <v>1710</v>
      </c>
      <c r="T376" s="275" t="s">
        <v>1719</v>
      </c>
      <c r="U376" s="272">
        <v>10</v>
      </c>
      <c r="V376" s="272">
        <v>11</v>
      </c>
      <c r="W376" s="276">
        <v>44351</v>
      </c>
      <c r="X376" s="277">
        <v>44423</v>
      </c>
      <c r="Y376" s="245">
        <v>44463</v>
      </c>
      <c r="Z376" s="311">
        <f t="shared" si="43"/>
        <v>2021</v>
      </c>
      <c r="AA376" s="311">
        <f t="shared" si="44"/>
        <v>9</v>
      </c>
      <c r="AB376" s="278" t="s">
        <v>920</v>
      </c>
      <c r="AC376" s="243" t="s">
        <v>422</v>
      </c>
      <c r="AD376" s="243" t="s">
        <v>423</v>
      </c>
      <c r="AE376" s="243" t="s">
        <v>422</v>
      </c>
      <c r="AF376" s="243" t="s">
        <v>422</v>
      </c>
      <c r="AG376" s="243" t="s">
        <v>423</v>
      </c>
      <c r="AH376" s="243" t="s">
        <v>422</v>
      </c>
      <c r="AI376" s="243" t="s">
        <v>423</v>
      </c>
      <c r="AJ376" s="243" t="s">
        <v>423</v>
      </c>
      <c r="AK376" s="244" t="s">
        <v>772</v>
      </c>
      <c r="AL376" s="241"/>
      <c r="AM376" s="242"/>
    </row>
    <row r="377" spans="1:39" ht="15" customHeight="1" x14ac:dyDescent="0.3">
      <c r="A377" s="185">
        <v>378</v>
      </c>
      <c r="B377" s="285" t="s">
        <v>1698</v>
      </c>
      <c r="C377" s="281" t="s">
        <v>1618</v>
      </c>
      <c r="D377" s="200" t="s">
        <v>1848</v>
      </c>
      <c r="E377" s="269" t="s">
        <v>1790</v>
      </c>
      <c r="F377" s="269" t="s">
        <v>1597</v>
      </c>
      <c r="G377" s="196" t="s">
        <v>1596</v>
      </c>
      <c r="H377" s="248" t="s">
        <v>422</v>
      </c>
      <c r="I377" s="248">
        <v>1</v>
      </c>
      <c r="J377" s="248">
        <v>3.5</v>
      </c>
      <c r="K377" s="359">
        <v>6</v>
      </c>
      <c r="L377" s="212">
        <v>1</v>
      </c>
      <c r="M377" s="212">
        <f t="shared" si="45"/>
        <v>11.5</v>
      </c>
      <c r="N377" s="212">
        <f t="shared" si="46"/>
        <v>8</v>
      </c>
      <c r="O377" s="212">
        <f t="shared" si="47"/>
        <v>14</v>
      </c>
      <c r="P377" s="212">
        <f t="shared" si="48"/>
        <v>40</v>
      </c>
      <c r="Q377" s="212">
        <f t="shared" si="49"/>
        <v>8</v>
      </c>
      <c r="R377" s="212">
        <f t="shared" si="50"/>
        <v>70</v>
      </c>
      <c r="S377" s="286" t="s">
        <v>1711</v>
      </c>
      <c r="T377" s="275" t="s">
        <v>1720</v>
      </c>
      <c r="U377" s="272">
        <v>10</v>
      </c>
      <c r="V377" s="272">
        <v>11</v>
      </c>
      <c r="W377" s="276">
        <v>44351</v>
      </c>
      <c r="X377" s="277">
        <v>44423</v>
      </c>
      <c r="Y377" s="245">
        <v>44463</v>
      </c>
      <c r="Z377" s="311">
        <f t="shared" si="43"/>
        <v>2021</v>
      </c>
      <c r="AA377" s="311">
        <f t="shared" si="44"/>
        <v>9</v>
      </c>
      <c r="AB377" s="278" t="s">
        <v>920</v>
      </c>
      <c r="AC377" s="243" t="s">
        <v>422</v>
      </c>
      <c r="AD377" s="243" t="s">
        <v>423</v>
      </c>
      <c r="AE377" s="243" t="s">
        <v>422</v>
      </c>
      <c r="AF377" s="243" t="s">
        <v>422</v>
      </c>
      <c r="AG377" s="243" t="s">
        <v>423</v>
      </c>
      <c r="AH377" s="243" t="s">
        <v>422</v>
      </c>
      <c r="AI377" s="243" t="s">
        <v>423</v>
      </c>
      <c r="AJ377" s="243" t="s">
        <v>423</v>
      </c>
      <c r="AK377" s="244" t="s">
        <v>772</v>
      </c>
      <c r="AL377" s="241"/>
      <c r="AM377" s="242"/>
    </row>
    <row r="378" spans="1:39" ht="15" customHeight="1" x14ac:dyDescent="0.3">
      <c r="A378" s="185">
        <v>382</v>
      </c>
      <c r="B378" s="285" t="s">
        <v>1721</v>
      </c>
      <c r="C378" s="281" t="s">
        <v>1621</v>
      </c>
      <c r="D378" s="200" t="s">
        <v>1851</v>
      </c>
      <c r="E378" s="269" t="s">
        <v>1596</v>
      </c>
      <c r="F378" s="269" t="s">
        <v>1597</v>
      </c>
      <c r="G378" s="196" t="s">
        <v>1604</v>
      </c>
      <c r="H378" s="248" t="s">
        <v>422</v>
      </c>
      <c r="I378" s="248">
        <v>2</v>
      </c>
      <c r="J378" s="248">
        <v>11</v>
      </c>
      <c r="K378" s="248">
        <v>0</v>
      </c>
      <c r="L378" s="212">
        <v>1</v>
      </c>
      <c r="M378" s="212">
        <f t="shared" si="45"/>
        <v>14</v>
      </c>
      <c r="N378" s="212">
        <f t="shared" si="46"/>
        <v>16</v>
      </c>
      <c r="O378" s="212">
        <f t="shared" si="47"/>
        <v>44</v>
      </c>
      <c r="P378" s="212">
        <f t="shared" si="48"/>
        <v>0</v>
      </c>
      <c r="Q378" s="212">
        <f t="shared" si="49"/>
        <v>8</v>
      </c>
      <c r="R378" s="212">
        <f t="shared" si="50"/>
        <v>68</v>
      </c>
      <c r="S378" s="286" t="s">
        <v>1726</v>
      </c>
      <c r="T378" s="275" t="s">
        <v>1728</v>
      </c>
      <c r="U378" s="272">
        <v>18</v>
      </c>
      <c r="V378" s="272">
        <v>18</v>
      </c>
      <c r="W378" s="276">
        <v>44389</v>
      </c>
      <c r="X378" s="277">
        <v>44408</v>
      </c>
      <c r="Y378" s="245">
        <v>44446</v>
      </c>
      <c r="Z378" s="311">
        <f t="shared" si="43"/>
        <v>2021</v>
      </c>
      <c r="AA378" s="311">
        <f t="shared" si="44"/>
        <v>9</v>
      </c>
      <c r="AB378" s="243" t="s">
        <v>920</v>
      </c>
      <c r="AC378" s="243" t="s">
        <v>422</v>
      </c>
      <c r="AD378" s="243" t="s">
        <v>423</v>
      </c>
      <c r="AE378" s="243" t="s">
        <v>422</v>
      </c>
      <c r="AF378" s="243" t="s">
        <v>422</v>
      </c>
      <c r="AG378" s="243" t="s">
        <v>422</v>
      </c>
      <c r="AH378" s="243" t="s">
        <v>423</v>
      </c>
      <c r="AI378" s="243" t="s">
        <v>423</v>
      </c>
      <c r="AJ378" s="243" t="s">
        <v>423</v>
      </c>
      <c r="AK378" s="244" t="s">
        <v>140</v>
      </c>
      <c r="AL378" s="241"/>
      <c r="AM378" s="242"/>
    </row>
    <row r="379" spans="1:39" ht="15" customHeight="1" x14ac:dyDescent="0.3">
      <c r="A379" s="185">
        <v>383</v>
      </c>
      <c r="B379" s="285" t="s">
        <v>1722</v>
      </c>
      <c r="C379" s="281" t="s">
        <v>1621</v>
      </c>
      <c r="D379" s="200" t="s">
        <v>1851</v>
      </c>
      <c r="E379" s="269" t="s">
        <v>1596</v>
      </c>
      <c r="F379" s="269" t="s">
        <v>1597</v>
      </c>
      <c r="G379" s="196" t="s">
        <v>1604</v>
      </c>
      <c r="H379" s="248" t="s">
        <v>422</v>
      </c>
      <c r="I379" s="248">
        <v>2</v>
      </c>
      <c r="J379" s="248">
        <v>11</v>
      </c>
      <c r="K379" s="248">
        <v>0</v>
      </c>
      <c r="L379" s="212">
        <v>1</v>
      </c>
      <c r="M379" s="212">
        <f t="shared" si="45"/>
        <v>14</v>
      </c>
      <c r="N379" s="212">
        <f t="shared" si="46"/>
        <v>16</v>
      </c>
      <c r="O379" s="212">
        <f t="shared" si="47"/>
        <v>44</v>
      </c>
      <c r="P379" s="212">
        <f t="shared" si="48"/>
        <v>0</v>
      </c>
      <c r="Q379" s="212">
        <f t="shared" si="49"/>
        <v>8</v>
      </c>
      <c r="R379" s="212">
        <f t="shared" si="50"/>
        <v>68</v>
      </c>
      <c r="S379" s="286" t="s">
        <v>1725</v>
      </c>
      <c r="T379" s="275" t="s">
        <v>1728</v>
      </c>
      <c r="U379" s="272">
        <v>18</v>
      </c>
      <c r="V379" s="272">
        <v>18</v>
      </c>
      <c r="W379" s="276">
        <v>44389</v>
      </c>
      <c r="X379" s="277">
        <v>44408</v>
      </c>
      <c r="Y379" s="245">
        <v>44446</v>
      </c>
      <c r="Z379" s="311">
        <f t="shared" si="43"/>
        <v>2021</v>
      </c>
      <c r="AA379" s="311">
        <f t="shared" si="44"/>
        <v>9</v>
      </c>
      <c r="AB379" s="243" t="s">
        <v>920</v>
      </c>
      <c r="AC379" s="243" t="s">
        <v>422</v>
      </c>
      <c r="AD379" s="243" t="s">
        <v>423</v>
      </c>
      <c r="AE379" s="243" t="s">
        <v>422</v>
      </c>
      <c r="AF379" s="243" t="s">
        <v>422</v>
      </c>
      <c r="AG379" s="243" t="s">
        <v>422</v>
      </c>
      <c r="AH379" s="243" t="s">
        <v>423</v>
      </c>
      <c r="AI379" s="243" t="s">
        <v>423</v>
      </c>
      <c r="AJ379" s="243" t="s">
        <v>423</v>
      </c>
      <c r="AK379" s="244" t="s">
        <v>140</v>
      </c>
      <c r="AL379" s="241"/>
      <c r="AM379" s="242"/>
    </row>
    <row r="380" spans="1:39" ht="15" customHeight="1" x14ac:dyDescent="0.3">
      <c r="A380" s="185">
        <v>384</v>
      </c>
      <c r="B380" s="285" t="s">
        <v>1723</v>
      </c>
      <c r="C380" s="281" t="s">
        <v>1621</v>
      </c>
      <c r="D380" s="200" t="s">
        <v>1851</v>
      </c>
      <c r="E380" s="269" t="s">
        <v>1596</v>
      </c>
      <c r="F380" s="269" t="s">
        <v>1597</v>
      </c>
      <c r="G380" s="196" t="s">
        <v>1604</v>
      </c>
      <c r="H380" s="248" t="s">
        <v>422</v>
      </c>
      <c r="I380" s="248">
        <v>2</v>
      </c>
      <c r="J380" s="248">
        <v>12</v>
      </c>
      <c r="K380" s="248">
        <v>0</v>
      </c>
      <c r="L380" s="212">
        <v>1</v>
      </c>
      <c r="M380" s="212">
        <f t="shared" si="45"/>
        <v>15</v>
      </c>
      <c r="N380" s="212">
        <f t="shared" si="46"/>
        <v>16</v>
      </c>
      <c r="O380" s="212">
        <f t="shared" si="47"/>
        <v>48</v>
      </c>
      <c r="P380" s="212">
        <f t="shared" si="48"/>
        <v>0</v>
      </c>
      <c r="Q380" s="212">
        <f t="shared" si="49"/>
        <v>8</v>
      </c>
      <c r="R380" s="212">
        <f t="shared" si="50"/>
        <v>72</v>
      </c>
      <c r="S380" s="286" t="s">
        <v>1725</v>
      </c>
      <c r="T380" s="275" t="s">
        <v>1729</v>
      </c>
      <c r="U380" s="272">
        <v>18</v>
      </c>
      <c r="V380" s="272">
        <v>18</v>
      </c>
      <c r="W380" s="276">
        <v>44389</v>
      </c>
      <c r="X380" s="277">
        <v>44408</v>
      </c>
      <c r="Y380" s="245">
        <v>44446</v>
      </c>
      <c r="Z380" s="311">
        <f t="shared" si="43"/>
        <v>2021</v>
      </c>
      <c r="AA380" s="311">
        <f t="shared" si="44"/>
        <v>9</v>
      </c>
      <c r="AB380" s="243" t="s">
        <v>920</v>
      </c>
      <c r="AC380" s="243" t="s">
        <v>422</v>
      </c>
      <c r="AD380" s="243" t="s">
        <v>423</v>
      </c>
      <c r="AE380" s="243" t="s">
        <v>422</v>
      </c>
      <c r="AF380" s="243" t="s">
        <v>422</v>
      </c>
      <c r="AG380" s="243" t="s">
        <v>422</v>
      </c>
      <c r="AH380" s="243" t="s">
        <v>423</v>
      </c>
      <c r="AI380" s="243" t="s">
        <v>422</v>
      </c>
      <c r="AJ380" s="243" t="s">
        <v>423</v>
      </c>
      <c r="AK380" s="244" t="s">
        <v>140</v>
      </c>
      <c r="AL380" s="241"/>
      <c r="AM380" s="242"/>
    </row>
    <row r="381" spans="1:39" ht="15" customHeight="1" x14ac:dyDescent="0.3">
      <c r="A381" s="185">
        <v>385</v>
      </c>
      <c r="B381" s="285" t="s">
        <v>1724</v>
      </c>
      <c r="C381" s="281" t="s">
        <v>1621</v>
      </c>
      <c r="D381" s="200" t="s">
        <v>1851</v>
      </c>
      <c r="E381" s="269" t="s">
        <v>1596</v>
      </c>
      <c r="F381" s="269" t="s">
        <v>1597</v>
      </c>
      <c r="G381" s="196" t="s">
        <v>1604</v>
      </c>
      <c r="H381" s="248" t="s">
        <v>422</v>
      </c>
      <c r="I381" s="248">
        <v>2</v>
      </c>
      <c r="J381" s="248">
        <v>12</v>
      </c>
      <c r="K381" s="248">
        <v>0</v>
      </c>
      <c r="L381" s="212">
        <v>1</v>
      </c>
      <c r="M381" s="212">
        <f t="shared" si="45"/>
        <v>15</v>
      </c>
      <c r="N381" s="212">
        <f t="shared" si="46"/>
        <v>16</v>
      </c>
      <c r="O381" s="212">
        <f t="shared" si="47"/>
        <v>48</v>
      </c>
      <c r="P381" s="212">
        <f t="shared" si="48"/>
        <v>0</v>
      </c>
      <c r="Q381" s="212">
        <f t="shared" si="49"/>
        <v>8</v>
      </c>
      <c r="R381" s="212">
        <f t="shared" si="50"/>
        <v>72</v>
      </c>
      <c r="S381" s="286" t="s">
        <v>1725</v>
      </c>
      <c r="T381" s="275" t="s">
        <v>1727</v>
      </c>
      <c r="U381" s="272">
        <v>9</v>
      </c>
      <c r="V381" s="272">
        <v>9</v>
      </c>
      <c r="W381" s="276">
        <v>44389</v>
      </c>
      <c r="X381" s="277">
        <v>44408</v>
      </c>
      <c r="Y381" s="245">
        <v>44446</v>
      </c>
      <c r="Z381" s="311">
        <f t="shared" si="43"/>
        <v>2021</v>
      </c>
      <c r="AA381" s="311">
        <f t="shared" si="44"/>
        <v>9</v>
      </c>
      <c r="AB381" s="243" t="s">
        <v>920</v>
      </c>
      <c r="AC381" s="243" t="s">
        <v>422</v>
      </c>
      <c r="AD381" s="243" t="s">
        <v>423</v>
      </c>
      <c r="AE381" s="243" t="s">
        <v>422</v>
      </c>
      <c r="AF381" s="243" t="s">
        <v>422</v>
      </c>
      <c r="AG381" s="243" t="s">
        <v>422</v>
      </c>
      <c r="AH381" s="243" t="s">
        <v>423</v>
      </c>
      <c r="AI381" s="243" t="s">
        <v>422</v>
      </c>
      <c r="AJ381" s="243" t="s">
        <v>423</v>
      </c>
      <c r="AK381" s="244" t="s">
        <v>140</v>
      </c>
      <c r="AL381" s="241"/>
      <c r="AM381" s="242"/>
    </row>
    <row r="382" spans="1:39" ht="15" customHeight="1" x14ac:dyDescent="0.3">
      <c r="A382" s="185">
        <v>387</v>
      </c>
      <c r="B382" s="285" t="s">
        <v>1731</v>
      </c>
      <c r="C382" s="281" t="s">
        <v>1618</v>
      </c>
      <c r="D382" s="200" t="s">
        <v>1881</v>
      </c>
      <c r="E382" s="269"/>
      <c r="F382" s="269" t="s">
        <v>1597</v>
      </c>
      <c r="G382" s="196" t="s">
        <v>1596</v>
      </c>
      <c r="H382" s="248" t="s">
        <v>422</v>
      </c>
      <c r="I382" s="248">
        <v>2</v>
      </c>
      <c r="J382" s="248">
        <v>6.6</v>
      </c>
      <c r="K382" s="248">
        <v>15</v>
      </c>
      <c r="L382" s="212">
        <v>1</v>
      </c>
      <c r="M382" s="212">
        <f t="shared" si="45"/>
        <v>24.6</v>
      </c>
      <c r="N382" s="212">
        <f t="shared" si="46"/>
        <v>16</v>
      </c>
      <c r="O382" s="212">
        <f t="shared" si="47"/>
        <v>26.4</v>
      </c>
      <c r="P382" s="212">
        <f t="shared" si="48"/>
        <v>100</v>
      </c>
      <c r="Q382" s="212">
        <f t="shared" si="49"/>
        <v>8</v>
      </c>
      <c r="R382" s="212">
        <f t="shared" si="50"/>
        <v>150.4</v>
      </c>
      <c r="S382" s="286" t="s">
        <v>1743</v>
      </c>
      <c r="T382" s="275" t="s">
        <v>1737</v>
      </c>
      <c r="U382" s="272">
        <v>80</v>
      </c>
      <c r="V382" s="272">
        <v>84</v>
      </c>
      <c r="W382" s="276">
        <v>44397</v>
      </c>
      <c r="X382" s="277">
        <v>44469</v>
      </c>
      <c r="Y382" s="245">
        <v>44463</v>
      </c>
      <c r="Z382" s="311">
        <f t="shared" si="43"/>
        <v>2021</v>
      </c>
      <c r="AA382" s="311">
        <f t="shared" si="44"/>
        <v>9</v>
      </c>
      <c r="AB382" s="243" t="s">
        <v>920</v>
      </c>
      <c r="AC382" s="243" t="s">
        <v>422</v>
      </c>
      <c r="AD382" s="243" t="s">
        <v>422</v>
      </c>
      <c r="AE382" s="243" t="s">
        <v>422</v>
      </c>
      <c r="AF382" s="243" t="s">
        <v>422</v>
      </c>
      <c r="AG382" s="243" t="s">
        <v>422</v>
      </c>
      <c r="AH382" s="243" t="s">
        <v>422</v>
      </c>
      <c r="AI382" s="243" t="s">
        <v>422</v>
      </c>
      <c r="AJ382" s="243" t="s">
        <v>422</v>
      </c>
      <c r="AK382" s="244" t="s">
        <v>140</v>
      </c>
      <c r="AL382" s="241"/>
      <c r="AM382" s="242"/>
    </row>
    <row r="383" spans="1:39" ht="15" customHeight="1" x14ac:dyDescent="0.3">
      <c r="A383" s="185">
        <v>388</v>
      </c>
      <c r="B383" s="285" t="s">
        <v>1732</v>
      </c>
      <c r="C383" s="281" t="s">
        <v>1618</v>
      </c>
      <c r="D383" s="200" t="s">
        <v>1881</v>
      </c>
      <c r="E383" s="269"/>
      <c r="F383" s="269" t="s">
        <v>1597</v>
      </c>
      <c r="G383" s="196" t="s">
        <v>1604</v>
      </c>
      <c r="H383" s="248" t="s">
        <v>422</v>
      </c>
      <c r="I383" s="248">
        <v>2</v>
      </c>
      <c r="J383" s="248">
        <v>10</v>
      </c>
      <c r="K383" s="248">
        <v>0</v>
      </c>
      <c r="L383" s="212">
        <v>1</v>
      </c>
      <c r="M383" s="212">
        <f t="shared" si="45"/>
        <v>13</v>
      </c>
      <c r="N383" s="212">
        <f t="shared" si="46"/>
        <v>16</v>
      </c>
      <c r="O383" s="212">
        <f t="shared" si="47"/>
        <v>40</v>
      </c>
      <c r="P383" s="212">
        <f t="shared" si="48"/>
        <v>0</v>
      </c>
      <c r="Q383" s="212">
        <f t="shared" si="49"/>
        <v>8</v>
      </c>
      <c r="R383" s="212">
        <f t="shared" si="50"/>
        <v>64</v>
      </c>
      <c r="S383" s="286" t="s">
        <v>1744</v>
      </c>
      <c r="T383" s="275" t="s">
        <v>1738</v>
      </c>
      <c r="U383" s="272">
        <v>50</v>
      </c>
      <c r="V383" s="272">
        <v>52</v>
      </c>
      <c r="W383" s="276">
        <v>44397</v>
      </c>
      <c r="X383" s="277">
        <v>44469</v>
      </c>
      <c r="Y383" s="245">
        <v>44463</v>
      </c>
      <c r="Z383" s="311">
        <f t="shared" si="43"/>
        <v>2021</v>
      </c>
      <c r="AA383" s="311">
        <f t="shared" si="44"/>
        <v>9</v>
      </c>
      <c r="AB383" s="243" t="s">
        <v>920</v>
      </c>
      <c r="AC383" s="243" t="s">
        <v>422</v>
      </c>
      <c r="AD383" s="243" t="s">
        <v>423</v>
      </c>
      <c r="AE383" s="243" t="s">
        <v>422</v>
      </c>
      <c r="AF383" s="243" t="s">
        <v>422</v>
      </c>
      <c r="AG383" s="243" t="s">
        <v>423</v>
      </c>
      <c r="AH383" s="243" t="s">
        <v>423</v>
      </c>
      <c r="AI383" s="243" t="s">
        <v>423</v>
      </c>
      <c r="AJ383" s="243" t="s">
        <v>423</v>
      </c>
      <c r="AK383" s="244" t="s">
        <v>1372</v>
      </c>
      <c r="AL383" s="241"/>
      <c r="AM383" s="242"/>
    </row>
    <row r="384" spans="1:39" ht="15" customHeight="1" x14ac:dyDescent="0.3">
      <c r="A384" s="185">
        <v>389</v>
      </c>
      <c r="B384" s="285" t="s">
        <v>1733</v>
      </c>
      <c r="C384" s="281" t="s">
        <v>1618</v>
      </c>
      <c r="D384" s="200" t="s">
        <v>1881</v>
      </c>
      <c r="E384" s="269" t="s">
        <v>1596</v>
      </c>
      <c r="F384" s="269" t="s">
        <v>1597</v>
      </c>
      <c r="G384" s="196" t="s">
        <v>1604</v>
      </c>
      <c r="H384" s="248" t="s">
        <v>422</v>
      </c>
      <c r="I384" s="248">
        <v>2</v>
      </c>
      <c r="J384" s="248">
        <v>7.5</v>
      </c>
      <c r="K384" s="248">
        <v>0</v>
      </c>
      <c r="L384" s="212">
        <v>1</v>
      </c>
      <c r="M384" s="212">
        <f t="shared" si="45"/>
        <v>10.5</v>
      </c>
      <c r="N384" s="212">
        <f t="shared" si="46"/>
        <v>16</v>
      </c>
      <c r="O384" s="212">
        <f t="shared" si="47"/>
        <v>30</v>
      </c>
      <c r="P384" s="212">
        <f t="shared" si="48"/>
        <v>0</v>
      </c>
      <c r="Q384" s="212">
        <f t="shared" si="49"/>
        <v>8</v>
      </c>
      <c r="R384" s="212">
        <f t="shared" si="50"/>
        <v>54</v>
      </c>
      <c r="S384" s="286" t="s">
        <v>1745</v>
      </c>
      <c r="T384" s="275" t="s">
        <v>1739</v>
      </c>
      <c r="U384" s="272">
        <v>50</v>
      </c>
      <c r="V384" s="272">
        <v>52</v>
      </c>
      <c r="W384" s="276">
        <v>44397</v>
      </c>
      <c r="X384" s="277">
        <v>44469</v>
      </c>
      <c r="Y384" s="245">
        <v>44463</v>
      </c>
      <c r="Z384" s="311">
        <f t="shared" si="43"/>
        <v>2021</v>
      </c>
      <c r="AA384" s="311">
        <f t="shared" si="44"/>
        <v>9</v>
      </c>
      <c r="AB384" s="243" t="s">
        <v>920</v>
      </c>
      <c r="AC384" s="243" t="s">
        <v>422</v>
      </c>
      <c r="AD384" s="243" t="s">
        <v>423</v>
      </c>
      <c r="AE384" s="243" t="s">
        <v>422</v>
      </c>
      <c r="AF384" s="243" t="s">
        <v>422</v>
      </c>
      <c r="AG384" s="243" t="s">
        <v>423</v>
      </c>
      <c r="AH384" s="243" t="s">
        <v>423</v>
      </c>
      <c r="AI384" s="243" t="s">
        <v>423</v>
      </c>
      <c r="AJ384" s="243" t="s">
        <v>423</v>
      </c>
      <c r="AK384" s="244" t="s">
        <v>1372</v>
      </c>
      <c r="AL384" s="241"/>
      <c r="AM384" s="242"/>
    </row>
    <row r="385" spans="1:39" ht="15" customHeight="1" x14ac:dyDescent="0.3">
      <c r="A385" s="185">
        <v>390</v>
      </c>
      <c r="B385" s="285" t="s">
        <v>1734</v>
      </c>
      <c r="C385" s="281" t="s">
        <v>1618</v>
      </c>
      <c r="D385" s="200" t="s">
        <v>1881</v>
      </c>
      <c r="E385" s="269" t="s">
        <v>1596</v>
      </c>
      <c r="F385" s="269" t="s">
        <v>1597</v>
      </c>
      <c r="G385" s="196" t="s">
        <v>1604</v>
      </c>
      <c r="H385" s="248" t="s">
        <v>422</v>
      </c>
      <c r="I385" s="248">
        <v>2</v>
      </c>
      <c r="J385" s="248">
        <v>8.5</v>
      </c>
      <c r="K385" s="248">
        <v>0</v>
      </c>
      <c r="L385" s="212">
        <v>1</v>
      </c>
      <c r="M385" s="212">
        <f t="shared" si="45"/>
        <v>11.5</v>
      </c>
      <c r="N385" s="212">
        <f t="shared" si="46"/>
        <v>16</v>
      </c>
      <c r="O385" s="212">
        <f t="shared" si="47"/>
        <v>34</v>
      </c>
      <c r="P385" s="212">
        <f t="shared" si="48"/>
        <v>0</v>
      </c>
      <c r="Q385" s="212">
        <f t="shared" si="49"/>
        <v>8</v>
      </c>
      <c r="R385" s="212">
        <f t="shared" si="50"/>
        <v>58</v>
      </c>
      <c r="S385" s="286" t="s">
        <v>1746</v>
      </c>
      <c r="T385" s="275" t="s">
        <v>1740</v>
      </c>
      <c r="U385" s="272">
        <v>65</v>
      </c>
      <c r="V385" s="272">
        <v>67</v>
      </c>
      <c r="W385" s="276">
        <v>44397</v>
      </c>
      <c r="X385" s="277">
        <v>44469</v>
      </c>
      <c r="Y385" s="245">
        <v>44463</v>
      </c>
      <c r="Z385" s="311">
        <f t="shared" si="43"/>
        <v>2021</v>
      </c>
      <c r="AA385" s="311">
        <f t="shared" si="44"/>
        <v>9</v>
      </c>
      <c r="AB385" s="243" t="s">
        <v>920</v>
      </c>
      <c r="AC385" s="243" t="s">
        <v>422</v>
      </c>
      <c r="AD385" s="243" t="s">
        <v>422</v>
      </c>
      <c r="AE385" s="243" t="s">
        <v>422</v>
      </c>
      <c r="AF385" s="243" t="s">
        <v>422</v>
      </c>
      <c r="AG385" s="243" t="s">
        <v>422</v>
      </c>
      <c r="AH385" s="243" t="s">
        <v>423</v>
      </c>
      <c r="AI385" s="243" t="s">
        <v>422</v>
      </c>
      <c r="AJ385" s="243" t="s">
        <v>423</v>
      </c>
      <c r="AK385" s="244" t="s">
        <v>1240</v>
      </c>
      <c r="AL385" s="241"/>
      <c r="AM385" s="242"/>
    </row>
    <row r="386" spans="1:39" ht="15" customHeight="1" x14ac:dyDescent="0.3">
      <c r="A386" s="185">
        <v>391</v>
      </c>
      <c r="B386" s="285" t="s">
        <v>1735</v>
      </c>
      <c r="C386" s="281" t="s">
        <v>1618</v>
      </c>
      <c r="D386" s="200" t="s">
        <v>1881</v>
      </c>
      <c r="E386" s="269" t="s">
        <v>1596</v>
      </c>
      <c r="F386" s="269" t="s">
        <v>1597</v>
      </c>
      <c r="G386" s="196" t="s">
        <v>1604</v>
      </c>
      <c r="H386" s="248" t="s">
        <v>422</v>
      </c>
      <c r="I386" s="248">
        <v>2</v>
      </c>
      <c r="J386" s="248">
        <v>6</v>
      </c>
      <c r="K386" s="248">
        <v>0</v>
      </c>
      <c r="L386" s="212">
        <v>1</v>
      </c>
      <c r="M386" s="212">
        <f t="shared" si="45"/>
        <v>9</v>
      </c>
      <c r="N386" s="212">
        <f t="shared" si="46"/>
        <v>16</v>
      </c>
      <c r="O386" s="212">
        <f t="shared" si="47"/>
        <v>24</v>
      </c>
      <c r="P386" s="212">
        <f t="shared" si="48"/>
        <v>0</v>
      </c>
      <c r="Q386" s="212">
        <f t="shared" si="49"/>
        <v>8</v>
      </c>
      <c r="R386" s="212">
        <f t="shared" si="50"/>
        <v>48</v>
      </c>
      <c r="S386" s="286" t="s">
        <v>1747</v>
      </c>
      <c r="T386" s="275" t="s">
        <v>1741</v>
      </c>
      <c r="U386" s="272">
        <v>100</v>
      </c>
      <c r="V386" s="272">
        <v>104</v>
      </c>
      <c r="W386" s="276">
        <v>44397</v>
      </c>
      <c r="X386" s="277">
        <v>44469</v>
      </c>
      <c r="Y386" s="245">
        <v>44463</v>
      </c>
      <c r="Z386" s="311">
        <f t="shared" si="43"/>
        <v>2021</v>
      </c>
      <c r="AA386" s="311">
        <f t="shared" si="44"/>
        <v>9</v>
      </c>
      <c r="AB386" s="243" t="s">
        <v>920</v>
      </c>
      <c r="AC386" s="243" t="s">
        <v>422</v>
      </c>
      <c r="AD386" s="243" t="s">
        <v>422</v>
      </c>
      <c r="AE386" s="243" t="s">
        <v>422</v>
      </c>
      <c r="AF386" s="243" t="s">
        <v>422</v>
      </c>
      <c r="AG386" s="243" t="s">
        <v>422</v>
      </c>
      <c r="AH386" s="243" t="s">
        <v>423</v>
      </c>
      <c r="AI386" s="243" t="s">
        <v>422</v>
      </c>
      <c r="AJ386" s="243" t="s">
        <v>423</v>
      </c>
      <c r="AK386" s="244" t="s">
        <v>1240</v>
      </c>
      <c r="AL386" s="241"/>
      <c r="AM386" s="242"/>
    </row>
    <row r="387" spans="1:39" ht="15" customHeight="1" x14ac:dyDescent="0.3">
      <c r="A387" s="185">
        <v>400</v>
      </c>
      <c r="B387" s="285" t="s">
        <v>1778</v>
      </c>
      <c r="C387" s="281" t="s">
        <v>1615</v>
      </c>
      <c r="D387" s="200" t="s">
        <v>1881</v>
      </c>
      <c r="E387" s="269"/>
      <c r="F387" s="269" t="s">
        <v>1597</v>
      </c>
      <c r="G387" s="196" t="s">
        <v>1604</v>
      </c>
      <c r="H387" s="248" t="s">
        <v>422</v>
      </c>
      <c r="I387" s="248">
        <v>2</v>
      </c>
      <c r="J387" s="248">
        <v>10.5</v>
      </c>
      <c r="K387" s="248">
        <v>0</v>
      </c>
      <c r="L387" s="212">
        <v>1</v>
      </c>
      <c r="M387" s="212">
        <f t="shared" si="45"/>
        <v>13.5</v>
      </c>
      <c r="N387" s="212">
        <f t="shared" si="46"/>
        <v>16</v>
      </c>
      <c r="O387" s="212">
        <f t="shared" si="47"/>
        <v>42</v>
      </c>
      <c r="P387" s="212">
        <f t="shared" si="48"/>
        <v>0</v>
      </c>
      <c r="Q387" s="212">
        <f t="shared" si="49"/>
        <v>8</v>
      </c>
      <c r="R387" s="212">
        <f t="shared" si="50"/>
        <v>66</v>
      </c>
      <c r="S387" s="286" t="s">
        <v>1779</v>
      </c>
      <c r="T387" s="275" t="s">
        <v>1780</v>
      </c>
      <c r="U387" s="272">
        <v>211</v>
      </c>
      <c r="V387" s="272">
        <v>216</v>
      </c>
      <c r="W387" s="276">
        <v>44418</v>
      </c>
      <c r="X387" s="277">
        <v>44423</v>
      </c>
      <c r="Y387" s="245">
        <v>44460</v>
      </c>
      <c r="Z387" s="311">
        <f t="shared" si="43"/>
        <v>2021</v>
      </c>
      <c r="AA387" s="311">
        <f t="shared" si="44"/>
        <v>9</v>
      </c>
      <c r="AB387" s="243" t="s">
        <v>920</v>
      </c>
      <c r="AC387" s="243" t="s">
        <v>422</v>
      </c>
      <c r="AD387" s="243" t="s">
        <v>422</v>
      </c>
      <c r="AE387" s="243" t="s">
        <v>422</v>
      </c>
      <c r="AF387" s="243" t="s">
        <v>422</v>
      </c>
      <c r="AG387" s="243" t="s">
        <v>422</v>
      </c>
      <c r="AH387" s="243" t="s">
        <v>423</v>
      </c>
      <c r="AI387" s="243" t="s">
        <v>422</v>
      </c>
      <c r="AJ387" s="243" t="s">
        <v>423</v>
      </c>
      <c r="AK387" s="244" t="s">
        <v>140</v>
      </c>
      <c r="AL387" s="241"/>
      <c r="AM387" s="242"/>
    </row>
    <row r="388" spans="1:39" ht="15" customHeight="1" x14ac:dyDescent="0.3">
      <c r="A388" s="185">
        <v>401</v>
      </c>
      <c r="B388" s="285" t="s">
        <v>1781</v>
      </c>
      <c r="C388" s="281" t="s">
        <v>1615</v>
      </c>
      <c r="D388" s="200" t="s">
        <v>1881</v>
      </c>
      <c r="E388" s="269"/>
      <c r="F388" s="269"/>
      <c r="G388" s="196" t="s">
        <v>1604</v>
      </c>
      <c r="H388" s="248"/>
      <c r="I388" s="359">
        <v>2</v>
      </c>
      <c r="J388" s="359">
        <v>7.5</v>
      </c>
      <c r="K388" s="248">
        <v>0</v>
      </c>
      <c r="L388" s="212">
        <v>1</v>
      </c>
      <c r="M388" s="212">
        <f t="shared" si="45"/>
        <v>10.5</v>
      </c>
      <c r="N388" s="212">
        <f t="shared" si="46"/>
        <v>16</v>
      </c>
      <c r="O388" s="212">
        <f t="shared" si="47"/>
        <v>30</v>
      </c>
      <c r="P388" s="212">
        <f t="shared" si="48"/>
        <v>0</v>
      </c>
      <c r="Q388" s="212">
        <f t="shared" si="49"/>
        <v>8</v>
      </c>
      <c r="R388" s="212">
        <f t="shared" si="50"/>
        <v>54</v>
      </c>
      <c r="S388" s="286" t="s">
        <v>1782</v>
      </c>
      <c r="T388" s="275" t="s">
        <v>1391</v>
      </c>
      <c r="U388" s="272">
        <v>155</v>
      </c>
      <c r="V388" s="272">
        <v>160</v>
      </c>
      <c r="W388" s="276">
        <v>44418</v>
      </c>
      <c r="X388" s="277">
        <v>44423</v>
      </c>
      <c r="Y388" s="245">
        <v>44460</v>
      </c>
      <c r="Z388" s="311">
        <f t="shared" ref="Z388:Z451" si="51">IF(YEAR(Y388)&gt;2000,YEAR(Y388),YEAR(X388))</f>
        <v>2021</v>
      </c>
      <c r="AA388" s="311">
        <f t="shared" ref="AA388:AA465" si="52">MONTH(Y388)</f>
        <v>9</v>
      </c>
      <c r="AB388" s="243" t="s">
        <v>920</v>
      </c>
      <c r="AC388" s="243" t="s">
        <v>422</v>
      </c>
      <c r="AD388" s="243" t="s">
        <v>422</v>
      </c>
      <c r="AE388" s="243" t="s">
        <v>422</v>
      </c>
      <c r="AF388" s="243" t="s">
        <v>422</v>
      </c>
      <c r="AG388" s="243" t="s">
        <v>422</v>
      </c>
      <c r="AH388" s="243" t="s">
        <v>423</v>
      </c>
      <c r="AI388" s="243" t="s">
        <v>422</v>
      </c>
      <c r="AJ388" s="243" t="s">
        <v>423</v>
      </c>
      <c r="AK388" s="244" t="s">
        <v>1240</v>
      </c>
      <c r="AL388" s="241"/>
      <c r="AM388" s="242"/>
    </row>
    <row r="389" spans="1:39" ht="15" customHeight="1" x14ac:dyDescent="0.3">
      <c r="A389" s="185">
        <v>413</v>
      </c>
      <c r="B389" s="285" t="s">
        <v>1805</v>
      </c>
      <c r="C389" s="281" t="s">
        <v>1618</v>
      </c>
      <c r="D389" s="200" t="s">
        <v>1881</v>
      </c>
      <c r="E389" s="269"/>
      <c r="F389" s="269" t="s">
        <v>1597</v>
      </c>
      <c r="G389" s="196" t="s">
        <v>1604</v>
      </c>
      <c r="H389" s="248" t="s">
        <v>422</v>
      </c>
      <c r="I389" s="248">
        <v>2</v>
      </c>
      <c r="J389" s="248">
        <v>6.5</v>
      </c>
      <c r="K389" s="248">
        <v>0</v>
      </c>
      <c r="L389" s="212">
        <v>1</v>
      </c>
      <c r="M389" s="212">
        <f t="shared" si="45"/>
        <v>9.5</v>
      </c>
      <c r="N389" s="212">
        <f t="shared" si="46"/>
        <v>16</v>
      </c>
      <c r="O389" s="212">
        <f t="shared" si="47"/>
        <v>26</v>
      </c>
      <c r="P389" s="212">
        <f t="shared" si="48"/>
        <v>0</v>
      </c>
      <c r="Q389" s="212">
        <f t="shared" si="49"/>
        <v>8</v>
      </c>
      <c r="R389" s="212">
        <f t="shared" si="50"/>
        <v>50</v>
      </c>
      <c r="S389" s="286" t="s">
        <v>1793</v>
      </c>
      <c r="T389" s="275" t="s">
        <v>1794</v>
      </c>
      <c r="U389" s="272">
        <v>120</v>
      </c>
      <c r="V389" s="272">
        <v>124</v>
      </c>
      <c r="W389" s="276">
        <v>44414</v>
      </c>
      <c r="X389" s="277">
        <v>44506</v>
      </c>
      <c r="Y389" s="245">
        <v>44463</v>
      </c>
      <c r="Z389" s="311">
        <f t="shared" si="51"/>
        <v>2021</v>
      </c>
      <c r="AA389" s="311">
        <f t="shared" si="52"/>
        <v>9</v>
      </c>
      <c r="AB389" s="243" t="s">
        <v>920</v>
      </c>
      <c r="AC389" s="243" t="s">
        <v>422</v>
      </c>
      <c r="AD389" s="243" t="s">
        <v>422</v>
      </c>
      <c r="AE389" s="243" t="s">
        <v>422</v>
      </c>
      <c r="AF389" s="243" t="s">
        <v>422</v>
      </c>
      <c r="AG389" s="243" t="s">
        <v>422</v>
      </c>
      <c r="AH389" s="243" t="s">
        <v>423</v>
      </c>
      <c r="AI389" s="243" t="s">
        <v>422</v>
      </c>
      <c r="AJ389" s="243" t="s">
        <v>423</v>
      </c>
      <c r="AK389" s="244" t="s">
        <v>1372</v>
      </c>
      <c r="AL389" s="241"/>
      <c r="AM389" s="242"/>
    </row>
    <row r="390" spans="1:39" ht="15" customHeight="1" x14ac:dyDescent="0.3">
      <c r="A390" s="185">
        <v>414</v>
      </c>
      <c r="B390" s="285" t="s">
        <v>1806</v>
      </c>
      <c r="C390" s="281" t="s">
        <v>1618</v>
      </c>
      <c r="D390" s="200" t="s">
        <v>1881</v>
      </c>
      <c r="E390" s="269"/>
      <c r="F390" s="269" t="s">
        <v>1597</v>
      </c>
      <c r="G390" s="196" t="s">
        <v>1604</v>
      </c>
      <c r="H390" s="248" t="s">
        <v>422</v>
      </c>
      <c r="I390" s="248">
        <v>2</v>
      </c>
      <c r="J390" s="248">
        <v>7</v>
      </c>
      <c r="K390" s="248">
        <v>0</v>
      </c>
      <c r="L390" s="212">
        <v>1.5</v>
      </c>
      <c r="M390" s="212">
        <f t="shared" si="45"/>
        <v>10.5</v>
      </c>
      <c r="N390" s="212">
        <f t="shared" si="46"/>
        <v>16</v>
      </c>
      <c r="O390" s="212">
        <f t="shared" si="47"/>
        <v>28</v>
      </c>
      <c r="P390" s="212">
        <f t="shared" si="48"/>
        <v>0</v>
      </c>
      <c r="Q390" s="212">
        <f t="shared" si="49"/>
        <v>12</v>
      </c>
      <c r="R390" s="212">
        <f t="shared" si="50"/>
        <v>56</v>
      </c>
      <c r="S390" s="286" t="s">
        <v>1793</v>
      </c>
      <c r="T390" s="275" t="s">
        <v>1795</v>
      </c>
      <c r="U390" s="272">
        <v>80</v>
      </c>
      <c r="V390" s="272">
        <v>82</v>
      </c>
      <c r="W390" s="276">
        <v>44414</v>
      </c>
      <c r="X390" s="277">
        <v>44506</v>
      </c>
      <c r="Y390" s="245">
        <v>44463</v>
      </c>
      <c r="Z390" s="311">
        <f t="shared" si="51"/>
        <v>2021</v>
      </c>
      <c r="AA390" s="311">
        <f t="shared" si="52"/>
        <v>9</v>
      </c>
      <c r="AB390" s="243" t="s">
        <v>920</v>
      </c>
      <c r="AC390" s="243" t="s">
        <v>422</v>
      </c>
      <c r="AD390" s="243" t="s">
        <v>422</v>
      </c>
      <c r="AE390" s="243" t="s">
        <v>422</v>
      </c>
      <c r="AF390" s="243" t="s">
        <v>422</v>
      </c>
      <c r="AG390" s="243" t="s">
        <v>422</v>
      </c>
      <c r="AH390" s="243" t="s">
        <v>423</v>
      </c>
      <c r="AI390" s="243" t="s">
        <v>422</v>
      </c>
      <c r="AJ390" s="243" t="s">
        <v>423</v>
      </c>
      <c r="AK390" s="244" t="s">
        <v>1372</v>
      </c>
      <c r="AL390" s="241"/>
      <c r="AM390" s="242"/>
    </row>
    <row r="391" spans="1:39" ht="15" customHeight="1" x14ac:dyDescent="0.3">
      <c r="A391" s="185">
        <v>348</v>
      </c>
      <c r="B391" s="235" t="s">
        <v>1753</v>
      </c>
      <c r="C391" s="281" t="s">
        <v>1615</v>
      </c>
      <c r="D391" s="200" t="s">
        <v>1881</v>
      </c>
      <c r="E391" s="282"/>
      <c r="F391" s="282" t="s">
        <v>1597</v>
      </c>
      <c r="G391" s="311" t="s">
        <v>1596</v>
      </c>
      <c r="H391" s="248" t="s">
        <v>422</v>
      </c>
      <c r="I391" s="248">
        <v>2</v>
      </c>
      <c r="J391" s="248">
        <v>9.8000000000000007</v>
      </c>
      <c r="K391" s="248">
        <v>30</v>
      </c>
      <c r="L391" s="212">
        <v>1</v>
      </c>
      <c r="M391" s="212">
        <f t="shared" ref="M391:M454" si="53">SUM((I391:L391))</f>
        <v>42.8</v>
      </c>
      <c r="N391" s="212">
        <f t="shared" ref="N391:N464" si="54">+I391/0.125</f>
        <v>16</v>
      </c>
      <c r="O391" s="212">
        <f t="shared" ref="O391:O460" si="55">+J391/0.25</f>
        <v>39.200000000000003</v>
      </c>
      <c r="P391" s="212">
        <f t="shared" ref="P391:P460" si="56">+K391/0.15</f>
        <v>200</v>
      </c>
      <c r="Q391" s="212">
        <f t="shared" ref="Q391:Q460" si="57">+L391/0.125</f>
        <v>8</v>
      </c>
      <c r="R391" s="212">
        <f t="shared" ref="R391:R454" si="58">SUM(N391:Q391)</f>
        <v>263.2</v>
      </c>
      <c r="S391" s="286" t="s">
        <v>1628</v>
      </c>
      <c r="T391" s="287" t="s">
        <v>1629</v>
      </c>
      <c r="U391" s="280">
        <v>67</v>
      </c>
      <c r="V391" s="273">
        <v>70</v>
      </c>
      <c r="W391" s="276">
        <v>44307</v>
      </c>
      <c r="X391" s="277">
        <v>44392</v>
      </c>
      <c r="Y391" s="277">
        <v>44480</v>
      </c>
      <c r="Z391" s="311">
        <f t="shared" si="51"/>
        <v>2021</v>
      </c>
      <c r="AA391" s="311">
        <f t="shared" si="52"/>
        <v>10</v>
      </c>
      <c r="AB391" s="278" t="s">
        <v>920</v>
      </c>
      <c r="AC391" s="278" t="s">
        <v>422</v>
      </c>
      <c r="AD391" s="278" t="s">
        <v>422</v>
      </c>
      <c r="AE391" s="278" t="s">
        <v>422</v>
      </c>
      <c r="AF391" s="278" t="s">
        <v>422</v>
      </c>
      <c r="AG391" s="243" t="s">
        <v>422</v>
      </c>
      <c r="AH391" s="243" t="s">
        <v>422</v>
      </c>
      <c r="AI391" s="243" t="s">
        <v>422</v>
      </c>
      <c r="AJ391" s="243" t="s">
        <v>422</v>
      </c>
      <c r="AK391" s="279" t="s">
        <v>140</v>
      </c>
      <c r="AL391" s="33"/>
      <c r="AM391" s="1" t="s">
        <v>1433</v>
      </c>
    </row>
    <row r="392" spans="1:39" ht="15" customHeight="1" x14ac:dyDescent="0.3">
      <c r="A392" s="185">
        <v>379</v>
      </c>
      <c r="B392" s="235" t="s">
        <v>1699</v>
      </c>
      <c r="C392" s="281" t="s">
        <v>1618</v>
      </c>
      <c r="D392" s="200" t="s">
        <v>1881</v>
      </c>
      <c r="E392" s="269"/>
      <c r="F392" s="269" t="s">
        <v>1601</v>
      </c>
      <c r="G392" s="196" t="s">
        <v>1604</v>
      </c>
      <c r="H392" s="248" t="s">
        <v>422</v>
      </c>
      <c r="I392" s="248">
        <v>1.2</v>
      </c>
      <c r="J392" s="248">
        <v>7</v>
      </c>
      <c r="K392" s="248">
        <v>0</v>
      </c>
      <c r="L392" s="212">
        <v>1</v>
      </c>
      <c r="M392" s="212">
        <f t="shared" si="53"/>
        <v>9.1999999999999993</v>
      </c>
      <c r="N392" s="212">
        <f t="shared" si="54"/>
        <v>9.6</v>
      </c>
      <c r="O392" s="212">
        <f t="shared" si="55"/>
        <v>28</v>
      </c>
      <c r="P392" s="212">
        <f t="shared" si="56"/>
        <v>0</v>
      </c>
      <c r="Q392" s="212">
        <f t="shared" si="57"/>
        <v>8</v>
      </c>
      <c r="R392" s="212">
        <f t="shared" si="58"/>
        <v>45.6</v>
      </c>
      <c r="S392" s="286" t="s">
        <v>1712</v>
      </c>
      <c r="T392" s="275" t="s">
        <v>1713</v>
      </c>
      <c r="U392" s="272">
        <f>95+55</f>
        <v>150</v>
      </c>
      <c r="V392" s="272">
        <v>152</v>
      </c>
      <c r="W392" s="276">
        <v>44351</v>
      </c>
      <c r="X392" s="277">
        <v>44423</v>
      </c>
      <c r="Y392" s="245">
        <v>44496</v>
      </c>
      <c r="Z392" s="311">
        <f t="shared" si="51"/>
        <v>2021</v>
      </c>
      <c r="AA392" s="311">
        <f t="shared" si="52"/>
        <v>10</v>
      </c>
      <c r="AB392" s="243" t="s">
        <v>920</v>
      </c>
      <c r="AC392" s="243" t="s">
        <v>422</v>
      </c>
      <c r="AD392" s="243" t="s">
        <v>422</v>
      </c>
      <c r="AE392" s="243" t="s">
        <v>422</v>
      </c>
      <c r="AF392" s="243" t="s">
        <v>422</v>
      </c>
      <c r="AG392" s="243" t="s">
        <v>423</v>
      </c>
      <c r="AH392" s="243" t="s">
        <v>423</v>
      </c>
      <c r="AI392" s="243" t="s">
        <v>423</v>
      </c>
      <c r="AJ392" s="243" t="s">
        <v>423</v>
      </c>
      <c r="AK392" s="244" t="s">
        <v>1911</v>
      </c>
      <c r="AL392" s="241"/>
      <c r="AM392" s="242"/>
    </row>
    <row r="393" spans="1:39" ht="15" customHeight="1" x14ac:dyDescent="0.3">
      <c r="A393" s="185">
        <v>380</v>
      </c>
      <c r="B393" s="235" t="s">
        <v>1700</v>
      </c>
      <c r="C393" s="281" t="s">
        <v>1618</v>
      </c>
      <c r="D393" s="200" t="s">
        <v>1881</v>
      </c>
      <c r="E393" s="269"/>
      <c r="F393" s="269" t="s">
        <v>1601</v>
      </c>
      <c r="G393" s="196" t="s">
        <v>1604</v>
      </c>
      <c r="H393" s="248" t="s">
        <v>422</v>
      </c>
      <c r="I393" s="248">
        <v>1.5</v>
      </c>
      <c r="J393" s="248">
        <v>14</v>
      </c>
      <c r="K393" s="248">
        <v>0</v>
      </c>
      <c r="L393" s="212">
        <v>1</v>
      </c>
      <c r="M393" s="212">
        <f t="shared" si="53"/>
        <v>16.5</v>
      </c>
      <c r="N393" s="212">
        <f t="shared" si="54"/>
        <v>12</v>
      </c>
      <c r="O393" s="212">
        <f t="shared" si="55"/>
        <v>56</v>
      </c>
      <c r="P393" s="212">
        <f t="shared" si="56"/>
        <v>0</v>
      </c>
      <c r="Q393" s="212">
        <f t="shared" si="57"/>
        <v>8</v>
      </c>
      <c r="R393" s="212">
        <f t="shared" si="58"/>
        <v>76</v>
      </c>
      <c r="S393" s="286" t="s">
        <v>1671</v>
      </c>
      <c r="T393" s="275" t="s">
        <v>1702</v>
      </c>
      <c r="U393" s="272">
        <v>55</v>
      </c>
      <c r="V393" s="272">
        <v>44</v>
      </c>
      <c r="W393" s="276">
        <v>44351</v>
      </c>
      <c r="X393" s="277">
        <v>44423</v>
      </c>
      <c r="Y393" s="245">
        <v>44496</v>
      </c>
      <c r="Z393" s="311">
        <f t="shared" si="51"/>
        <v>2021</v>
      </c>
      <c r="AA393" s="311">
        <f t="shared" si="52"/>
        <v>10</v>
      </c>
      <c r="AB393" s="243" t="s">
        <v>920</v>
      </c>
      <c r="AC393" s="243" t="s">
        <v>422</v>
      </c>
      <c r="AD393" s="243" t="s">
        <v>422</v>
      </c>
      <c r="AE393" s="243" t="s">
        <v>422</v>
      </c>
      <c r="AF393" s="243" t="s">
        <v>422</v>
      </c>
      <c r="AG393" s="243" t="s">
        <v>423</v>
      </c>
      <c r="AH393" s="243" t="s">
        <v>423</v>
      </c>
      <c r="AI393" s="243" t="s">
        <v>423</v>
      </c>
      <c r="AJ393" s="243" t="s">
        <v>423</v>
      </c>
      <c r="AK393" s="244" t="s">
        <v>1372</v>
      </c>
      <c r="AL393" s="241"/>
      <c r="AM393" s="242" t="s">
        <v>1826</v>
      </c>
    </row>
    <row r="394" spans="1:39" ht="15" customHeight="1" x14ac:dyDescent="0.3">
      <c r="A394" s="185">
        <v>381</v>
      </c>
      <c r="B394" s="235" t="s">
        <v>1701</v>
      </c>
      <c r="C394" s="281" t="s">
        <v>1618</v>
      </c>
      <c r="D394" s="200" t="s">
        <v>1881</v>
      </c>
      <c r="E394" s="269"/>
      <c r="F394" s="269" t="s">
        <v>1777</v>
      </c>
      <c r="G394" s="196" t="s">
        <v>1604</v>
      </c>
      <c r="H394" s="248" t="s">
        <v>422</v>
      </c>
      <c r="I394" s="248">
        <v>1.5</v>
      </c>
      <c r="J394" s="248">
        <v>14</v>
      </c>
      <c r="K394" s="248">
        <v>0</v>
      </c>
      <c r="L394" s="212">
        <v>1</v>
      </c>
      <c r="M394" s="212">
        <f t="shared" si="53"/>
        <v>16.5</v>
      </c>
      <c r="N394" s="212">
        <f t="shared" si="54"/>
        <v>12</v>
      </c>
      <c r="O394" s="212">
        <f t="shared" si="55"/>
        <v>56</v>
      </c>
      <c r="P394" s="212">
        <f t="shared" si="56"/>
        <v>0</v>
      </c>
      <c r="Q394" s="212">
        <f t="shared" si="57"/>
        <v>8</v>
      </c>
      <c r="R394" s="212">
        <f t="shared" si="58"/>
        <v>76</v>
      </c>
      <c r="S394" s="286" t="s">
        <v>1670</v>
      </c>
      <c r="T394" s="275" t="s">
        <v>1668</v>
      </c>
      <c r="U394" s="272">
        <v>60</v>
      </c>
      <c r="V394" s="272">
        <v>55</v>
      </c>
      <c r="W394" s="276">
        <v>44351</v>
      </c>
      <c r="X394" s="277">
        <v>44423</v>
      </c>
      <c r="Y394" s="245">
        <v>44496</v>
      </c>
      <c r="Z394" s="311">
        <f t="shared" si="51"/>
        <v>2021</v>
      </c>
      <c r="AA394" s="311">
        <f t="shared" si="52"/>
        <v>10</v>
      </c>
      <c r="AB394" s="243" t="s">
        <v>920</v>
      </c>
      <c r="AC394" s="243" t="s">
        <v>422</v>
      </c>
      <c r="AD394" s="243" t="s">
        <v>422</v>
      </c>
      <c r="AE394" s="243" t="s">
        <v>422</v>
      </c>
      <c r="AF394" s="243" t="s">
        <v>422</v>
      </c>
      <c r="AG394" s="243" t="s">
        <v>423</v>
      </c>
      <c r="AH394" s="243" t="s">
        <v>423</v>
      </c>
      <c r="AI394" s="243" t="s">
        <v>423</v>
      </c>
      <c r="AJ394" s="243" t="s">
        <v>423</v>
      </c>
      <c r="AK394" s="244" t="s">
        <v>1372</v>
      </c>
      <c r="AL394" s="241"/>
      <c r="AM394" s="242" t="s">
        <v>1826</v>
      </c>
    </row>
    <row r="395" spans="1:39" ht="15" customHeight="1" x14ac:dyDescent="0.3">
      <c r="A395" s="185">
        <v>393</v>
      </c>
      <c r="B395" s="235" t="s">
        <v>1759</v>
      </c>
      <c r="C395" s="281" t="s">
        <v>1615</v>
      </c>
      <c r="D395" s="200" t="s">
        <v>1881</v>
      </c>
      <c r="E395" s="269"/>
      <c r="F395" s="269" t="s">
        <v>1777</v>
      </c>
      <c r="G395" s="196" t="s">
        <v>1604</v>
      </c>
      <c r="H395" s="248" t="s">
        <v>422</v>
      </c>
      <c r="I395" s="248">
        <v>2</v>
      </c>
      <c r="J395" s="359">
        <v>13</v>
      </c>
      <c r="K395" s="248">
        <v>0</v>
      </c>
      <c r="L395" s="212">
        <v>1</v>
      </c>
      <c r="M395" s="212">
        <f t="shared" si="53"/>
        <v>16</v>
      </c>
      <c r="N395" s="212">
        <f t="shared" si="54"/>
        <v>16</v>
      </c>
      <c r="O395" s="212">
        <f t="shared" si="55"/>
        <v>52</v>
      </c>
      <c r="P395" s="212">
        <f t="shared" si="56"/>
        <v>0</v>
      </c>
      <c r="Q395" s="212">
        <f t="shared" si="57"/>
        <v>8</v>
      </c>
      <c r="R395" s="212">
        <f t="shared" si="58"/>
        <v>76</v>
      </c>
      <c r="S395" s="286" t="s">
        <v>1766</v>
      </c>
      <c r="T395" s="275" t="s">
        <v>1767</v>
      </c>
      <c r="U395" s="272">
        <v>60</v>
      </c>
      <c r="V395" s="272">
        <v>62</v>
      </c>
      <c r="W395" s="276">
        <v>44418</v>
      </c>
      <c r="X395" s="277">
        <v>44484</v>
      </c>
      <c r="Y395" s="26">
        <v>44480</v>
      </c>
      <c r="Z395" s="311">
        <f t="shared" si="51"/>
        <v>2021</v>
      </c>
      <c r="AA395" s="311">
        <f t="shared" si="52"/>
        <v>10</v>
      </c>
      <c r="AB395" s="243" t="s">
        <v>920</v>
      </c>
      <c r="AC395" s="243" t="s">
        <v>422</v>
      </c>
      <c r="AD395" s="243" t="s">
        <v>422</v>
      </c>
      <c r="AE395" s="243" t="s">
        <v>422</v>
      </c>
      <c r="AF395" s="243" t="s">
        <v>422</v>
      </c>
      <c r="AG395" s="243" t="s">
        <v>422</v>
      </c>
      <c r="AH395" s="243" t="s">
        <v>423</v>
      </c>
      <c r="AI395" s="243" t="s">
        <v>422</v>
      </c>
      <c r="AJ395" s="243" t="s">
        <v>423</v>
      </c>
      <c r="AK395" s="244" t="s">
        <v>140</v>
      </c>
      <c r="AL395" s="241"/>
      <c r="AM395" s="242"/>
    </row>
    <row r="396" spans="1:39" ht="15" customHeight="1" x14ac:dyDescent="0.3">
      <c r="A396" s="185">
        <v>394</v>
      </c>
      <c r="B396" s="235" t="s">
        <v>1760</v>
      </c>
      <c r="C396" s="281" t="s">
        <v>1615</v>
      </c>
      <c r="D396" s="200" t="s">
        <v>1881</v>
      </c>
      <c r="E396" s="269"/>
      <c r="F396" s="269" t="s">
        <v>1777</v>
      </c>
      <c r="G396" s="196" t="s">
        <v>1604</v>
      </c>
      <c r="H396" s="248" t="s">
        <v>422</v>
      </c>
      <c r="I396" s="248">
        <v>2</v>
      </c>
      <c r="J396" s="248">
        <v>13</v>
      </c>
      <c r="K396" s="248">
        <v>0</v>
      </c>
      <c r="L396" s="212">
        <v>1</v>
      </c>
      <c r="M396" s="212">
        <f t="shared" si="53"/>
        <v>16</v>
      </c>
      <c r="N396" s="212">
        <f t="shared" si="54"/>
        <v>16</v>
      </c>
      <c r="O396" s="212">
        <f t="shared" si="55"/>
        <v>52</v>
      </c>
      <c r="P396" s="212">
        <f t="shared" si="56"/>
        <v>0</v>
      </c>
      <c r="Q396" s="212">
        <f t="shared" si="57"/>
        <v>8</v>
      </c>
      <c r="R396" s="212">
        <f t="shared" si="58"/>
        <v>76</v>
      </c>
      <c r="S396" s="286" t="s">
        <v>1768</v>
      </c>
      <c r="T396" s="275" t="s">
        <v>1769</v>
      </c>
      <c r="U396" s="272">
        <v>60</v>
      </c>
      <c r="V396" s="272">
        <v>37</v>
      </c>
      <c r="W396" s="276">
        <v>44418</v>
      </c>
      <c r="X396" s="277">
        <v>44484</v>
      </c>
      <c r="Y396" s="26">
        <v>44480</v>
      </c>
      <c r="Z396" s="311">
        <f t="shared" si="51"/>
        <v>2021</v>
      </c>
      <c r="AA396" s="311">
        <f t="shared" si="52"/>
        <v>10</v>
      </c>
      <c r="AB396" s="243" t="s">
        <v>920</v>
      </c>
      <c r="AC396" s="243" t="s">
        <v>422</v>
      </c>
      <c r="AD396" s="243" t="s">
        <v>422</v>
      </c>
      <c r="AE396" s="243" t="s">
        <v>422</v>
      </c>
      <c r="AF396" s="243" t="s">
        <v>422</v>
      </c>
      <c r="AG396" s="243" t="s">
        <v>422</v>
      </c>
      <c r="AH396" s="243" t="s">
        <v>423</v>
      </c>
      <c r="AI396" s="243" t="s">
        <v>422</v>
      </c>
      <c r="AJ396" s="243" t="s">
        <v>423</v>
      </c>
      <c r="AK396" s="244" t="s">
        <v>138</v>
      </c>
      <c r="AL396" s="241"/>
      <c r="AM396" s="242"/>
    </row>
    <row r="397" spans="1:39" ht="15" customHeight="1" x14ac:dyDescent="0.3">
      <c r="A397" s="185">
        <v>395</v>
      </c>
      <c r="B397" s="235" t="s">
        <v>1761</v>
      </c>
      <c r="C397" s="281" t="s">
        <v>1615</v>
      </c>
      <c r="D397" s="200" t="s">
        <v>1881</v>
      </c>
      <c r="E397" s="269"/>
      <c r="F397" s="269" t="s">
        <v>1777</v>
      </c>
      <c r="G397" s="196" t="s">
        <v>1604</v>
      </c>
      <c r="H397" s="248" t="s">
        <v>422</v>
      </c>
      <c r="I397" s="359">
        <v>2</v>
      </c>
      <c r="J397" s="248">
        <v>8.5</v>
      </c>
      <c r="K397" s="248">
        <v>0</v>
      </c>
      <c r="L397" s="212">
        <v>1.5</v>
      </c>
      <c r="M397" s="212">
        <f t="shared" si="53"/>
        <v>12</v>
      </c>
      <c r="N397" s="212">
        <f t="shared" si="54"/>
        <v>16</v>
      </c>
      <c r="O397" s="212">
        <f t="shared" si="55"/>
        <v>34</v>
      </c>
      <c r="P397" s="212">
        <f t="shared" si="56"/>
        <v>0</v>
      </c>
      <c r="Q397" s="212">
        <f t="shared" si="57"/>
        <v>12</v>
      </c>
      <c r="R397" s="212">
        <f t="shared" si="58"/>
        <v>62</v>
      </c>
      <c r="S397" s="286" t="s">
        <v>1770</v>
      </c>
      <c r="T397" s="275" t="s">
        <v>1771</v>
      </c>
      <c r="U397" s="272">
        <v>60</v>
      </c>
      <c r="V397" s="272">
        <v>65</v>
      </c>
      <c r="W397" s="276">
        <v>44418</v>
      </c>
      <c r="X397" s="277">
        <v>44484</v>
      </c>
      <c r="Y397" s="26">
        <v>44480</v>
      </c>
      <c r="Z397" s="311">
        <f t="shared" si="51"/>
        <v>2021</v>
      </c>
      <c r="AA397" s="311">
        <f t="shared" si="52"/>
        <v>10</v>
      </c>
      <c r="AB397" s="243" t="s">
        <v>920</v>
      </c>
      <c r="AC397" s="243" t="s">
        <v>422</v>
      </c>
      <c r="AD397" s="243" t="s">
        <v>422</v>
      </c>
      <c r="AE397" s="243" t="s">
        <v>422</v>
      </c>
      <c r="AF397" s="243" t="s">
        <v>422</v>
      </c>
      <c r="AG397" s="243" t="s">
        <v>422</v>
      </c>
      <c r="AH397" s="243" t="s">
        <v>423</v>
      </c>
      <c r="AI397" s="243" t="s">
        <v>422</v>
      </c>
      <c r="AJ397" s="243" t="s">
        <v>423</v>
      </c>
      <c r="AK397" s="244" t="s">
        <v>138</v>
      </c>
      <c r="AL397" s="241"/>
      <c r="AM397" s="242"/>
    </row>
    <row r="398" spans="1:39" ht="15" customHeight="1" x14ac:dyDescent="0.3">
      <c r="A398" s="185">
        <v>396</v>
      </c>
      <c r="B398" s="235" t="s">
        <v>1762</v>
      </c>
      <c r="C398" s="281" t="s">
        <v>1615</v>
      </c>
      <c r="D398" s="200" t="s">
        <v>1881</v>
      </c>
      <c r="E398" s="269"/>
      <c r="F398" s="269" t="s">
        <v>1777</v>
      </c>
      <c r="G398" s="196" t="s">
        <v>1604</v>
      </c>
      <c r="H398" s="248" t="s">
        <v>422</v>
      </c>
      <c r="I398" s="248">
        <v>1.5</v>
      </c>
      <c r="J398" s="248">
        <v>10.5</v>
      </c>
      <c r="K398" s="248">
        <v>0</v>
      </c>
      <c r="L398" s="212">
        <v>1.5</v>
      </c>
      <c r="M398" s="212">
        <f t="shared" si="53"/>
        <v>13.5</v>
      </c>
      <c r="N398" s="212">
        <f t="shared" si="54"/>
        <v>12</v>
      </c>
      <c r="O398" s="212">
        <f t="shared" si="55"/>
        <v>42</v>
      </c>
      <c r="P398" s="212">
        <f t="shared" si="56"/>
        <v>0</v>
      </c>
      <c r="Q398" s="212">
        <f t="shared" si="57"/>
        <v>12</v>
      </c>
      <c r="R398" s="212">
        <f t="shared" si="58"/>
        <v>66</v>
      </c>
      <c r="S398" s="286" t="s">
        <v>1772</v>
      </c>
      <c r="T398" s="275" t="s">
        <v>1773</v>
      </c>
      <c r="U398" s="272">
        <v>75</v>
      </c>
      <c r="V398" s="272">
        <v>76</v>
      </c>
      <c r="W398" s="276">
        <v>44418</v>
      </c>
      <c r="X398" s="277">
        <v>44484</v>
      </c>
      <c r="Y398" s="26">
        <v>44480</v>
      </c>
      <c r="Z398" s="311">
        <f t="shared" si="51"/>
        <v>2021</v>
      </c>
      <c r="AA398" s="311">
        <f t="shared" si="52"/>
        <v>10</v>
      </c>
      <c r="AB398" s="243" t="s">
        <v>920</v>
      </c>
      <c r="AC398" s="243" t="s">
        <v>422</v>
      </c>
      <c r="AD398" s="243" t="s">
        <v>422</v>
      </c>
      <c r="AE398" s="243" t="s">
        <v>422</v>
      </c>
      <c r="AF398" s="243" t="s">
        <v>422</v>
      </c>
      <c r="AG398" s="243" t="s">
        <v>422</v>
      </c>
      <c r="AH398" s="243" t="s">
        <v>423</v>
      </c>
      <c r="AI398" s="243" t="s">
        <v>422</v>
      </c>
      <c r="AJ398" s="243" t="s">
        <v>423</v>
      </c>
      <c r="AK398" s="244" t="s">
        <v>138</v>
      </c>
      <c r="AL398" s="241"/>
      <c r="AM398" s="242"/>
    </row>
    <row r="399" spans="1:39" ht="15" customHeight="1" x14ac:dyDescent="0.3">
      <c r="A399" s="185">
        <v>397</v>
      </c>
      <c r="B399" s="235" t="s">
        <v>1763</v>
      </c>
      <c r="C399" s="281" t="s">
        <v>1615</v>
      </c>
      <c r="D399" s="200" t="s">
        <v>1881</v>
      </c>
      <c r="E399" s="269"/>
      <c r="F399" s="269" t="s">
        <v>1777</v>
      </c>
      <c r="G399" s="196" t="s">
        <v>1604</v>
      </c>
      <c r="H399" s="248" t="s">
        <v>422</v>
      </c>
      <c r="I399" s="248">
        <v>2</v>
      </c>
      <c r="J399" s="248">
        <v>11.5</v>
      </c>
      <c r="K399" s="248">
        <v>0</v>
      </c>
      <c r="L399" s="212">
        <v>1.5</v>
      </c>
      <c r="M399" s="212">
        <f t="shared" si="53"/>
        <v>15</v>
      </c>
      <c r="N399" s="212">
        <f t="shared" si="54"/>
        <v>16</v>
      </c>
      <c r="O399" s="212">
        <f t="shared" si="55"/>
        <v>46</v>
      </c>
      <c r="P399" s="212">
        <f t="shared" si="56"/>
        <v>0</v>
      </c>
      <c r="Q399" s="212">
        <f t="shared" si="57"/>
        <v>12</v>
      </c>
      <c r="R399" s="212">
        <f t="shared" si="58"/>
        <v>74</v>
      </c>
      <c r="S399" s="286" t="s">
        <v>1774</v>
      </c>
      <c r="T399" s="275" t="s">
        <v>1775</v>
      </c>
      <c r="U399" s="272">
        <v>80</v>
      </c>
      <c r="V399" s="272">
        <v>82</v>
      </c>
      <c r="W399" s="276">
        <v>44418</v>
      </c>
      <c r="X399" s="277">
        <v>44484</v>
      </c>
      <c r="Y399" s="26">
        <v>44480</v>
      </c>
      <c r="Z399" s="311">
        <f t="shared" si="51"/>
        <v>2021</v>
      </c>
      <c r="AA399" s="311">
        <f t="shared" si="52"/>
        <v>10</v>
      </c>
      <c r="AB399" s="243" t="s">
        <v>920</v>
      </c>
      <c r="AC399" s="243" t="s">
        <v>422</v>
      </c>
      <c r="AD399" s="243" t="s">
        <v>422</v>
      </c>
      <c r="AE399" s="243" t="s">
        <v>422</v>
      </c>
      <c r="AF399" s="243" t="s">
        <v>422</v>
      </c>
      <c r="AG399" s="243" t="s">
        <v>422</v>
      </c>
      <c r="AH399" s="243" t="s">
        <v>423</v>
      </c>
      <c r="AI399" s="243" t="s">
        <v>422</v>
      </c>
      <c r="AJ399" s="243" t="s">
        <v>423</v>
      </c>
      <c r="AK399" s="244" t="s">
        <v>1827</v>
      </c>
      <c r="AL399" s="241"/>
      <c r="AM399" s="242"/>
    </row>
    <row r="400" spans="1:39" ht="15" customHeight="1" x14ac:dyDescent="0.3">
      <c r="A400" s="185">
        <v>398</v>
      </c>
      <c r="B400" s="235" t="s">
        <v>1764</v>
      </c>
      <c r="C400" s="281" t="s">
        <v>1615</v>
      </c>
      <c r="D400" s="200" t="s">
        <v>1881</v>
      </c>
      <c r="E400" s="269"/>
      <c r="F400" s="269" t="s">
        <v>1777</v>
      </c>
      <c r="G400" s="196" t="s">
        <v>1604</v>
      </c>
      <c r="H400" s="248" t="s">
        <v>422</v>
      </c>
      <c r="I400" s="248">
        <v>2</v>
      </c>
      <c r="J400" s="248">
        <v>12</v>
      </c>
      <c r="K400" s="248">
        <v>0</v>
      </c>
      <c r="L400" s="212">
        <v>1.5</v>
      </c>
      <c r="M400" s="212">
        <f t="shared" si="53"/>
        <v>15.5</v>
      </c>
      <c r="N400" s="212">
        <f t="shared" si="54"/>
        <v>16</v>
      </c>
      <c r="O400" s="212">
        <f t="shared" si="55"/>
        <v>48</v>
      </c>
      <c r="P400" s="212">
        <f t="shared" si="56"/>
        <v>0</v>
      </c>
      <c r="Q400" s="212">
        <f t="shared" si="57"/>
        <v>12</v>
      </c>
      <c r="R400" s="212">
        <f t="shared" si="58"/>
        <v>76</v>
      </c>
      <c r="S400" s="286" t="s">
        <v>1776</v>
      </c>
      <c r="T400" s="275" t="s">
        <v>1282</v>
      </c>
      <c r="U400" s="272">
        <v>152</v>
      </c>
      <c r="V400" s="272">
        <f>53+41+61</f>
        <v>155</v>
      </c>
      <c r="W400" s="276">
        <v>44418</v>
      </c>
      <c r="X400" s="277">
        <v>44484</v>
      </c>
      <c r="Y400" s="26">
        <v>44480</v>
      </c>
      <c r="Z400" s="311">
        <f t="shared" si="51"/>
        <v>2021</v>
      </c>
      <c r="AA400" s="311">
        <f t="shared" si="52"/>
        <v>10</v>
      </c>
      <c r="AB400" s="243" t="s">
        <v>920</v>
      </c>
      <c r="AC400" s="243" t="s">
        <v>422</v>
      </c>
      <c r="AD400" s="243" t="s">
        <v>422</v>
      </c>
      <c r="AE400" s="243" t="s">
        <v>422</v>
      </c>
      <c r="AF400" s="243" t="s">
        <v>422</v>
      </c>
      <c r="AG400" s="243" t="s">
        <v>422</v>
      </c>
      <c r="AH400" s="243" t="s">
        <v>423</v>
      </c>
      <c r="AI400" s="243" t="s">
        <v>422</v>
      </c>
      <c r="AJ400" s="243" t="s">
        <v>423</v>
      </c>
      <c r="AK400" s="244" t="s">
        <v>140</v>
      </c>
      <c r="AL400" s="241"/>
      <c r="AM400" s="242"/>
    </row>
    <row r="401" spans="1:39" ht="15" customHeight="1" x14ac:dyDescent="0.3">
      <c r="A401" s="185">
        <v>402</v>
      </c>
      <c r="B401" s="235" t="s">
        <v>1783</v>
      </c>
      <c r="C401" s="281" t="s">
        <v>1615</v>
      </c>
      <c r="D401" s="200" t="s">
        <v>1881</v>
      </c>
      <c r="E401" s="269"/>
      <c r="F401" s="269"/>
      <c r="G401" s="196" t="s">
        <v>1604</v>
      </c>
      <c r="H401" s="248" t="s">
        <v>422</v>
      </c>
      <c r="I401" s="359">
        <v>2</v>
      </c>
      <c r="J401" s="248">
        <v>11</v>
      </c>
      <c r="K401" s="248">
        <v>0</v>
      </c>
      <c r="L401" s="212">
        <v>1</v>
      </c>
      <c r="M401" s="212">
        <f t="shared" si="53"/>
        <v>14</v>
      </c>
      <c r="N401" s="212">
        <f t="shared" si="54"/>
        <v>16</v>
      </c>
      <c r="O401" s="212">
        <f t="shared" si="55"/>
        <v>44</v>
      </c>
      <c r="P401" s="212">
        <f t="shared" si="56"/>
        <v>0</v>
      </c>
      <c r="Q401" s="212">
        <f t="shared" si="57"/>
        <v>8</v>
      </c>
      <c r="R401" s="212">
        <f t="shared" si="58"/>
        <v>68</v>
      </c>
      <c r="S401" s="286" t="s">
        <v>1828</v>
      </c>
      <c r="T401" s="275" t="s">
        <v>1784</v>
      </c>
      <c r="U401" s="272">
        <v>144</v>
      </c>
      <c r="V401" s="272">
        <f>49*3</f>
        <v>147</v>
      </c>
      <c r="W401" s="276">
        <v>44418</v>
      </c>
      <c r="X401" s="277">
        <v>44423</v>
      </c>
      <c r="Y401" s="26">
        <v>44480</v>
      </c>
      <c r="Z401" s="311">
        <f t="shared" si="51"/>
        <v>2021</v>
      </c>
      <c r="AA401" s="311">
        <f t="shared" si="52"/>
        <v>10</v>
      </c>
      <c r="AB401" s="243" t="s">
        <v>920</v>
      </c>
      <c r="AC401" s="243" t="s">
        <v>422</v>
      </c>
      <c r="AD401" s="243" t="s">
        <v>422</v>
      </c>
      <c r="AE401" s="243" t="s">
        <v>422</v>
      </c>
      <c r="AF401" s="243" t="s">
        <v>422</v>
      </c>
      <c r="AG401" s="243" t="s">
        <v>422</v>
      </c>
      <c r="AH401" s="243" t="s">
        <v>423</v>
      </c>
      <c r="AI401" s="243" t="s">
        <v>422</v>
      </c>
      <c r="AJ401" s="243" t="s">
        <v>422</v>
      </c>
      <c r="AK401" s="244" t="s">
        <v>1372</v>
      </c>
      <c r="AL401" s="241"/>
      <c r="AM401" s="242"/>
    </row>
    <row r="402" spans="1:39" ht="15" customHeight="1" x14ac:dyDescent="0.3">
      <c r="A402" s="185">
        <v>403</v>
      </c>
      <c r="B402" s="235" t="s">
        <v>1785</v>
      </c>
      <c r="C402" s="281" t="s">
        <v>1615</v>
      </c>
      <c r="D402" s="200" t="s">
        <v>1881</v>
      </c>
      <c r="E402" s="269"/>
      <c r="F402" s="269"/>
      <c r="G402" s="196" t="s">
        <v>1604</v>
      </c>
      <c r="H402" s="248" t="s">
        <v>422</v>
      </c>
      <c r="I402" s="359">
        <v>2</v>
      </c>
      <c r="J402" s="248">
        <v>11.5</v>
      </c>
      <c r="K402" s="248">
        <v>0</v>
      </c>
      <c r="L402" s="212">
        <v>1</v>
      </c>
      <c r="M402" s="212">
        <f t="shared" si="53"/>
        <v>14.5</v>
      </c>
      <c r="N402" s="212">
        <f t="shared" si="54"/>
        <v>16</v>
      </c>
      <c r="O402" s="212">
        <f t="shared" si="55"/>
        <v>46</v>
      </c>
      <c r="P402" s="212">
        <f t="shared" si="56"/>
        <v>0</v>
      </c>
      <c r="Q402" s="212">
        <f t="shared" si="57"/>
        <v>8</v>
      </c>
      <c r="R402" s="212">
        <f t="shared" si="58"/>
        <v>70</v>
      </c>
      <c r="S402" s="286" t="s">
        <v>1829</v>
      </c>
      <c r="T402" s="275" t="s">
        <v>1786</v>
      </c>
      <c r="U402" s="272">
        <v>144</v>
      </c>
      <c r="V402" s="272">
        <f>49*3</f>
        <v>147</v>
      </c>
      <c r="W402" s="276">
        <v>44418</v>
      </c>
      <c r="X402" s="277">
        <v>44423</v>
      </c>
      <c r="Y402" s="26">
        <v>44480</v>
      </c>
      <c r="Z402" s="311">
        <f t="shared" si="51"/>
        <v>2021</v>
      </c>
      <c r="AA402" s="311">
        <f t="shared" si="52"/>
        <v>10</v>
      </c>
      <c r="AB402" s="243" t="s">
        <v>920</v>
      </c>
      <c r="AC402" s="243" t="s">
        <v>422</v>
      </c>
      <c r="AD402" s="243" t="s">
        <v>422</v>
      </c>
      <c r="AE402" s="243" t="s">
        <v>422</v>
      </c>
      <c r="AF402" s="243" t="s">
        <v>422</v>
      </c>
      <c r="AG402" s="243" t="s">
        <v>422</v>
      </c>
      <c r="AH402" s="243" t="s">
        <v>423</v>
      </c>
      <c r="AI402" s="243" t="s">
        <v>422</v>
      </c>
      <c r="AJ402" s="243" t="s">
        <v>422</v>
      </c>
      <c r="AK402" s="244" t="s">
        <v>1372</v>
      </c>
      <c r="AL402" s="241"/>
      <c r="AM402" s="242"/>
    </row>
    <row r="403" spans="1:39" ht="15" customHeight="1" x14ac:dyDescent="0.3">
      <c r="A403" s="185">
        <v>408</v>
      </c>
      <c r="B403" s="235" t="s">
        <v>1800</v>
      </c>
      <c r="C403" s="281" t="s">
        <v>1618</v>
      </c>
      <c r="D403" s="200" t="s">
        <v>1881</v>
      </c>
      <c r="E403" s="269"/>
      <c r="F403" s="269" t="s">
        <v>1777</v>
      </c>
      <c r="G403" s="196" t="s">
        <v>1604</v>
      </c>
      <c r="H403" s="248"/>
      <c r="I403" s="248">
        <v>2</v>
      </c>
      <c r="J403" s="359">
        <v>11.5</v>
      </c>
      <c r="K403" s="248">
        <v>0</v>
      </c>
      <c r="L403" s="212">
        <v>1.5</v>
      </c>
      <c r="M403" s="212">
        <f t="shared" si="53"/>
        <v>15</v>
      </c>
      <c r="N403" s="212">
        <f t="shared" si="54"/>
        <v>16</v>
      </c>
      <c r="O403" s="212">
        <f t="shared" si="55"/>
        <v>46</v>
      </c>
      <c r="P403" s="212">
        <f t="shared" si="56"/>
        <v>0</v>
      </c>
      <c r="Q403" s="212">
        <f t="shared" si="57"/>
        <v>12</v>
      </c>
      <c r="R403" s="212">
        <f t="shared" si="58"/>
        <v>74</v>
      </c>
      <c r="S403" s="286" t="s">
        <v>1888</v>
      </c>
      <c r="T403" s="275" t="s">
        <v>1887</v>
      </c>
      <c r="U403" s="272">
        <v>195</v>
      </c>
      <c r="V403" s="272">
        <f>67+67</f>
        <v>134</v>
      </c>
      <c r="W403" s="276">
        <v>44414</v>
      </c>
      <c r="X403" s="277">
        <v>44506</v>
      </c>
      <c r="Y403" s="245">
        <v>44496</v>
      </c>
      <c r="Z403" s="311">
        <f t="shared" si="51"/>
        <v>2021</v>
      </c>
      <c r="AA403" s="311">
        <f t="shared" si="52"/>
        <v>10</v>
      </c>
      <c r="AB403" s="243" t="s">
        <v>1831</v>
      </c>
      <c r="AC403" s="243" t="s">
        <v>1832</v>
      </c>
      <c r="AD403" s="243" t="s">
        <v>422</v>
      </c>
      <c r="AE403" s="243" t="s">
        <v>422</v>
      </c>
      <c r="AF403" s="243" t="s">
        <v>422</v>
      </c>
      <c r="AG403" s="243" t="s">
        <v>422</v>
      </c>
      <c r="AH403" s="243" t="s">
        <v>423</v>
      </c>
      <c r="AI403" s="243" t="s">
        <v>422</v>
      </c>
      <c r="AJ403" s="243" t="s">
        <v>423</v>
      </c>
      <c r="AK403" s="244" t="s">
        <v>1924</v>
      </c>
      <c r="AL403" s="241"/>
      <c r="AM403" s="243" t="s">
        <v>1831</v>
      </c>
    </row>
    <row r="404" spans="1:39" ht="15" customHeight="1" x14ac:dyDescent="0.3">
      <c r="A404" s="185">
        <v>410</v>
      </c>
      <c r="B404" s="235" t="s">
        <v>1802</v>
      </c>
      <c r="C404" s="281" t="s">
        <v>1618</v>
      </c>
      <c r="D404" s="200" t="s">
        <v>1881</v>
      </c>
      <c r="E404" s="269"/>
      <c r="F404" s="269" t="s">
        <v>1777</v>
      </c>
      <c r="G404" s="196" t="s">
        <v>1604</v>
      </c>
      <c r="H404" s="248" t="s">
        <v>422</v>
      </c>
      <c r="I404" s="248">
        <v>1.5</v>
      </c>
      <c r="J404" s="248">
        <v>7</v>
      </c>
      <c r="K404" s="248">
        <v>0</v>
      </c>
      <c r="L404" s="212">
        <v>1</v>
      </c>
      <c r="M404" s="212">
        <f t="shared" si="53"/>
        <v>9.5</v>
      </c>
      <c r="N404" s="212">
        <f t="shared" si="54"/>
        <v>12</v>
      </c>
      <c r="O404" s="212">
        <f t="shared" si="55"/>
        <v>28</v>
      </c>
      <c r="P404" s="212">
        <f t="shared" si="56"/>
        <v>0</v>
      </c>
      <c r="Q404" s="212">
        <f t="shared" si="57"/>
        <v>8</v>
      </c>
      <c r="R404" s="212">
        <f t="shared" si="58"/>
        <v>48</v>
      </c>
      <c r="S404" s="286" t="s">
        <v>1792</v>
      </c>
      <c r="T404" s="275" t="s">
        <v>1889</v>
      </c>
      <c r="U404" s="272">
        <v>90</v>
      </c>
      <c r="V404" s="272">
        <v>94</v>
      </c>
      <c r="W404" s="276">
        <v>44414</v>
      </c>
      <c r="X404" s="277">
        <v>44506</v>
      </c>
      <c r="Y404" s="245">
        <v>44496</v>
      </c>
      <c r="Z404" s="311">
        <f t="shared" si="51"/>
        <v>2021</v>
      </c>
      <c r="AA404" s="311">
        <f t="shared" si="52"/>
        <v>10</v>
      </c>
      <c r="AB404" s="243" t="s">
        <v>920</v>
      </c>
      <c r="AC404" s="243" t="s">
        <v>422</v>
      </c>
      <c r="AD404" s="243" t="s">
        <v>423</v>
      </c>
      <c r="AE404" s="243" t="s">
        <v>422</v>
      </c>
      <c r="AF404" s="243" t="s">
        <v>422</v>
      </c>
      <c r="AG404" s="243" t="s">
        <v>423</v>
      </c>
      <c r="AH404" s="243" t="s">
        <v>423</v>
      </c>
      <c r="AI404" s="243" t="s">
        <v>423</v>
      </c>
      <c r="AJ404" s="243" t="s">
        <v>422</v>
      </c>
      <c r="AK404" s="244" t="s">
        <v>1912</v>
      </c>
      <c r="AL404" s="241"/>
      <c r="AM404" s="242" t="s">
        <v>1826</v>
      </c>
    </row>
    <row r="405" spans="1:39" ht="15" customHeight="1" x14ac:dyDescent="0.3">
      <c r="A405" s="185">
        <v>411</v>
      </c>
      <c r="B405" s="235" t="s">
        <v>1803</v>
      </c>
      <c r="C405" s="281" t="s">
        <v>1618</v>
      </c>
      <c r="D405" s="200" t="s">
        <v>1881</v>
      </c>
      <c r="E405" s="269"/>
      <c r="F405" s="269" t="s">
        <v>1777</v>
      </c>
      <c r="G405" s="196" t="s">
        <v>1604</v>
      </c>
      <c r="H405" s="248" t="s">
        <v>422</v>
      </c>
      <c r="I405" s="248">
        <v>1.2</v>
      </c>
      <c r="J405" s="248">
        <v>7</v>
      </c>
      <c r="K405" s="248">
        <v>0</v>
      </c>
      <c r="L405" s="212">
        <v>1</v>
      </c>
      <c r="M405" s="212">
        <f t="shared" si="53"/>
        <v>9.1999999999999993</v>
      </c>
      <c r="N405" s="212">
        <f t="shared" si="54"/>
        <v>9.6</v>
      </c>
      <c r="O405" s="212">
        <f t="shared" si="55"/>
        <v>28</v>
      </c>
      <c r="P405" s="212">
        <f t="shared" si="56"/>
        <v>0</v>
      </c>
      <c r="Q405" s="212">
        <f t="shared" si="57"/>
        <v>8</v>
      </c>
      <c r="R405" s="212">
        <f t="shared" si="58"/>
        <v>45.6</v>
      </c>
      <c r="S405" s="286" t="s">
        <v>1792</v>
      </c>
      <c r="T405" s="275" t="s">
        <v>1890</v>
      </c>
      <c r="U405" s="272">
        <v>120</v>
      </c>
      <c r="V405" s="272">
        <v>124</v>
      </c>
      <c r="W405" s="276">
        <v>44414</v>
      </c>
      <c r="X405" s="277">
        <v>44506</v>
      </c>
      <c r="Y405" s="245">
        <v>44496</v>
      </c>
      <c r="Z405" s="311">
        <f t="shared" si="51"/>
        <v>2021</v>
      </c>
      <c r="AA405" s="311">
        <f t="shared" si="52"/>
        <v>10</v>
      </c>
      <c r="AB405" s="243" t="s">
        <v>920</v>
      </c>
      <c r="AC405" s="243" t="s">
        <v>422</v>
      </c>
      <c r="AD405" s="243" t="s">
        <v>423</v>
      </c>
      <c r="AE405" s="243" t="s">
        <v>422</v>
      </c>
      <c r="AF405" s="243" t="s">
        <v>422</v>
      </c>
      <c r="AG405" s="243" t="s">
        <v>423</v>
      </c>
      <c r="AH405" s="243" t="s">
        <v>423</v>
      </c>
      <c r="AI405" s="243" t="s">
        <v>423</v>
      </c>
      <c r="AJ405" s="243" t="s">
        <v>422</v>
      </c>
      <c r="AK405" s="244" t="s">
        <v>1911</v>
      </c>
      <c r="AL405" s="241"/>
      <c r="AM405" s="242" t="s">
        <v>1826</v>
      </c>
    </row>
    <row r="406" spans="1:39" ht="15" customHeight="1" x14ac:dyDescent="0.3">
      <c r="A406" s="185">
        <v>412</v>
      </c>
      <c r="B406" s="235" t="s">
        <v>1804</v>
      </c>
      <c r="C406" s="281" t="s">
        <v>1618</v>
      </c>
      <c r="D406" s="200" t="s">
        <v>1881</v>
      </c>
      <c r="E406" s="269"/>
      <c r="F406" s="269"/>
      <c r="G406" s="196" t="s">
        <v>1604</v>
      </c>
      <c r="H406" s="248" t="s">
        <v>422</v>
      </c>
      <c r="I406" s="359">
        <v>2</v>
      </c>
      <c r="J406" s="248">
        <v>13</v>
      </c>
      <c r="K406" s="248">
        <v>0</v>
      </c>
      <c r="L406" s="212">
        <v>1</v>
      </c>
      <c r="M406" s="212">
        <f t="shared" si="53"/>
        <v>16</v>
      </c>
      <c r="N406" s="212">
        <f t="shared" si="54"/>
        <v>16</v>
      </c>
      <c r="O406" s="212">
        <f t="shared" si="55"/>
        <v>52</v>
      </c>
      <c r="P406" s="212">
        <f t="shared" si="56"/>
        <v>0</v>
      </c>
      <c r="Q406" s="212">
        <f t="shared" si="57"/>
        <v>8</v>
      </c>
      <c r="R406" s="212">
        <f t="shared" si="58"/>
        <v>76</v>
      </c>
      <c r="S406" s="286" t="s">
        <v>1791</v>
      </c>
      <c r="T406" s="275" t="s">
        <v>1891</v>
      </c>
      <c r="U406" s="272">
        <v>55</v>
      </c>
      <c r="V406" s="272">
        <v>35</v>
      </c>
      <c r="W406" s="276">
        <v>44414</v>
      </c>
      <c r="X406" s="277">
        <v>44506</v>
      </c>
      <c r="Y406" s="245">
        <v>44496</v>
      </c>
      <c r="Z406" s="311">
        <f t="shared" si="51"/>
        <v>2021</v>
      </c>
      <c r="AA406" s="311">
        <f t="shared" si="52"/>
        <v>10</v>
      </c>
      <c r="AB406" s="243" t="s">
        <v>920</v>
      </c>
      <c r="AC406" s="243" t="s">
        <v>422</v>
      </c>
      <c r="AD406" s="243" t="s">
        <v>423</v>
      </c>
      <c r="AE406" s="243" t="s">
        <v>422</v>
      </c>
      <c r="AF406" s="243" t="s">
        <v>422</v>
      </c>
      <c r="AG406" s="243" t="s">
        <v>423</v>
      </c>
      <c r="AH406" s="243" t="s">
        <v>423</v>
      </c>
      <c r="AI406" s="243" t="s">
        <v>423</v>
      </c>
      <c r="AJ406" s="243" t="s">
        <v>423</v>
      </c>
      <c r="AK406" s="244" t="s">
        <v>138</v>
      </c>
      <c r="AL406" s="241"/>
      <c r="AM406" s="242"/>
    </row>
    <row r="407" spans="1:39" ht="15" customHeight="1" x14ac:dyDescent="0.3">
      <c r="A407" s="185">
        <v>424</v>
      </c>
      <c r="B407" s="235" t="s">
        <v>1833</v>
      </c>
      <c r="C407" s="281" t="s">
        <v>1618</v>
      </c>
      <c r="D407" s="200" t="s">
        <v>1881</v>
      </c>
      <c r="E407" s="269"/>
      <c r="F407" s="269" t="s">
        <v>1597</v>
      </c>
      <c r="G407" s="196" t="s">
        <v>1604</v>
      </c>
      <c r="H407" s="248" t="s">
        <v>422</v>
      </c>
      <c r="I407" s="359">
        <v>2</v>
      </c>
      <c r="J407" s="248">
        <v>15</v>
      </c>
      <c r="K407" s="248">
        <v>0</v>
      </c>
      <c r="L407" s="212">
        <v>1</v>
      </c>
      <c r="M407" s="212">
        <f t="shared" si="53"/>
        <v>18</v>
      </c>
      <c r="N407" s="212">
        <f t="shared" si="54"/>
        <v>16</v>
      </c>
      <c r="O407" s="212">
        <f t="shared" si="55"/>
        <v>60</v>
      </c>
      <c r="P407" s="212">
        <f t="shared" si="56"/>
        <v>0</v>
      </c>
      <c r="Q407" s="212">
        <f t="shared" si="57"/>
        <v>8</v>
      </c>
      <c r="R407" s="212">
        <f t="shared" si="58"/>
        <v>84</v>
      </c>
      <c r="S407" s="286" t="s">
        <v>1670</v>
      </c>
      <c r="T407" s="268" t="s">
        <v>1668</v>
      </c>
      <c r="U407" s="272">
        <v>6</v>
      </c>
      <c r="V407" s="272">
        <v>6</v>
      </c>
      <c r="W407" s="276">
        <v>44474</v>
      </c>
      <c r="X407" s="277">
        <v>44499</v>
      </c>
      <c r="Y407" s="245">
        <v>44496</v>
      </c>
      <c r="Z407" s="311">
        <f t="shared" si="51"/>
        <v>2021</v>
      </c>
      <c r="AA407" s="311">
        <f t="shared" si="52"/>
        <v>10</v>
      </c>
      <c r="AB407" s="243" t="s">
        <v>920</v>
      </c>
      <c r="AC407" s="243" t="s">
        <v>422</v>
      </c>
      <c r="AD407" s="243" t="s">
        <v>422</v>
      </c>
      <c r="AE407" s="243" t="s">
        <v>422</v>
      </c>
      <c r="AF407" s="243" t="s">
        <v>422</v>
      </c>
      <c r="AG407" s="243" t="s">
        <v>422</v>
      </c>
      <c r="AH407" s="243" t="s">
        <v>423</v>
      </c>
      <c r="AI407" s="243" t="s">
        <v>423</v>
      </c>
      <c r="AJ407" s="243" t="s">
        <v>423</v>
      </c>
      <c r="AK407" s="244" t="s">
        <v>138</v>
      </c>
      <c r="AL407" s="241"/>
      <c r="AM407" s="242"/>
    </row>
    <row r="408" spans="1:39" ht="15" customHeight="1" x14ac:dyDescent="0.3">
      <c r="A408" s="185">
        <v>425</v>
      </c>
      <c r="B408" s="235" t="s">
        <v>1834</v>
      </c>
      <c r="C408" s="281" t="s">
        <v>1618</v>
      </c>
      <c r="D408" s="200" t="s">
        <v>1881</v>
      </c>
      <c r="E408" s="269"/>
      <c r="F408" s="269" t="s">
        <v>422</v>
      </c>
      <c r="G408" s="196" t="s">
        <v>1604</v>
      </c>
      <c r="H408" s="248" t="s">
        <v>1596</v>
      </c>
      <c r="I408" s="248">
        <v>2</v>
      </c>
      <c r="J408" s="248">
        <v>14</v>
      </c>
      <c r="K408" s="248">
        <v>0</v>
      </c>
      <c r="L408" s="212">
        <v>1</v>
      </c>
      <c r="M408" s="212">
        <f t="shared" si="53"/>
        <v>17</v>
      </c>
      <c r="N408" s="212">
        <f t="shared" si="54"/>
        <v>16</v>
      </c>
      <c r="O408" s="212">
        <f t="shared" si="55"/>
        <v>56</v>
      </c>
      <c r="P408" s="212">
        <f t="shared" si="56"/>
        <v>0</v>
      </c>
      <c r="Q408" s="212">
        <f t="shared" si="57"/>
        <v>8</v>
      </c>
      <c r="R408" s="212">
        <f t="shared" si="58"/>
        <v>80</v>
      </c>
      <c r="S408" s="286" t="s">
        <v>1666</v>
      </c>
      <c r="T408" s="268" t="s">
        <v>1664</v>
      </c>
      <c r="U408" s="272">
        <v>35</v>
      </c>
      <c r="V408" s="272">
        <v>36</v>
      </c>
      <c r="W408" s="276">
        <v>44474</v>
      </c>
      <c r="X408" s="277">
        <v>44499</v>
      </c>
      <c r="Y408" s="245">
        <v>44496</v>
      </c>
      <c r="Z408" s="311">
        <f t="shared" si="51"/>
        <v>2021</v>
      </c>
      <c r="AA408" s="311">
        <f t="shared" si="52"/>
        <v>10</v>
      </c>
      <c r="AB408" s="243" t="s">
        <v>920</v>
      </c>
      <c r="AC408" s="243" t="s">
        <v>422</v>
      </c>
      <c r="AD408" s="243" t="s">
        <v>422</v>
      </c>
      <c r="AE408" s="243" t="s">
        <v>422</v>
      </c>
      <c r="AF408" s="243" t="s">
        <v>422</v>
      </c>
      <c r="AG408" s="243" t="s">
        <v>422</v>
      </c>
      <c r="AH408" s="243" t="s">
        <v>423</v>
      </c>
      <c r="AI408" s="243" t="s">
        <v>423</v>
      </c>
      <c r="AJ408" s="243" t="s">
        <v>423</v>
      </c>
      <c r="AK408" s="244" t="s">
        <v>140</v>
      </c>
      <c r="AL408" s="241"/>
      <c r="AM408" s="242"/>
    </row>
    <row r="409" spans="1:39" ht="15" customHeight="1" x14ac:dyDescent="0.3">
      <c r="A409" s="185">
        <v>426</v>
      </c>
      <c r="B409" s="235" t="s">
        <v>1844</v>
      </c>
      <c r="C409" s="281" t="s">
        <v>1615</v>
      </c>
      <c r="D409" s="200" t="s">
        <v>1881</v>
      </c>
      <c r="E409" s="269"/>
      <c r="F409" s="269" t="s">
        <v>422</v>
      </c>
      <c r="G409" s="196" t="s">
        <v>1604</v>
      </c>
      <c r="H409" s="248" t="s">
        <v>422</v>
      </c>
      <c r="I409" s="248">
        <v>2</v>
      </c>
      <c r="J409" s="248">
        <v>11</v>
      </c>
      <c r="K409" s="248">
        <v>0</v>
      </c>
      <c r="L409" s="212">
        <v>1</v>
      </c>
      <c r="M409" s="212">
        <f t="shared" si="53"/>
        <v>14</v>
      </c>
      <c r="N409" s="212">
        <f t="shared" si="54"/>
        <v>16</v>
      </c>
      <c r="O409" s="212">
        <f t="shared" si="55"/>
        <v>44</v>
      </c>
      <c r="P409" s="212">
        <f t="shared" si="56"/>
        <v>0</v>
      </c>
      <c r="Q409" s="212">
        <f t="shared" si="57"/>
        <v>8</v>
      </c>
      <c r="R409" s="212">
        <f t="shared" si="58"/>
        <v>68</v>
      </c>
      <c r="S409" s="268" t="s">
        <v>1835</v>
      </c>
      <c r="T409" s="287" t="s">
        <v>940</v>
      </c>
      <c r="U409" s="272">
        <v>115</v>
      </c>
      <c r="V409" s="272">
        <v>117</v>
      </c>
      <c r="W409" s="276">
        <v>44432</v>
      </c>
      <c r="X409" s="277">
        <v>44489</v>
      </c>
      <c r="Y409" s="245">
        <v>44508</v>
      </c>
      <c r="Z409" s="311">
        <f t="shared" si="51"/>
        <v>2021</v>
      </c>
      <c r="AA409" s="311">
        <f t="shared" si="52"/>
        <v>11</v>
      </c>
      <c r="AB409" s="243" t="s">
        <v>920</v>
      </c>
      <c r="AC409" s="243" t="s">
        <v>422</v>
      </c>
      <c r="AD409" s="243" t="s">
        <v>422</v>
      </c>
      <c r="AE409" s="243" t="s">
        <v>422</v>
      </c>
      <c r="AF409" s="243" t="s">
        <v>422</v>
      </c>
      <c r="AG409" s="243" t="s">
        <v>422</v>
      </c>
      <c r="AH409" s="243" t="s">
        <v>423</v>
      </c>
      <c r="AI409" s="243" t="s">
        <v>423</v>
      </c>
      <c r="AJ409" s="243" t="s">
        <v>423</v>
      </c>
      <c r="AK409" s="244" t="s">
        <v>1911</v>
      </c>
      <c r="AL409" s="241"/>
      <c r="AM409" s="242"/>
    </row>
    <row r="410" spans="1:39" ht="15" customHeight="1" x14ac:dyDescent="0.3">
      <c r="A410" s="185">
        <v>427</v>
      </c>
      <c r="B410" s="235" t="s">
        <v>1843</v>
      </c>
      <c r="C410" s="281" t="s">
        <v>1615</v>
      </c>
      <c r="D410" s="200" t="s">
        <v>1881</v>
      </c>
      <c r="E410" s="269"/>
      <c r="F410" s="269" t="s">
        <v>422</v>
      </c>
      <c r="G410" s="196" t="s">
        <v>1604</v>
      </c>
      <c r="H410" s="248" t="s">
        <v>422</v>
      </c>
      <c r="I410" s="248">
        <v>2</v>
      </c>
      <c r="J410" s="248">
        <v>10.5</v>
      </c>
      <c r="K410" s="248">
        <v>0</v>
      </c>
      <c r="L410" s="212">
        <v>1</v>
      </c>
      <c r="M410" s="212">
        <f t="shared" si="53"/>
        <v>13.5</v>
      </c>
      <c r="N410" s="212">
        <f t="shared" si="54"/>
        <v>16</v>
      </c>
      <c r="O410" s="212">
        <f t="shared" si="55"/>
        <v>42</v>
      </c>
      <c r="P410" s="212">
        <f t="shared" si="56"/>
        <v>0</v>
      </c>
      <c r="Q410" s="212">
        <f t="shared" si="57"/>
        <v>8</v>
      </c>
      <c r="R410" s="212">
        <f t="shared" si="58"/>
        <v>66</v>
      </c>
      <c r="S410" s="268" t="s">
        <v>1836</v>
      </c>
      <c r="T410" s="287" t="s">
        <v>932</v>
      </c>
      <c r="U410" s="272">
        <v>90</v>
      </c>
      <c r="V410" s="272">
        <v>90</v>
      </c>
      <c r="W410" s="276">
        <v>44468</v>
      </c>
      <c r="X410" s="277">
        <v>44484</v>
      </c>
      <c r="Y410" s="245">
        <v>44508</v>
      </c>
      <c r="Z410" s="311">
        <f t="shared" si="51"/>
        <v>2021</v>
      </c>
      <c r="AA410" s="311">
        <f t="shared" si="52"/>
        <v>11</v>
      </c>
      <c r="AB410" s="243" t="s">
        <v>920</v>
      </c>
      <c r="AC410" s="243" t="s">
        <v>422</v>
      </c>
      <c r="AD410" s="243" t="s">
        <v>422</v>
      </c>
      <c r="AE410" s="243" t="s">
        <v>422</v>
      </c>
      <c r="AF410" s="243" t="s">
        <v>422</v>
      </c>
      <c r="AG410" s="243" t="s">
        <v>422</v>
      </c>
      <c r="AH410" s="243" t="s">
        <v>423</v>
      </c>
      <c r="AI410" s="243" t="s">
        <v>422</v>
      </c>
      <c r="AJ410" s="243" t="s">
        <v>423</v>
      </c>
      <c r="AK410" s="244" t="s">
        <v>140</v>
      </c>
      <c r="AL410" s="241"/>
      <c r="AM410" s="242"/>
    </row>
    <row r="411" spans="1:39" ht="15" customHeight="1" x14ac:dyDescent="0.3">
      <c r="A411" s="185">
        <v>428</v>
      </c>
      <c r="B411" s="235" t="s">
        <v>1842</v>
      </c>
      <c r="C411" s="281" t="s">
        <v>1615</v>
      </c>
      <c r="D411" s="200" t="s">
        <v>1881</v>
      </c>
      <c r="E411" s="269"/>
      <c r="F411" s="269" t="s">
        <v>422</v>
      </c>
      <c r="G411" s="196" t="s">
        <v>1604</v>
      </c>
      <c r="H411" s="248" t="s">
        <v>422</v>
      </c>
      <c r="I411" s="248">
        <v>1.5</v>
      </c>
      <c r="J411" s="248">
        <v>7</v>
      </c>
      <c r="K411" s="248">
        <v>0</v>
      </c>
      <c r="L411" s="212">
        <v>1</v>
      </c>
      <c r="M411" s="212">
        <f t="shared" si="53"/>
        <v>9.5</v>
      </c>
      <c r="N411" s="212">
        <f t="shared" si="54"/>
        <v>12</v>
      </c>
      <c r="O411" s="212">
        <f t="shared" si="55"/>
        <v>28</v>
      </c>
      <c r="P411" s="212">
        <f t="shared" si="56"/>
        <v>0</v>
      </c>
      <c r="Q411" s="212">
        <f t="shared" si="57"/>
        <v>8</v>
      </c>
      <c r="R411" s="212">
        <f t="shared" si="58"/>
        <v>48</v>
      </c>
      <c r="S411" s="268" t="s">
        <v>1837</v>
      </c>
      <c r="T411" s="287" t="s">
        <v>1391</v>
      </c>
      <c r="U411" s="272">
        <v>60</v>
      </c>
      <c r="V411" s="272">
        <v>59</v>
      </c>
      <c r="W411" s="276">
        <v>44393</v>
      </c>
      <c r="X411" s="277">
        <v>44423</v>
      </c>
      <c r="Y411" s="245">
        <v>44508</v>
      </c>
      <c r="Z411" s="311">
        <f t="shared" si="51"/>
        <v>2021</v>
      </c>
      <c r="AA411" s="311">
        <f t="shared" si="52"/>
        <v>11</v>
      </c>
      <c r="AB411" s="243" t="s">
        <v>920</v>
      </c>
      <c r="AC411" s="243" t="s">
        <v>422</v>
      </c>
      <c r="AD411" s="243" t="s">
        <v>422</v>
      </c>
      <c r="AE411" s="243" t="s">
        <v>422</v>
      </c>
      <c r="AF411" s="243" t="s">
        <v>422</v>
      </c>
      <c r="AG411" s="243" t="s">
        <v>422</v>
      </c>
      <c r="AH411" s="243" t="s">
        <v>423</v>
      </c>
      <c r="AI411" s="243" t="s">
        <v>422</v>
      </c>
      <c r="AJ411" s="243" t="s">
        <v>423</v>
      </c>
      <c r="AK411" s="244" t="s">
        <v>1911</v>
      </c>
      <c r="AL411" s="241"/>
      <c r="AM411" s="242"/>
    </row>
    <row r="412" spans="1:39" ht="15" customHeight="1" x14ac:dyDescent="0.3">
      <c r="A412" s="185">
        <v>429</v>
      </c>
      <c r="B412" s="235" t="s">
        <v>1841</v>
      </c>
      <c r="C412" s="281" t="s">
        <v>1615</v>
      </c>
      <c r="D412" s="200" t="s">
        <v>1881</v>
      </c>
      <c r="E412" s="269"/>
      <c r="F412" s="269" t="s">
        <v>422</v>
      </c>
      <c r="G412" s="196" t="s">
        <v>1604</v>
      </c>
      <c r="H412" s="248" t="s">
        <v>422</v>
      </c>
      <c r="I412" s="248">
        <v>1.5</v>
      </c>
      <c r="J412" s="248">
        <v>6.5</v>
      </c>
      <c r="K412" s="248">
        <v>0</v>
      </c>
      <c r="L412" s="212">
        <v>1</v>
      </c>
      <c r="M412" s="212">
        <f t="shared" si="53"/>
        <v>9</v>
      </c>
      <c r="N412" s="212">
        <f t="shared" si="54"/>
        <v>12</v>
      </c>
      <c r="O412" s="212">
        <f t="shared" si="55"/>
        <v>26</v>
      </c>
      <c r="P412" s="212">
        <f t="shared" si="56"/>
        <v>0</v>
      </c>
      <c r="Q412" s="212">
        <f t="shared" si="57"/>
        <v>8</v>
      </c>
      <c r="R412" s="212">
        <f t="shared" si="58"/>
        <v>46</v>
      </c>
      <c r="S412" s="268" t="s">
        <v>1838</v>
      </c>
      <c r="T412" s="287" t="s">
        <v>1839</v>
      </c>
      <c r="U412" s="272">
        <v>128</v>
      </c>
      <c r="V412" s="272">
        <v>130</v>
      </c>
      <c r="W412" s="276">
        <v>44468</v>
      </c>
      <c r="X412" s="277">
        <v>44484</v>
      </c>
      <c r="Y412" s="245">
        <v>44508</v>
      </c>
      <c r="Z412" s="311">
        <f t="shared" si="51"/>
        <v>2021</v>
      </c>
      <c r="AA412" s="311">
        <f t="shared" si="52"/>
        <v>11</v>
      </c>
      <c r="AB412" s="243" t="s">
        <v>920</v>
      </c>
      <c r="AC412" s="243" t="s">
        <v>422</v>
      </c>
      <c r="AD412" s="243" t="s">
        <v>422</v>
      </c>
      <c r="AE412" s="243" t="s">
        <v>422</v>
      </c>
      <c r="AF412" s="243" t="s">
        <v>422</v>
      </c>
      <c r="AG412" s="243" t="s">
        <v>422</v>
      </c>
      <c r="AH412" s="243" t="s">
        <v>423</v>
      </c>
      <c r="AI412" s="243" t="s">
        <v>422</v>
      </c>
      <c r="AJ412" s="243" t="s">
        <v>423</v>
      </c>
      <c r="AK412" s="244" t="s">
        <v>1372</v>
      </c>
      <c r="AL412" s="241"/>
      <c r="AM412" s="242"/>
    </row>
    <row r="413" spans="1:39" ht="15" customHeight="1" x14ac:dyDescent="0.3">
      <c r="A413" s="185">
        <v>430</v>
      </c>
      <c r="B413" s="235" t="s">
        <v>1852</v>
      </c>
      <c r="C413" s="281" t="s">
        <v>1830</v>
      </c>
      <c r="D413" s="200" t="s">
        <v>1881</v>
      </c>
      <c r="E413" s="269"/>
      <c r="F413" s="269" t="s">
        <v>422</v>
      </c>
      <c r="G413" s="196" t="s">
        <v>1952</v>
      </c>
      <c r="H413" s="248" t="s">
        <v>1596</v>
      </c>
      <c r="I413" s="248">
        <v>2</v>
      </c>
      <c r="J413" s="248">
        <v>15</v>
      </c>
      <c r="K413" s="248">
        <f>2+15</f>
        <v>17</v>
      </c>
      <c r="L413" s="212">
        <v>1</v>
      </c>
      <c r="M413" s="212">
        <f t="shared" si="53"/>
        <v>35</v>
      </c>
      <c r="N413" s="212">
        <f t="shared" si="54"/>
        <v>16</v>
      </c>
      <c r="O413" s="212">
        <f t="shared" si="55"/>
        <v>60</v>
      </c>
      <c r="P413" s="212">
        <f t="shared" si="56"/>
        <v>113.33333333333334</v>
      </c>
      <c r="Q413" s="212">
        <f t="shared" si="57"/>
        <v>8</v>
      </c>
      <c r="R413" s="212">
        <f t="shared" si="58"/>
        <v>197.33333333333334</v>
      </c>
      <c r="S413" s="268" t="s">
        <v>1863</v>
      </c>
      <c r="T413" s="287" t="s">
        <v>1874</v>
      </c>
      <c r="U413" s="272">
        <v>148</v>
      </c>
      <c r="V413" s="272">
        <v>148</v>
      </c>
      <c r="W413" s="276">
        <v>44477</v>
      </c>
      <c r="X413" s="277">
        <v>44576</v>
      </c>
      <c r="Y413" s="245">
        <v>44530</v>
      </c>
      <c r="Z413" s="311">
        <f t="shared" si="51"/>
        <v>2021</v>
      </c>
      <c r="AA413" s="311">
        <f t="shared" si="52"/>
        <v>11</v>
      </c>
      <c r="AB413" s="243" t="s">
        <v>310</v>
      </c>
      <c r="AC413" s="243" t="s">
        <v>422</v>
      </c>
      <c r="AD413" s="243" t="s">
        <v>422</v>
      </c>
      <c r="AE413" s="243" t="s">
        <v>422</v>
      </c>
      <c r="AF413" s="243" t="s">
        <v>422</v>
      </c>
      <c r="AG413" s="243" t="s">
        <v>422</v>
      </c>
      <c r="AH413" s="243" t="s">
        <v>422</v>
      </c>
      <c r="AI413" s="243" t="s">
        <v>449</v>
      </c>
      <c r="AJ413" s="243" t="s">
        <v>423</v>
      </c>
      <c r="AK413" s="244" t="s">
        <v>140</v>
      </c>
      <c r="AL413" s="241"/>
      <c r="AM413" s="242"/>
    </row>
    <row r="414" spans="1:39" ht="15" customHeight="1" x14ac:dyDescent="0.3">
      <c r="A414" s="185">
        <v>432</v>
      </c>
      <c r="B414" s="235" t="s">
        <v>1854</v>
      </c>
      <c r="C414" s="281" t="s">
        <v>1830</v>
      </c>
      <c r="D414" s="200" t="s">
        <v>1881</v>
      </c>
      <c r="E414" s="269"/>
      <c r="F414" s="269" t="s">
        <v>422</v>
      </c>
      <c r="G414" s="196" t="s">
        <v>1952</v>
      </c>
      <c r="H414" s="248" t="s">
        <v>422</v>
      </c>
      <c r="I414" s="248">
        <v>2</v>
      </c>
      <c r="J414" s="248">
        <v>14</v>
      </c>
      <c r="K414" s="248">
        <v>15</v>
      </c>
      <c r="L414" s="212">
        <v>1</v>
      </c>
      <c r="M414" s="212">
        <f t="shared" si="53"/>
        <v>32</v>
      </c>
      <c r="N414" s="212">
        <f t="shared" si="54"/>
        <v>16</v>
      </c>
      <c r="O414" s="212">
        <f t="shared" si="55"/>
        <v>56</v>
      </c>
      <c r="P414" s="212">
        <f t="shared" si="56"/>
        <v>100</v>
      </c>
      <c r="Q414" s="212">
        <f t="shared" si="57"/>
        <v>8</v>
      </c>
      <c r="R414" s="212">
        <f t="shared" si="58"/>
        <v>180</v>
      </c>
      <c r="S414" s="268" t="s">
        <v>1865</v>
      </c>
      <c r="T414" s="287" t="s">
        <v>1875</v>
      </c>
      <c r="U414" s="272">
        <v>130</v>
      </c>
      <c r="V414" s="272">
        <v>130</v>
      </c>
      <c r="W414" s="276">
        <v>44477</v>
      </c>
      <c r="X414" s="277">
        <v>44576</v>
      </c>
      <c r="Y414" s="245">
        <v>44530</v>
      </c>
      <c r="Z414" s="311">
        <f t="shared" si="51"/>
        <v>2021</v>
      </c>
      <c r="AA414" s="311">
        <f t="shared" si="52"/>
        <v>11</v>
      </c>
      <c r="AB414" s="243" t="s">
        <v>310</v>
      </c>
      <c r="AC414" s="243" t="s">
        <v>422</v>
      </c>
      <c r="AD414" s="243" t="s">
        <v>422</v>
      </c>
      <c r="AE414" s="243" t="s">
        <v>422</v>
      </c>
      <c r="AF414" s="243" t="s">
        <v>422</v>
      </c>
      <c r="AG414" s="243" t="s">
        <v>422</v>
      </c>
      <c r="AH414" s="243" t="s">
        <v>422</v>
      </c>
      <c r="AI414" s="243" t="s">
        <v>449</v>
      </c>
      <c r="AJ414" s="243" t="s">
        <v>423</v>
      </c>
      <c r="AK414" s="244" t="s">
        <v>138</v>
      </c>
      <c r="AL414" s="241"/>
      <c r="AM414" s="242"/>
    </row>
    <row r="415" spans="1:39" ht="15" customHeight="1" x14ac:dyDescent="0.3">
      <c r="A415" s="185">
        <v>435</v>
      </c>
      <c r="B415" s="235" t="s">
        <v>1857</v>
      </c>
      <c r="C415" s="281" t="s">
        <v>1830</v>
      </c>
      <c r="D415" s="200" t="s">
        <v>1881</v>
      </c>
      <c r="E415" s="269"/>
      <c r="F415" s="269" t="s">
        <v>422</v>
      </c>
      <c r="G415" s="196" t="s">
        <v>1952</v>
      </c>
      <c r="H415" s="248" t="s">
        <v>422</v>
      </c>
      <c r="I415" s="248">
        <v>2.5</v>
      </c>
      <c r="J415" s="248">
        <v>16</v>
      </c>
      <c r="K415" s="248">
        <v>15</v>
      </c>
      <c r="L415" s="212">
        <v>1.5</v>
      </c>
      <c r="M415" s="212">
        <f t="shared" si="53"/>
        <v>35</v>
      </c>
      <c r="N415" s="212">
        <f t="shared" si="54"/>
        <v>20</v>
      </c>
      <c r="O415" s="212">
        <f t="shared" si="55"/>
        <v>64</v>
      </c>
      <c r="P415" s="212">
        <f t="shared" si="56"/>
        <v>100</v>
      </c>
      <c r="Q415" s="212">
        <f t="shared" si="57"/>
        <v>12</v>
      </c>
      <c r="R415" s="212">
        <f t="shared" si="58"/>
        <v>196</v>
      </c>
      <c r="S415" s="268" t="s">
        <v>1868</v>
      </c>
      <c r="T415" s="287" t="s">
        <v>1877</v>
      </c>
      <c r="U415" s="272">
        <v>138</v>
      </c>
      <c r="V415" s="272">
        <v>138</v>
      </c>
      <c r="W415" s="276">
        <v>44477</v>
      </c>
      <c r="X415" s="277">
        <v>44576</v>
      </c>
      <c r="Y415" s="245">
        <v>44530</v>
      </c>
      <c r="Z415" s="311">
        <f t="shared" si="51"/>
        <v>2021</v>
      </c>
      <c r="AA415" s="311">
        <f t="shared" si="52"/>
        <v>11</v>
      </c>
      <c r="AB415" s="243" t="s">
        <v>310</v>
      </c>
      <c r="AC415" s="243" t="s">
        <v>422</v>
      </c>
      <c r="AD415" s="243" t="s">
        <v>422</v>
      </c>
      <c r="AE415" s="243" t="s">
        <v>422</v>
      </c>
      <c r="AF415" s="243" t="s">
        <v>422</v>
      </c>
      <c r="AG415" s="243" t="s">
        <v>422</v>
      </c>
      <c r="AH415" s="243" t="s">
        <v>422</v>
      </c>
      <c r="AI415" s="243" t="s">
        <v>449</v>
      </c>
      <c r="AJ415" s="243" t="s">
        <v>423</v>
      </c>
      <c r="AK415" s="244" t="s">
        <v>1921</v>
      </c>
      <c r="AL415" s="241"/>
      <c r="AM415" s="242"/>
    </row>
    <row r="416" spans="1:39" ht="15" customHeight="1" x14ac:dyDescent="0.3">
      <c r="A416" s="185">
        <v>436</v>
      </c>
      <c r="B416" s="235" t="s">
        <v>1858</v>
      </c>
      <c r="C416" s="281" t="s">
        <v>1830</v>
      </c>
      <c r="D416" s="200" t="s">
        <v>1881</v>
      </c>
      <c r="E416" s="269"/>
      <c r="F416" s="269" t="s">
        <v>422</v>
      </c>
      <c r="G416" s="196" t="s">
        <v>1952</v>
      </c>
      <c r="H416" s="248" t="s">
        <v>422</v>
      </c>
      <c r="I416" s="248">
        <v>2</v>
      </c>
      <c r="J416" s="248">
        <v>14</v>
      </c>
      <c r="K416" s="248">
        <v>15</v>
      </c>
      <c r="L416" s="212">
        <v>1</v>
      </c>
      <c r="M416" s="212">
        <f t="shared" si="53"/>
        <v>32</v>
      </c>
      <c r="N416" s="212">
        <f t="shared" si="54"/>
        <v>16</v>
      </c>
      <c r="O416" s="212">
        <f t="shared" si="55"/>
        <v>56</v>
      </c>
      <c r="P416" s="212">
        <f t="shared" si="56"/>
        <v>100</v>
      </c>
      <c r="Q416" s="212">
        <f t="shared" si="57"/>
        <v>8</v>
      </c>
      <c r="R416" s="212">
        <f t="shared" si="58"/>
        <v>180</v>
      </c>
      <c r="S416" s="268" t="s">
        <v>1869</v>
      </c>
      <c r="T416" s="287" t="s">
        <v>1878</v>
      </c>
      <c r="U416" s="272">
        <v>138</v>
      </c>
      <c r="V416" s="272">
        <v>138</v>
      </c>
      <c r="W416" s="276">
        <v>44477</v>
      </c>
      <c r="X416" s="277">
        <v>44576</v>
      </c>
      <c r="Y416" s="245">
        <v>44530</v>
      </c>
      <c r="Z416" s="311">
        <f t="shared" si="51"/>
        <v>2021</v>
      </c>
      <c r="AA416" s="311">
        <f t="shared" si="52"/>
        <v>11</v>
      </c>
      <c r="AB416" s="243" t="s">
        <v>310</v>
      </c>
      <c r="AC416" s="243" t="s">
        <v>422</v>
      </c>
      <c r="AD416" s="243" t="s">
        <v>422</v>
      </c>
      <c r="AE416" s="243" t="s">
        <v>422</v>
      </c>
      <c r="AF416" s="243" t="s">
        <v>422</v>
      </c>
      <c r="AG416" s="243" t="s">
        <v>422</v>
      </c>
      <c r="AH416" s="243" t="s">
        <v>422</v>
      </c>
      <c r="AI416" s="243" t="s">
        <v>449</v>
      </c>
      <c r="AJ416" s="243" t="s">
        <v>423</v>
      </c>
      <c r="AK416" s="244" t="s">
        <v>140</v>
      </c>
      <c r="AL416" s="241"/>
      <c r="AM416" s="242"/>
    </row>
    <row r="417" spans="1:39" ht="15" customHeight="1" x14ac:dyDescent="0.3">
      <c r="A417" s="185">
        <v>437</v>
      </c>
      <c r="B417" s="235" t="s">
        <v>1859</v>
      </c>
      <c r="C417" s="281" t="s">
        <v>1830</v>
      </c>
      <c r="D417" s="200" t="s">
        <v>1881</v>
      </c>
      <c r="E417" s="269"/>
      <c r="F417" s="269" t="s">
        <v>422</v>
      </c>
      <c r="G417" s="196" t="s">
        <v>1952</v>
      </c>
      <c r="H417" s="248" t="s">
        <v>1596</v>
      </c>
      <c r="I417" s="248">
        <v>2</v>
      </c>
      <c r="J417" s="248">
        <v>14</v>
      </c>
      <c r="K417" s="248">
        <v>15</v>
      </c>
      <c r="L417" s="212">
        <v>1</v>
      </c>
      <c r="M417" s="212">
        <f t="shared" si="53"/>
        <v>32</v>
      </c>
      <c r="N417" s="212">
        <f t="shared" si="54"/>
        <v>16</v>
      </c>
      <c r="O417" s="212">
        <f t="shared" si="55"/>
        <v>56</v>
      </c>
      <c r="P417" s="212">
        <f t="shared" si="56"/>
        <v>100</v>
      </c>
      <c r="Q417" s="212">
        <f t="shared" si="57"/>
        <v>8</v>
      </c>
      <c r="R417" s="212">
        <f t="shared" si="58"/>
        <v>180</v>
      </c>
      <c r="S417" s="268" t="s">
        <v>1870</v>
      </c>
      <c r="T417" s="287" t="s">
        <v>1878</v>
      </c>
      <c r="U417" s="272">
        <v>108</v>
      </c>
      <c r="V417" s="272">
        <v>108</v>
      </c>
      <c r="W417" s="276">
        <v>44477</v>
      </c>
      <c r="X417" s="277">
        <v>44576</v>
      </c>
      <c r="Y417" s="245">
        <v>44530</v>
      </c>
      <c r="Z417" s="311">
        <f t="shared" si="51"/>
        <v>2021</v>
      </c>
      <c r="AA417" s="311">
        <f t="shared" si="52"/>
        <v>11</v>
      </c>
      <c r="AB417" s="243" t="s">
        <v>310</v>
      </c>
      <c r="AC417" s="243" t="s">
        <v>422</v>
      </c>
      <c r="AD417" s="243" t="s">
        <v>422</v>
      </c>
      <c r="AE417" s="243" t="s">
        <v>422</v>
      </c>
      <c r="AF417" s="243" t="s">
        <v>422</v>
      </c>
      <c r="AG417" s="243" t="s">
        <v>422</v>
      </c>
      <c r="AH417" s="243" t="s">
        <v>422</v>
      </c>
      <c r="AI417" s="243" t="s">
        <v>449</v>
      </c>
      <c r="AJ417" s="243" t="s">
        <v>423</v>
      </c>
      <c r="AK417" s="244" t="s">
        <v>140</v>
      </c>
      <c r="AL417" s="241"/>
      <c r="AM417" s="242"/>
    </row>
    <row r="418" spans="1:39" ht="15" customHeight="1" x14ac:dyDescent="0.3">
      <c r="A418" s="185">
        <v>441</v>
      </c>
      <c r="B418" s="235" t="s">
        <v>1900</v>
      </c>
      <c r="C418" s="281" t="s">
        <v>1617</v>
      </c>
      <c r="D418" s="281" t="s">
        <v>1850</v>
      </c>
      <c r="E418" s="269"/>
      <c r="F418" s="269" t="s">
        <v>1892</v>
      </c>
      <c r="G418" s="196" t="s">
        <v>1596</v>
      </c>
      <c r="H418" s="248" t="s">
        <v>422</v>
      </c>
      <c r="I418" s="248">
        <v>1</v>
      </c>
      <c r="J418" s="248">
        <v>4</v>
      </c>
      <c r="K418" s="248">
        <f>7+4</f>
        <v>11</v>
      </c>
      <c r="L418" s="212">
        <v>1</v>
      </c>
      <c r="M418" s="212">
        <f t="shared" si="53"/>
        <v>17</v>
      </c>
      <c r="N418" s="212">
        <f t="shared" si="54"/>
        <v>8</v>
      </c>
      <c r="O418" s="212">
        <f t="shared" si="55"/>
        <v>16</v>
      </c>
      <c r="P418" s="212">
        <f t="shared" si="56"/>
        <v>73.333333333333343</v>
      </c>
      <c r="Q418" s="212">
        <f t="shared" si="57"/>
        <v>8</v>
      </c>
      <c r="R418" s="212">
        <f t="shared" si="58"/>
        <v>105.33333333333334</v>
      </c>
      <c r="S418" s="275" t="s">
        <v>1899</v>
      </c>
      <c r="T418" s="275" t="s">
        <v>1899</v>
      </c>
      <c r="U418" s="272">
        <v>100</v>
      </c>
      <c r="V418" s="272">
        <v>120</v>
      </c>
      <c r="W418" s="276">
        <v>44510</v>
      </c>
      <c r="X418" s="277">
        <v>44510</v>
      </c>
      <c r="Y418" s="245">
        <v>44510</v>
      </c>
      <c r="Z418" s="311">
        <f t="shared" si="51"/>
        <v>2021</v>
      </c>
      <c r="AA418" s="311">
        <f t="shared" si="52"/>
        <v>11</v>
      </c>
      <c r="AB418" s="243" t="s">
        <v>310</v>
      </c>
      <c r="AC418" s="243" t="s">
        <v>422</v>
      </c>
      <c r="AD418" s="243" t="s">
        <v>422</v>
      </c>
      <c r="AE418" s="243" t="s">
        <v>422</v>
      </c>
      <c r="AF418" s="243" t="s">
        <v>422</v>
      </c>
      <c r="AG418" s="243" t="s">
        <v>422</v>
      </c>
      <c r="AH418" s="243" t="s">
        <v>422</v>
      </c>
      <c r="AI418" s="243" t="s">
        <v>423</v>
      </c>
      <c r="AJ418" s="243" t="s">
        <v>423</v>
      </c>
      <c r="AK418" s="244" t="s">
        <v>1372</v>
      </c>
      <c r="AL418" s="33"/>
      <c r="AM418" s="33"/>
    </row>
    <row r="419" spans="1:39" ht="15" customHeight="1" x14ac:dyDescent="0.3">
      <c r="A419" s="185">
        <v>308</v>
      </c>
      <c r="B419" s="328" t="s">
        <v>1536</v>
      </c>
      <c r="C419" s="281" t="s">
        <v>1615</v>
      </c>
      <c r="D419" s="200" t="s">
        <v>1881</v>
      </c>
      <c r="E419" s="269"/>
      <c r="F419" s="269" t="s">
        <v>1601</v>
      </c>
      <c r="G419" s="196" t="s">
        <v>1604</v>
      </c>
      <c r="H419" s="248"/>
      <c r="I419" s="248">
        <v>2</v>
      </c>
      <c r="J419" s="248">
        <v>15</v>
      </c>
      <c r="K419" s="248">
        <v>0</v>
      </c>
      <c r="L419" s="212">
        <v>1.5</v>
      </c>
      <c r="M419" s="212">
        <f t="shared" si="53"/>
        <v>18.5</v>
      </c>
      <c r="N419" s="212">
        <f t="shared" si="54"/>
        <v>16</v>
      </c>
      <c r="O419" s="212">
        <f t="shared" si="55"/>
        <v>60</v>
      </c>
      <c r="P419" s="212">
        <f t="shared" si="56"/>
        <v>0</v>
      </c>
      <c r="Q419" s="212">
        <f t="shared" si="57"/>
        <v>12</v>
      </c>
      <c r="R419" s="212">
        <f t="shared" si="58"/>
        <v>88</v>
      </c>
      <c r="S419" s="268" t="s">
        <v>1535</v>
      </c>
      <c r="T419" s="268" t="s">
        <v>1495</v>
      </c>
      <c r="U419" s="272">
        <v>240</v>
      </c>
      <c r="V419" s="272">
        <v>170</v>
      </c>
      <c r="W419" s="246">
        <v>44286</v>
      </c>
      <c r="X419" s="246">
        <v>44348</v>
      </c>
      <c r="Y419" s="245">
        <v>44545</v>
      </c>
      <c r="Z419" s="311">
        <f t="shared" si="51"/>
        <v>2021</v>
      </c>
      <c r="AA419" s="311">
        <f t="shared" si="52"/>
        <v>12</v>
      </c>
      <c r="AB419" s="243" t="s">
        <v>1042</v>
      </c>
      <c r="AC419" s="243" t="s">
        <v>1595</v>
      </c>
      <c r="AD419" s="243" t="s">
        <v>422</v>
      </c>
      <c r="AE419" s="243" t="s">
        <v>422</v>
      </c>
      <c r="AF419" s="243" t="s">
        <v>422</v>
      </c>
      <c r="AG419" s="243" t="s">
        <v>422</v>
      </c>
      <c r="AH419" s="243" t="s">
        <v>423</v>
      </c>
      <c r="AI419" s="243" t="s">
        <v>422</v>
      </c>
      <c r="AJ419" s="243" t="s">
        <v>423</v>
      </c>
      <c r="AK419" s="244" t="s">
        <v>1929</v>
      </c>
      <c r="AL419" s="241"/>
      <c r="AM419" s="241"/>
    </row>
    <row r="420" spans="1:39" ht="15" customHeight="1" x14ac:dyDescent="0.3">
      <c r="A420" s="185">
        <v>319</v>
      </c>
      <c r="B420" s="332" t="s">
        <v>1500</v>
      </c>
      <c r="C420" s="247" t="s">
        <v>1615</v>
      </c>
      <c r="D420" s="281" t="s">
        <v>1881</v>
      </c>
      <c r="E420" s="320"/>
      <c r="F420" s="320"/>
      <c r="G420" s="311" t="s">
        <v>1604</v>
      </c>
      <c r="H420" s="248"/>
      <c r="I420" s="317">
        <v>2</v>
      </c>
      <c r="J420" s="317"/>
      <c r="K420" s="317">
        <v>0</v>
      </c>
      <c r="L420" s="212">
        <v>1</v>
      </c>
      <c r="M420" s="212">
        <f t="shared" si="53"/>
        <v>3</v>
      </c>
      <c r="N420" s="212">
        <f t="shared" si="54"/>
        <v>16</v>
      </c>
      <c r="O420" s="212">
        <f t="shared" si="55"/>
        <v>0</v>
      </c>
      <c r="P420" s="212">
        <f t="shared" si="56"/>
        <v>0</v>
      </c>
      <c r="Q420" s="212">
        <f t="shared" si="57"/>
        <v>8</v>
      </c>
      <c r="R420" s="212">
        <f t="shared" si="58"/>
        <v>24</v>
      </c>
      <c r="S420" s="321" t="s">
        <v>1507</v>
      </c>
      <c r="T420" s="321" t="s">
        <v>1506</v>
      </c>
      <c r="U420" s="272">
        <v>88</v>
      </c>
      <c r="V420" s="272">
        <v>0</v>
      </c>
      <c r="W420" s="246">
        <v>44244</v>
      </c>
      <c r="X420" s="246">
        <v>44317</v>
      </c>
      <c r="Y420" s="245">
        <v>44560</v>
      </c>
      <c r="Z420" s="311">
        <f t="shared" si="51"/>
        <v>2021</v>
      </c>
      <c r="AA420" s="311">
        <f t="shared" si="52"/>
        <v>12</v>
      </c>
      <c r="AB420" s="243" t="s">
        <v>1928</v>
      </c>
      <c r="AC420" s="243" t="s">
        <v>449</v>
      </c>
      <c r="AD420" s="243" t="s">
        <v>422</v>
      </c>
      <c r="AE420" s="243" t="s">
        <v>449</v>
      </c>
      <c r="AF420" s="243" t="s">
        <v>449</v>
      </c>
      <c r="AG420" s="243" t="s">
        <v>449</v>
      </c>
      <c r="AH420" s="243" t="s">
        <v>423</v>
      </c>
      <c r="AI420" s="243" t="s">
        <v>423</v>
      </c>
      <c r="AJ420" s="243" t="s">
        <v>423</v>
      </c>
      <c r="AK420" s="310"/>
      <c r="AL420" s="310"/>
      <c r="AM420" s="310"/>
    </row>
    <row r="421" spans="1:39" ht="15" customHeight="1" x14ac:dyDescent="0.3">
      <c r="A421" s="185">
        <v>342</v>
      </c>
      <c r="B421" s="329" t="s">
        <v>1750</v>
      </c>
      <c r="C421" s="247" t="s">
        <v>1615</v>
      </c>
      <c r="D421" s="200" t="s">
        <v>1881</v>
      </c>
      <c r="E421" s="308"/>
      <c r="F421" s="282" t="s">
        <v>1601</v>
      </c>
      <c r="G421" s="311" t="s">
        <v>1604</v>
      </c>
      <c r="H421" s="248"/>
      <c r="I421" s="317">
        <v>2</v>
      </c>
      <c r="J421" s="317"/>
      <c r="K421" s="317">
        <v>0</v>
      </c>
      <c r="L421" s="212">
        <v>1</v>
      </c>
      <c r="M421" s="212">
        <f t="shared" si="53"/>
        <v>3</v>
      </c>
      <c r="N421" s="212">
        <f t="shared" si="54"/>
        <v>16</v>
      </c>
      <c r="O421" s="212">
        <f t="shared" si="55"/>
        <v>0</v>
      </c>
      <c r="P421" s="212">
        <f t="shared" si="56"/>
        <v>0</v>
      </c>
      <c r="Q421" s="212">
        <f t="shared" si="57"/>
        <v>8</v>
      </c>
      <c r="R421" s="212">
        <f t="shared" si="58"/>
        <v>24</v>
      </c>
      <c r="S421" s="312" t="s">
        <v>1624</v>
      </c>
      <c r="T421" s="313" t="s">
        <v>1822</v>
      </c>
      <c r="U421" s="280">
        <v>100</v>
      </c>
      <c r="V421" s="273">
        <v>0</v>
      </c>
      <c r="W421" s="276">
        <v>44307</v>
      </c>
      <c r="X421" s="277">
        <v>44392</v>
      </c>
      <c r="Y421" s="277">
        <v>44545</v>
      </c>
      <c r="Z421" s="311">
        <f t="shared" si="51"/>
        <v>2021</v>
      </c>
      <c r="AA421" s="311">
        <f t="shared" si="52"/>
        <v>12</v>
      </c>
      <c r="AB421" s="322" t="s">
        <v>1817</v>
      </c>
      <c r="AC421" s="278" t="s">
        <v>449</v>
      </c>
      <c r="AD421" s="278" t="s">
        <v>422</v>
      </c>
      <c r="AE421" s="278" t="s">
        <v>449</v>
      </c>
      <c r="AF421" s="278" t="s">
        <v>449</v>
      </c>
      <c r="AG421" s="278" t="s">
        <v>449</v>
      </c>
      <c r="AH421" s="243" t="s">
        <v>423</v>
      </c>
      <c r="AI421" s="243" t="s">
        <v>422</v>
      </c>
      <c r="AJ421" s="243" t="s">
        <v>423</v>
      </c>
      <c r="AK421" s="279" t="s">
        <v>1240</v>
      </c>
      <c r="AL421" s="29"/>
      <c r="AM421" s="29" t="s">
        <v>1756</v>
      </c>
    </row>
    <row r="422" spans="1:39" ht="15" customHeight="1" x14ac:dyDescent="0.3">
      <c r="A422" s="185">
        <v>343</v>
      </c>
      <c r="B422" s="329" t="s">
        <v>1893</v>
      </c>
      <c r="C422" s="247" t="s">
        <v>1615</v>
      </c>
      <c r="D422" s="200" t="s">
        <v>1881</v>
      </c>
      <c r="E422" s="308"/>
      <c r="F422" s="282"/>
      <c r="G422" s="311" t="s">
        <v>1604</v>
      </c>
      <c r="H422" s="248"/>
      <c r="I422" s="317">
        <v>2</v>
      </c>
      <c r="J422" s="317"/>
      <c r="K422" s="317">
        <v>0</v>
      </c>
      <c r="L422" s="212">
        <v>1</v>
      </c>
      <c r="M422" s="212">
        <f t="shared" si="53"/>
        <v>3</v>
      </c>
      <c r="N422" s="212">
        <f t="shared" si="54"/>
        <v>16</v>
      </c>
      <c r="O422" s="212">
        <f t="shared" si="55"/>
        <v>0</v>
      </c>
      <c r="P422" s="212">
        <f t="shared" si="56"/>
        <v>0</v>
      </c>
      <c r="Q422" s="212">
        <f t="shared" si="57"/>
        <v>8</v>
      </c>
      <c r="R422" s="212">
        <f t="shared" si="58"/>
        <v>24</v>
      </c>
      <c r="S422" s="312" t="s">
        <v>1625</v>
      </c>
      <c r="T422" s="313" t="s">
        <v>1930</v>
      </c>
      <c r="U422" s="280">
        <v>131</v>
      </c>
      <c r="V422" s="273">
        <v>0</v>
      </c>
      <c r="W422" s="276">
        <v>44307</v>
      </c>
      <c r="X422" s="277">
        <v>44392</v>
      </c>
      <c r="Y422" s="277">
        <v>44545</v>
      </c>
      <c r="Z422" s="311">
        <f t="shared" si="51"/>
        <v>2021</v>
      </c>
      <c r="AA422" s="311">
        <f t="shared" si="52"/>
        <v>12</v>
      </c>
      <c r="AB422" s="322" t="s">
        <v>1818</v>
      </c>
      <c r="AC422" s="278" t="s">
        <v>449</v>
      </c>
      <c r="AD422" s="278" t="s">
        <v>422</v>
      </c>
      <c r="AE422" s="278" t="s">
        <v>449</v>
      </c>
      <c r="AF422" s="278" t="s">
        <v>449</v>
      </c>
      <c r="AG422" s="278" t="s">
        <v>449</v>
      </c>
      <c r="AH422" s="243" t="s">
        <v>423</v>
      </c>
      <c r="AI422" s="243" t="s">
        <v>422</v>
      </c>
      <c r="AJ422" s="243" t="s">
        <v>423</v>
      </c>
      <c r="AK422" s="279" t="s">
        <v>1820</v>
      </c>
      <c r="AL422" s="29"/>
      <c r="AM422" s="29"/>
    </row>
    <row r="423" spans="1:39" ht="15" customHeight="1" x14ac:dyDescent="0.3">
      <c r="A423" s="185">
        <v>347</v>
      </c>
      <c r="B423" s="235" t="s">
        <v>1894</v>
      </c>
      <c r="C423" s="247" t="s">
        <v>1615</v>
      </c>
      <c r="D423" s="200" t="s">
        <v>1881</v>
      </c>
      <c r="E423" s="308"/>
      <c r="F423" s="282" t="s">
        <v>1597</v>
      </c>
      <c r="G423" s="311" t="s">
        <v>1604</v>
      </c>
      <c r="H423" s="248"/>
      <c r="I423" s="317">
        <v>2</v>
      </c>
      <c r="J423" s="317"/>
      <c r="K423" s="317">
        <v>0</v>
      </c>
      <c r="L423" s="212">
        <v>15</v>
      </c>
      <c r="M423" s="212">
        <f t="shared" si="53"/>
        <v>17</v>
      </c>
      <c r="N423" s="212">
        <f t="shared" si="54"/>
        <v>16</v>
      </c>
      <c r="O423" s="212">
        <f t="shared" si="55"/>
        <v>0</v>
      </c>
      <c r="P423" s="212">
        <f t="shared" si="56"/>
        <v>0</v>
      </c>
      <c r="Q423" s="212">
        <f t="shared" si="57"/>
        <v>120</v>
      </c>
      <c r="R423" s="212">
        <f t="shared" si="58"/>
        <v>136</v>
      </c>
      <c r="S423" s="283" t="s">
        <v>1627</v>
      </c>
      <c r="T423" s="284" t="s">
        <v>1824</v>
      </c>
      <c r="U423" s="280">
        <v>100</v>
      </c>
      <c r="V423" s="273">
        <v>0</v>
      </c>
      <c r="W423" s="276">
        <v>44307</v>
      </c>
      <c r="X423" s="277">
        <v>44392</v>
      </c>
      <c r="Y423" s="277">
        <v>44545</v>
      </c>
      <c r="Z423" s="311">
        <f t="shared" si="51"/>
        <v>2021</v>
      </c>
      <c r="AA423" s="311">
        <f t="shared" si="52"/>
        <v>12</v>
      </c>
      <c r="AB423" s="322" t="s">
        <v>1819</v>
      </c>
      <c r="AC423" s="278" t="s">
        <v>449</v>
      </c>
      <c r="AD423" s="278" t="s">
        <v>422</v>
      </c>
      <c r="AE423" s="278" t="s">
        <v>449</v>
      </c>
      <c r="AF423" s="278" t="s">
        <v>449</v>
      </c>
      <c r="AG423" s="278" t="s">
        <v>449</v>
      </c>
      <c r="AH423" s="243" t="s">
        <v>423</v>
      </c>
      <c r="AI423" s="243" t="s">
        <v>422</v>
      </c>
      <c r="AJ423" s="243" t="s">
        <v>423</v>
      </c>
      <c r="AK423" s="279" t="s">
        <v>1821</v>
      </c>
      <c r="AL423" s="29"/>
      <c r="AM423" s="29" t="s">
        <v>1821</v>
      </c>
    </row>
    <row r="424" spans="1:39" ht="15" customHeight="1" x14ac:dyDescent="0.3">
      <c r="A424" s="185">
        <v>358</v>
      </c>
      <c r="B424" s="235" t="s">
        <v>1656</v>
      </c>
      <c r="C424" s="247" t="s">
        <v>1618</v>
      </c>
      <c r="D424" s="200" t="s">
        <v>1881</v>
      </c>
      <c r="E424" s="269"/>
      <c r="F424" s="282" t="s">
        <v>1597</v>
      </c>
      <c r="G424" s="311" t="s">
        <v>1604</v>
      </c>
      <c r="H424" s="317" t="s">
        <v>138</v>
      </c>
      <c r="I424" s="317">
        <v>1.5</v>
      </c>
      <c r="J424" s="317">
        <v>14</v>
      </c>
      <c r="K424" s="317">
        <v>0</v>
      </c>
      <c r="L424" s="212">
        <v>1</v>
      </c>
      <c r="M424" s="212">
        <f t="shared" si="53"/>
        <v>16.5</v>
      </c>
      <c r="N424" s="212">
        <f t="shared" si="54"/>
        <v>12</v>
      </c>
      <c r="O424" s="212">
        <f t="shared" si="55"/>
        <v>56</v>
      </c>
      <c r="P424" s="212">
        <f t="shared" si="56"/>
        <v>0</v>
      </c>
      <c r="Q424" s="212">
        <f t="shared" si="57"/>
        <v>8</v>
      </c>
      <c r="R424" s="212">
        <f t="shared" si="58"/>
        <v>76</v>
      </c>
      <c r="S424" s="283" t="s">
        <v>1666</v>
      </c>
      <c r="T424" s="284" t="s">
        <v>1664</v>
      </c>
      <c r="U424" s="272">
        <v>60</v>
      </c>
      <c r="V424" s="280">
        <v>62</v>
      </c>
      <c r="W424" s="276">
        <v>44327</v>
      </c>
      <c r="X424" s="277">
        <v>44388</v>
      </c>
      <c r="Y424" s="26">
        <v>44545</v>
      </c>
      <c r="Z424" s="311">
        <f t="shared" si="51"/>
        <v>2021</v>
      </c>
      <c r="AA424" s="311">
        <f t="shared" si="52"/>
        <v>12</v>
      </c>
      <c r="AB424" s="278" t="s">
        <v>310</v>
      </c>
      <c r="AC424" s="288" t="s">
        <v>422</v>
      </c>
      <c r="AD424" s="278" t="s">
        <v>422</v>
      </c>
      <c r="AE424" s="278" t="s">
        <v>422</v>
      </c>
      <c r="AF424" s="278" t="s">
        <v>422</v>
      </c>
      <c r="AG424" s="243" t="s">
        <v>422</v>
      </c>
      <c r="AH424" s="243" t="s">
        <v>423</v>
      </c>
      <c r="AI424" s="243" t="s">
        <v>423</v>
      </c>
      <c r="AJ424" s="243" t="s">
        <v>423</v>
      </c>
      <c r="AK424" s="244" t="s">
        <v>1938</v>
      </c>
      <c r="AL424" s="241"/>
      <c r="AM424" s="242" t="s">
        <v>1749</v>
      </c>
    </row>
    <row r="425" spans="1:39" ht="15" customHeight="1" x14ac:dyDescent="0.3">
      <c r="A425" s="185">
        <v>359</v>
      </c>
      <c r="B425" s="235" t="s">
        <v>1655</v>
      </c>
      <c r="C425" s="247" t="s">
        <v>1618</v>
      </c>
      <c r="D425" s="200" t="s">
        <v>1881</v>
      </c>
      <c r="E425" s="269"/>
      <c r="F425" s="282" t="s">
        <v>1597</v>
      </c>
      <c r="G425" s="311" t="s">
        <v>1604</v>
      </c>
      <c r="H425" s="248" t="s">
        <v>138</v>
      </c>
      <c r="I425" s="317">
        <v>1.5</v>
      </c>
      <c r="J425" s="317">
        <v>14</v>
      </c>
      <c r="K425" s="317">
        <v>0</v>
      </c>
      <c r="L425" s="212">
        <v>1</v>
      </c>
      <c r="M425" s="212">
        <f t="shared" si="53"/>
        <v>16.5</v>
      </c>
      <c r="N425" s="212">
        <f t="shared" si="54"/>
        <v>12</v>
      </c>
      <c r="O425" s="212">
        <f t="shared" si="55"/>
        <v>56</v>
      </c>
      <c r="P425" s="212">
        <f t="shared" si="56"/>
        <v>0</v>
      </c>
      <c r="Q425" s="212">
        <f t="shared" si="57"/>
        <v>8</v>
      </c>
      <c r="R425" s="212">
        <f t="shared" si="58"/>
        <v>76</v>
      </c>
      <c r="S425" s="283" t="s">
        <v>1667</v>
      </c>
      <c r="T425" s="284" t="s">
        <v>1665</v>
      </c>
      <c r="U425" s="272">
        <v>10</v>
      </c>
      <c r="V425" s="280">
        <v>10</v>
      </c>
      <c r="W425" s="276">
        <v>44327</v>
      </c>
      <c r="X425" s="277">
        <v>44388</v>
      </c>
      <c r="Y425" s="26">
        <v>44545</v>
      </c>
      <c r="Z425" s="311">
        <f t="shared" si="51"/>
        <v>2021</v>
      </c>
      <c r="AA425" s="311">
        <f t="shared" si="52"/>
        <v>12</v>
      </c>
      <c r="AB425" s="278" t="s">
        <v>310</v>
      </c>
      <c r="AC425" s="243" t="s">
        <v>422</v>
      </c>
      <c r="AD425" s="278" t="s">
        <v>422</v>
      </c>
      <c r="AE425" s="278" t="s">
        <v>422</v>
      </c>
      <c r="AF425" s="278" t="s">
        <v>422</v>
      </c>
      <c r="AG425" s="243" t="s">
        <v>422</v>
      </c>
      <c r="AH425" s="243" t="s">
        <v>423</v>
      </c>
      <c r="AI425" s="243" t="s">
        <v>423</v>
      </c>
      <c r="AJ425" s="243" t="s">
        <v>423</v>
      </c>
      <c r="AK425" s="244" t="s">
        <v>1938</v>
      </c>
      <c r="AL425" s="241"/>
      <c r="AM425" s="242" t="s">
        <v>1749</v>
      </c>
    </row>
    <row r="426" spans="1:39" ht="15" customHeight="1" x14ac:dyDescent="0.3">
      <c r="A426" s="185">
        <v>386</v>
      </c>
      <c r="B426" s="235" t="s">
        <v>1730</v>
      </c>
      <c r="C426" s="247" t="s">
        <v>1618</v>
      </c>
      <c r="D426" s="200" t="s">
        <v>1881</v>
      </c>
      <c r="E426" s="269"/>
      <c r="F426" s="269" t="s">
        <v>1597</v>
      </c>
      <c r="G426" s="196" t="s">
        <v>1596</v>
      </c>
      <c r="H426" s="248" t="s">
        <v>1424</v>
      </c>
      <c r="I426" s="317">
        <v>2</v>
      </c>
      <c r="J426" s="317"/>
      <c r="K426" s="317">
        <v>29</v>
      </c>
      <c r="L426" s="212">
        <v>1</v>
      </c>
      <c r="M426" s="212">
        <f t="shared" si="53"/>
        <v>32</v>
      </c>
      <c r="N426" s="212">
        <f t="shared" si="54"/>
        <v>16</v>
      </c>
      <c r="O426" s="212">
        <f t="shared" si="55"/>
        <v>0</v>
      </c>
      <c r="P426" s="212">
        <f t="shared" si="56"/>
        <v>193.33333333333334</v>
      </c>
      <c r="Q426" s="212">
        <f t="shared" si="57"/>
        <v>8</v>
      </c>
      <c r="R426" s="212">
        <f t="shared" si="58"/>
        <v>217.33333333333334</v>
      </c>
      <c r="S426" s="283" t="s">
        <v>1742</v>
      </c>
      <c r="T426" s="313" t="s">
        <v>1736</v>
      </c>
      <c r="U426" s="272">
        <v>80</v>
      </c>
      <c r="V426" s="272">
        <v>84</v>
      </c>
      <c r="W426" s="276">
        <v>44397</v>
      </c>
      <c r="X426" s="277">
        <v>44469</v>
      </c>
      <c r="Y426" s="245">
        <v>44545</v>
      </c>
      <c r="Z426" s="311">
        <f t="shared" si="51"/>
        <v>2021</v>
      </c>
      <c r="AA426" s="311">
        <f t="shared" si="52"/>
        <v>12</v>
      </c>
      <c r="AB426" s="243" t="s">
        <v>310</v>
      </c>
      <c r="AC426" s="243" t="s">
        <v>422</v>
      </c>
      <c r="AD426" s="243" t="s">
        <v>422</v>
      </c>
      <c r="AE426" s="243" t="s">
        <v>422</v>
      </c>
      <c r="AF426" s="243" t="s">
        <v>422</v>
      </c>
      <c r="AG426" s="243" t="s">
        <v>422</v>
      </c>
      <c r="AH426" s="243" t="s">
        <v>422</v>
      </c>
      <c r="AI426" s="243" t="s">
        <v>422</v>
      </c>
      <c r="AJ426" s="243" t="s">
        <v>422</v>
      </c>
      <c r="AK426" s="244" t="s">
        <v>1424</v>
      </c>
      <c r="AL426" s="241"/>
      <c r="AM426" s="314" t="s">
        <v>1433</v>
      </c>
    </row>
    <row r="427" spans="1:39" ht="15" customHeight="1" x14ac:dyDescent="0.3">
      <c r="A427" s="185">
        <v>392</v>
      </c>
      <c r="B427" s="235" t="s">
        <v>1757</v>
      </c>
      <c r="C427" s="247" t="s">
        <v>1615</v>
      </c>
      <c r="D427" s="200" t="s">
        <v>1881</v>
      </c>
      <c r="E427" s="269"/>
      <c r="F427" s="269"/>
      <c r="G427" s="196" t="s">
        <v>1596</v>
      </c>
      <c r="H427" s="248"/>
      <c r="I427" s="317"/>
      <c r="J427" s="317"/>
      <c r="K427" s="317">
        <v>25</v>
      </c>
      <c r="L427" s="212">
        <v>1</v>
      </c>
      <c r="M427" s="212">
        <f t="shared" si="53"/>
        <v>26</v>
      </c>
      <c r="N427" s="212">
        <f t="shared" si="54"/>
        <v>0</v>
      </c>
      <c r="O427" s="212">
        <f t="shared" si="55"/>
        <v>0</v>
      </c>
      <c r="P427" s="212">
        <f t="shared" si="56"/>
        <v>166.66666666666669</v>
      </c>
      <c r="Q427" s="212">
        <f t="shared" si="57"/>
        <v>8</v>
      </c>
      <c r="R427" s="212">
        <f t="shared" si="58"/>
        <v>174.66666666666669</v>
      </c>
      <c r="S427" s="283" t="s">
        <v>1765</v>
      </c>
      <c r="T427" s="313" t="s">
        <v>1758</v>
      </c>
      <c r="U427" s="272">
        <v>72</v>
      </c>
      <c r="V427" s="272">
        <v>74</v>
      </c>
      <c r="W427" s="276">
        <v>44418</v>
      </c>
      <c r="X427" s="277">
        <v>44501</v>
      </c>
      <c r="Y427" s="245">
        <v>44560</v>
      </c>
      <c r="Z427" s="311">
        <f t="shared" si="51"/>
        <v>2021</v>
      </c>
      <c r="AA427" s="311">
        <f t="shared" si="52"/>
        <v>12</v>
      </c>
      <c r="AB427" s="243" t="s">
        <v>85</v>
      </c>
      <c r="AC427" s="243" t="s">
        <v>422</v>
      </c>
      <c r="AD427" s="243" t="s">
        <v>422</v>
      </c>
      <c r="AE427" s="243" t="s">
        <v>422</v>
      </c>
      <c r="AF427" s="243" t="s">
        <v>422</v>
      </c>
      <c r="AG427" s="243" t="s">
        <v>422</v>
      </c>
      <c r="AH427" s="243" t="s">
        <v>449</v>
      </c>
      <c r="AI427" s="243" t="s">
        <v>422</v>
      </c>
      <c r="AJ427" s="243" t="s">
        <v>422</v>
      </c>
      <c r="AK427" s="244" t="s">
        <v>355</v>
      </c>
      <c r="AL427" s="241"/>
      <c r="AM427" s="242"/>
    </row>
    <row r="428" spans="1:39" ht="15" customHeight="1" x14ac:dyDescent="0.3">
      <c r="A428" s="185">
        <v>399</v>
      </c>
      <c r="B428" s="235" t="s">
        <v>1787</v>
      </c>
      <c r="C428" s="247" t="s">
        <v>1615</v>
      </c>
      <c r="D428" s="200" t="s">
        <v>1881</v>
      </c>
      <c r="E428" s="269"/>
      <c r="F428" s="269"/>
      <c r="G428" s="311" t="s">
        <v>1604</v>
      </c>
      <c r="H428" s="248"/>
      <c r="I428" s="317"/>
      <c r="J428" s="317"/>
      <c r="K428" s="317">
        <v>0</v>
      </c>
      <c r="L428" s="212">
        <v>1</v>
      </c>
      <c r="M428" s="212">
        <f t="shared" si="53"/>
        <v>1</v>
      </c>
      <c r="N428" s="212">
        <f t="shared" si="54"/>
        <v>0</v>
      </c>
      <c r="O428" s="212">
        <f t="shared" si="55"/>
        <v>0</v>
      </c>
      <c r="P428" s="212">
        <f t="shared" si="56"/>
        <v>0</v>
      </c>
      <c r="Q428" s="212">
        <f t="shared" si="57"/>
        <v>8</v>
      </c>
      <c r="R428" s="212">
        <f t="shared" si="58"/>
        <v>8</v>
      </c>
      <c r="S428" s="283" t="s">
        <v>1788</v>
      </c>
      <c r="T428" s="313" t="s">
        <v>939</v>
      </c>
      <c r="U428" s="272">
        <v>117</v>
      </c>
      <c r="V428" s="272">
        <v>0</v>
      </c>
      <c r="W428" s="276">
        <v>44418</v>
      </c>
      <c r="X428" s="277">
        <v>44423</v>
      </c>
      <c r="Y428" s="245">
        <v>44560</v>
      </c>
      <c r="Z428" s="311">
        <f t="shared" si="51"/>
        <v>2021</v>
      </c>
      <c r="AA428" s="311">
        <f t="shared" si="52"/>
        <v>12</v>
      </c>
      <c r="AB428" s="243" t="s">
        <v>1927</v>
      </c>
      <c r="AC428" s="243" t="s">
        <v>422</v>
      </c>
      <c r="AD428" s="243" t="s">
        <v>422</v>
      </c>
      <c r="AE428" s="243" t="s">
        <v>449</v>
      </c>
      <c r="AF428" s="243" t="s">
        <v>449</v>
      </c>
      <c r="AG428" s="243" t="s">
        <v>449</v>
      </c>
      <c r="AH428" s="243" t="s">
        <v>423</v>
      </c>
      <c r="AI428" s="243" t="s">
        <v>422</v>
      </c>
      <c r="AJ428" s="243" t="s">
        <v>423</v>
      </c>
      <c r="AK428" s="244"/>
      <c r="AL428" s="241"/>
      <c r="AM428" s="242"/>
    </row>
    <row r="429" spans="1:39" ht="15" customHeight="1" x14ac:dyDescent="0.3">
      <c r="A429" s="185">
        <v>404</v>
      </c>
      <c r="B429" s="235" t="s">
        <v>1796</v>
      </c>
      <c r="C429" s="281" t="s">
        <v>1618</v>
      </c>
      <c r="D429" s="200" t="s">
        <v>1881</v>
      </c>
      <c r="E429" s="269"/>
      <c r="F429" s="269"/>
      <c r="G429" s="311" t="s">
        <v>1604</v>
      </c>
      <c r="H429" s="248"/>
      <c r="I429" s="248"/>
      <c r="J429" s="248"/>
      <c r="K429" s="248">
        <v>0</v>
      </c>
      <c r="L429" s="212">
        <v>1</v>
      </c>
      <c r="M429" s="212">
        <f t="shared" si="53"/>
        <v>1</v>
      </c>
      <c r="N429" s="212">
        <f t="shared" si="54"/>
        <v>0</v>
      </c>
      <c r="O429" s="212">
        <f t="shared" si="55"/>
        <v>0</v>
      </c>
      <c r="P429" s="212">
        <f t="shared" si="56"/>
        <v>0</v>
      </c>
      <c r="Q429" s="212">
        <f t="shared" si="57"/>
        <v>8</v>
      </c>
      <c r="R429" s="212">
        <f t="shared" si="58"/>
        <v>8</v>
      </c>
      <c r="S429" s="286" t="s">
        <v>1712</v>
      </c>
      <c r="T429" s="313" t="s">
        <v>1713</v>
      </c>
      <c r="U429" s="272">
        <v>85</v>
      </c>
      <c r="V429" s="272">
        <v>0</v>
      </c>
      <c r="W429" s="276">
        <v>44414</v>
      </c>
      <c r="X429" s="277">
        <v>44506</v>
      </c>
      <c r="Y429" s="245">
        <v>44560</v>
      </c>
      <c r="Z429" s="311">
        <f t="shared" si="51"/>
        <v>2021</v>
      </c>
      <c r="AA429" s="311">
        <f t="shared" si="52"/>
        <v>12</v>
      </c>
      <c r="AB429" s="243" t="s">
        <v>1927</v>
      </c>
      <c r="AC429" s="243" t="s">
        <v>1832</v>
      </c>
      <c r="AD429" s="243"/>
      <c r="AE429" s="243"/>
      <c r="AF429" s="243"/>
      <c r="AG429" s="243"/>
      <c r="AH429" s="243"/>
      <c r="AI429" s="243"/>
      <c r="AJ429" s="243"/>
      <c r="AK429" s="244"/>
      <c r="AL429" s="241"/>
      <c r="AM429" s="242"/>
    </row>
    <row r="430" spans="1:39" ht="15" customHeight="1" x14ac:dyDescent="0.3">
      <c r="A430" s="185">
        <v>405</v>
      </c>
      <c r="B430" s="235" t="s">
        <v>1797</v>
      </c>
      <c r="C430" s="281" t="s">
        <v>1618</v>
      </c>
      <c r="D430" s="200" t="s">
        <v>1881</v>
      </c>
      <c r="E430" s="269"/>
      <c r="F430" s="269"/>
      <c r="G430" s="311" t="s">
        <v>1604</v>
      </c>
      <c r="H430" s="248"/>
      <c r="I430" s="248"/>
      <c r="J430" s="248"/>
      <c r="K430" s="248">
        <v>0</v>
      </c>
      <c r="L430" s="212">
        <v>1</v>
      </c>
      <c r="M430" s="212">
        <f t="shared" si="53"/>
        <v>1</v>
      </c>
      <c r="N430" s="212">
        <f t="shared" si="54"/>
        <v>0</v>
      </c>
      <c r="O430" s="212">
        <f t="shared" si="55"/>
        <v>0</v>
      </c>
      <c r="P430" s="212">
        <f t="shared" si="56"/>
        <v>0</v>
      </c>
      <c r="Q430" s="212">
        <f t="shared" si="57"/>
        <v>8</v>
      </c>
      <c r="R430" s="212">
        <f t="shared" si="58"/>
        <v>8</v>
      </c>
      <c r="S430" s="286" t="s">
        <v>1883</v>
      </c>
      <c r="T430" s="313" t="s">
        <v>1882</v>
      </c>
      <c r="U430" s="272">
        <v>70</v>
      </c>
      <c r="V430" s="272">
        <v>0</v>
      </c>
      <c r="W430" s="276">
        <v>44414</v>
      </c>
      <c r="X430" s="277">
        <v>44506</v>
      </c>
      <c r="Y430" s="245">
        <v>44560</v>
      </c>
      <c r="Z430" s="311">
        <f t="shared" si="51"/>
        <v>2021</v>
      </c>
      <c r="AA430" s="311">
        <f t="shared" si="52"/>
        <v>12</v>
      </c>
      <c r="AB430" s="243" t="s">
        <v>1927</v>
      </c>
      <c r="AC430" s="243" t="s">
        <v>1832</v>
      </c>
      <c r="AD430" s="243"/>
      <c r="AE430" s="243"/>
      <c r="AF430" s="243"/>
      <c r="AG430" s="243"/>
      <c r="AH430" s="243"/>
      <c r="AI430" s="243"/>
      <c r="AJ430" s="243"/>
      <c r="AK430" s="244"/>
      <c r="AL430" s="241"/>
      <c r="AM430" s="242"/>
    </row>
    <row r="431" spans="1:39" ht="15" customHeight="1" x14ac:dyDescent="0.3">
      <c r="A431" s="185">
        <v>406</v>
      </c>
      <c r="B431" s="235" t="s">
        <v>1798</v>
      </c>
      <c r="C431" s="281" t="s">
        <v>1618</v>
      </c>
      <c r="D431" s="200" t="s">
        <v>1881</v>
      </c>
      <c r="E431" s="269"/>
      <c r="F431" s="269"/>
      <c r="G431" s="311" t="s">
        <v>1604</v>
      </c>
      <c r="H431" s="248"/>
      <c r="I431" s="317"/>
      <c r="J431" s="317"/>
      <c r="K431" s="317">
        <v>0</v>
      </c>
      <c r="L431" s="212">
        <v>1</v>
      </c>
      <c r="M431" s="212">
        <f t="shared" si="53"/>
        <v>1</v>
      </c>
      <c r="N431" s="212">
        <f t="shared" si="54"/>
        <v>0</v>
      </c>
      <c r="O431" s="212">
        <f t="shared" si="55"/>
        <v>0</v>
      </c>
      <c r="P431" s="212">
        <f t="shared" si="56"/>
        <v>0</v>
      </c>
      <c r="Q431" s="212">
        <f t="shared" si="57"/>
        <v>8</v>
      </c>
      <c r="R431" s="212">
        <f t="shared" si="58"/>
        <v>8</v>
      </c>
      <c r="S431" s="283" t="s">
        <v>1886</v>
      </c>
      <c r="T431" s="313" t="s">
        <v>1884</v>
      </c>
      <c r="U431" s="272">
        <v>85</v>
      </c>
      <c r="V431" s="272">
        <v>0</v>
      </c>
      <c r="W431" s="276">
        <v>44414</v>
      </c>
      <c r="X431" s="277">
        <v>44506</v>
      </c>
      <c r="Y431" s="245">
        <v>44560</v>
      </c>
      <c r="Z431" s="311">
        <f t="shared" si="51"/>
        <v>2021</v>
      </c>
      <c r="AA431" s="311">
        <f t="shared" si="52"/>
        <v>12</v>
      </c>
      <c r="AB431" s="243" t="s">
        <v>1927</v>
      </c>
      <c r="AC431" s="243" t="s">
        <v>1832</v>
      </c>
      <c r="AD431" s="243"/>
      <c r="AE431" s="243"/>
      <c r="AF431" s="243"/>
      <c r="AG431" s="243"/>
      <c r="AH431" s="243"/>
      <c r="AI431" s="243"/>
      <c r="AJ431" s="243"/>
      <c r="AK431" s="244"/>
      <c r="AL431" s="241"/>
      <c r="AM431" s="242"/>
    </row>
    <row r="432" spans="1:39" ht="15" customHeight="1" x14ac:dyDescent="0.3">
      <c r="A432" s="185">
        <v>407</v>
      </c>
      <c r="B432" s="235" t="s">
        <v>1799</v>
      </c>
      <c r="C432" s="281" t="s">
        <v>1618</v>
      </c>
      <c r="D432" s="200" t="s">
        <v>1881</v>
      </c>
      <c r="E432" s="269"/>
      <c r="F432" s="269"/>
      <c r="G432" s="311" t="s">
        <v>1604</v>
      </c>
      <c r="H432" s="248"/>
      <c r="I432" s="317"/>
      <c r="J432" s="317"/>
      <c r="K432" s="317">
        <v>0</v>
      </c>
      <c r="L432" s="212">
        <v>1</v>
      </c>
      <c r="M432" s="212">
        <f t="shared" si="53"/>
        <v>1</v>
      </c>
      <c r="N432" s="212">
        <f t="shared" si="54"/>
        <v>0</v>
      </c>
      <c r="O432" s="212">
        <f t="shared" si="55"/>
        <v>0</v>
      </c>
      <c r="P432" s="212">
        <f t="shared" si="56"/>
        <v>0</v>
      </c>
      <c r="Q432" s="212">
        <f t="shared" si="57"/>
        <v>8</v>
      </c>
      <c r="R432" s="212">
        <f t="shared" si="58"/>
        <v>8</v>
      </c>
      <c r="S432" s="283" t="s">
        <v>1440</v>
      </c>
      <c r="T432" s="313" t="s">
        <v>1885</v>
      </c>
      <c r="U432" s="272">
        <v>70</v>
      </c>
      <c r="V432" s="272">
        <v>0</v>
      </c>
      <c r="W432" s="276">
        <v>44414</v>
      </c>
      <c r="X432" s="277">
        <v>44506</v>
      </c>
      <c r="Y432" s="245">
        <v>44560</v>
      </c>
      <c r="Z432" s="311">
        <f t="shared" si="51"/>
        <v>2021</v>
      </c>
      <c r="AA432" s="311">
        <f t="shared" si="52"/>
        <v>12</v>
      </c>
      <c r="AB432" s="243" t="s">
        <v>1927</v>
      </c>
      <c r="AC432" s="243" t="s">
        <v>1832</v>
      </c>
      <c r="AD432" s="243"/>
      <c r="AE432" s="243"/>
      <c r="AF432" s="243"/>
      <c r="AG432" s="243"/>
      <c r="AH432" s="243"/>
      <c r="AI432" s="243"/>
      <c r="AJ432" s="243"/>
      <c r="AK432" s="244"/>
      <c r="AL432" s="241"/>
      <c r="AM432" s="242"/>
    </row>
    <row r="433" spans="1:39" ht="15" customHeight="1" x14ac:dyDescent="0.3">
      <c r="A433" s="185">
        <v>409</v>
      </c>
      <c r="B433" s="235" t="s">
        <v>1801</v>
      </c>
      <c r="C433" s="281" t="s">
        <v>1618</v>
      </c>
      <c r="D433" s="200" t="s">
        <v>1881</v>
      </c>
      <c r="E433" s="269"/>
      <c r="F433" s="269"/>
      <c r="G433" s="311" t="s">
        <v>1604</v>
      </c>
      <c r="H433" s="248" t="s">
        <v>138</v>
      </c>
      <c r="I433" s="319"/>
      <c r="J433" s="317">
        <v>14</v>
      </c>
      <c r="K433" s="317">
        <v>0</v>
      </c>
      <c r="L433" s="212">
        <v>1</v>
      </c>
      <c r="M433" s="212">
        <f t="shared" si="53"/>
        <v>15</v>
      </c>
      <c r="N433" s="212">
        <f t="shared" si="54"/>
        <v>0</v>
      </c>
      <c r="O433" s="212">
        <f t="shared" si="55"/>
        <v>56</v>
      </c>
      <c r="P433" s="212">
        <f t="shared" si="56"/>
        <v>0</v>
      </c>
      <c r="Q433" s="212">
        <f t="shared" si="57"/>
        <v>8</v>
      </c>
      <c r="R433" s="212">
        <f t="shared" si="58"/>
        <v>64</v>
      </c>
      <c r="S433" s="283" t="s">
        <v>1670</v>
      </c>
      <c r="T433" s="313" t="s">
        <v>1668</v>
      </c>
      <c r="U433" s="272">
        <v>110</v>
      </c>
      <c r="V433" s="272">
        <v>42</v>
      </c>
      <c r="W433" s="276">
        <v>44414</v>
      </c>
      <c r="X433" s="277">
        <v>44506</v>
      </c>
      <c r="Y433" s="245">
        <v>44560</v>
      </c>
      <c r="Z433" s="311">
        <f t="shared" si="51"/>
        <v>2021</v>
      </c>
      <c r="AA433" s="311">
        <f t="shared" si="52"/>
        <v>12</v>
      </c>
      <c r="AB433" s="243" t="s">
        <v>1927</v>
      </c>
      <c r="AC433" s="243" t="s">
        <v>1832</v>
      </c>
      <c r="AD433" s="243" t="s">
        <v>449</v>
      </c>
      <c r="AE433" s="243" t="s">
        <v>422</v>
      </c>
      <c r="AF433" s="243" t="s">
        <v>422</v>
      </c>
      <c r="AG433" s="243" t="s">
        <v>423</v>
      </c>
      <c r="AH433" s="243" t="s">
        <v>423</v>
      </c>
      <c r="AI433" s="243" t="s">
        <v>423</v>
      </c>
      <c r="AJ433" s="243" t="s">
        <v>423</v>
      </c>
      <c r="AK433" s="244" t="s">
        <v>138</v>
      </c>
      <c r="AL433" s="241"/>
      <c r="AM433" s="242"/>
    </row>
    <row r="434" spans="1:39" ht="15" customHeight="1" x14ac:dyDescent="0.3">
      <c r="A434" s="185">
        <v>442</v>
      </c>
      <c r="B434" s="235" t="s">
        <v>1901</v>
      </c>
      <c r="C434" s="281" t="s">
        <v>1615</v>
      </c>
      <c r="D434" s="200" t="s">
        <v>1881</v>
      </c>
      <c r="E434" s="269"/>
      <c r="F434" s="269"/>
      <c r="G434" s="311" t="s">
        <v>1604</v>
      </c>
      <c r="H434" s="248"/>
      <c r="I434" s="319"/>
      <c r="J434" s="317"/>
      <c r="K434" s="317">
        <v>0</v>
      </c>
      <c r="L434" s="212">
        <v>1</v>
      </c>
      <c r="M434" s="212">
        <f t="shared" si="53"/>
        <v>1</v>
      </c>
      <c r="N434" s="212">
        <f t="shared" si="54"/>
        <v>0</v>
      </c>
      <c r="O434" s="212">
        <f t="shared" si="55"/>
        <v>0</v>
      </c>
      <c r="P434" s="212">
        <f t="shared" si="56"/>
        <v>0</v>
      </c>
      <c r="Q434" s="212">
        <f t="shared" si="57"/>
        <v>8</v>
      </c>
      <c r="R434" s="212">
        <f t="shared" si="58"/>
        <v>8</v>
      </c>
      <c r="S434" s="270" t="s">
        <v>1904</v>
      </c>
      <c r="T434" s="284" t="s">
        <v>1081</v>
      </c>
      <c r="U434" s="272">
        <v>160</v>
      </c>
      <c r="V434" s="272">
        <v>0</v>
      </c>
      <c r="W434" s="276">
        <v>44488</v>
      </c>
      <c r="X434" s="277">
        <v>44531</v>
      </c>
      <c r="Y434" s="245">
        <v>44560</v>
      </c>
      <c r="Z434" s="311">
        <f t="shared" si="51"/>
        <v>2021</v>
      </c>
      <c r="AA434" s="311">
        <f t="shared" si="52"/>
        <v>12</v>
      </c>
      <c r="AB434" s="243" t="s">
        <v>1950</v>
      </c>
      <c r="AC434" s="243" t="s">
        <v>422</v>
      </c>
      <c r="AD434" s="243" t="s">
        <v>422</v>
      </c>
      <c r="AE434" s="243" t="s">
        <v>449</v>
      </c>
      <c r="AF434" s="243" t="s">
        <v>449</v>
      </c>
      <c r="AG434" s="243" t="s">
        <v>449</v>
      </c>
      <c r="AH434" s="243" t="s">
        <v>423</v>
      </c>
      <c r="AI434" s="243" t="s">
        <v>423</v>
      </c>
      <c r="AJ434" s="243" t="s">
        <v>423</v>
      </c>
      <c r="AK434" s="244"/>
      <c r="AL434" s="33"/>
      <c r="AM434" s="33"/>
    </row>
    <row r="435" spans="1:39" ht="15" customHeight="1" x14ac:dyDescent="0.3">
      <c r="A435" s="185">
        <v>443</v>
      </c>
      <c r="B435" s="235" t="s">
        <v>1903</v>
      </c>
      <c r="C435" s="281" t="s">
        <v>1615</v>
      </c>
      <c r="D435" s="200" t="s">
        <v>1881</v>
      </c>
      <c r="E435" s="269"/>
      <c r="F435" s="269"/>
      <c r="G435" s="311" t="s">
        <v>1604</v>
      </c>
      <c r="H435" s="248"/>
      <c r="I435" s="317"/>
      <c r="J435" s="317"/>
      <c r="K435" s="317">
        <v>0</v>
      </c>
      <c r="L435" s="212">
        <v>1</v>
      </c>
      <c r="M435" s="212">
        <f t="shared" si="53"/>
        <v>1</v>
      </c>
      <c r="N435" s="212">
        <f t="shared" si="54"/>
        <v>0</v>
      </c>
      <c r="O435" s="212">
        <f t="shared" si="55"/>
        <v>0</v>
      </c>
      <c r="P435" s="212">
        <f t="shared" si="56"/>
        <v>0</v>
      </c>
      <c r="Q435" s="212">
        <f t="shared" si="57"/>
        <v>8</v>
      </c>
      <c r="R435" s="212">
        <f t="shared" si="58"/>
        <v>8</v>
      </c>
      <c r="S435" s="270" t="s">
        <v>1905</v>
      </c>
      <c r="T435" s="284" t="s">
        <v>1082</v>
      </c>
      <c r="U435" s="272">
        <v>79</v>
      </c>
      <c r="V435" s="272">
        <v>0</v>
      </c>
      <c r="W435" s="276">
        <v>44488</v>
      </c>
      <c r="X435" s="277">
        <v>44531</v>
      </c>
      <c r="Y435" s="245">
        <v>44560</v>
      </c>
      <c r="Z435" s="311">
        <f t="shared" si="51"/>
        <v>2021</v>
      </c>
      <c r="AA435" s="311">
        <f t="shared" si="52"/>
        <v>12</v>
      </c>
      <c r="AB435" s="243" t="s">
        <v>1950</v>
      </c>
      <c r="AC435" s="243" t="s">
        <v>422</v>
      </c>
      <c r="AD435" s="243" t="s">
        <v>422</v>
      </c>
      <c r="AE435" s="243" t="s">
        <v>449</v>
      </c>
      <c r="AF435" s="243" t="s">
        <v>449</v>
      </c>
      <c r="AG435" s="243" t="s">
        <v>449</v>
      </c>
      <c r="AH435" s="243" t="s">
        <v>423</v>
      </c>
      <c r="AI435" s="243" t="s">
        <v>423</v>
      </c>
      <c r="AJ435" s="243" t="s">
        <v>423</v>
      </c>
      <c r="AK435" s="244"/>
      <c r="AL435" s="241"/>
      <c r="AM435" s="242"/>
    </row>
    <row r="436" spans="1:39" ht="15" customHeight="1" x14ac:dyDescent="0.3">
      <c r="A436" s="185">
        <v>444</v>
      </c>
      <c r="B436" s="235" t="s">
        <v>1902</v>
      </c>
      <c r="C436" s="281" t="s">
        <v>1615</v>
      </c>
      <c r="D436" s="200" t="s">
        <v>1881</v>
      </c>
      <c r="E436" s="269"/>
      <c r="F436" s="269" t="s">
        <v>422</v>
      </c>
      <c r="G436" s="311" t="s">
        <v>1604</v>
      </c>
      <c r="H436" s="248"/>
      <c r="I436" s="317">
        <v>2</v>
      </c>
      <c r="J436" s="317"/>
      <c r="K436" s="317">
        <v>0</v>
      </c>
      <c r="L436" s="212">
        <v>1</v>
      </c>
      <c r="M436" s="212">
        <f t="shared" si="53"/>
        <v>3</v>
      </c>
      <c r="N436" s="212">
        <f t="shared" si="54"/>
        <v>16</v>
      </c>
      <c r="O436" s="212">
        <f t="shared" si="55"/>
        <v>0</v>
      </c>
      <c r="P436" s="212">
        <f t="shared" si="56"/>
        <v>0</v>
      </c>
      <c r="Q436" s="212">
        <f t="shared" si="57"/>
        <v>8</v>
      </c>
      <c r="R436" s="212">
        <f t="shared" si="58"/>
        <v>24</v>
      </c>
      <c r="S436" s="270" t="s">
        <v>1907</v>
      </c>
      <c r="T436" s="284" t="s">
        <v>1299</v>
      </c>
      <c r="U436" s="272">
        <v>162</v>
      </c>
      <c r="V436" s="272">
        <v>0</v>
      </c>
      <c r="W436" s="276">
        <v>44488</v>
      </c>
      <c r="X436" s="277">
        <v>44531</v>
      </c>
      <c r="Y436" s="245">
        <v>44560</v>
      </c>
      <c r="Z436" s="311">
        <f t="shared" si="51"/>
        <v>2021</v>
      </c>
      <c r="AA436" s="311">
        <f t="shared" si="52"/>
        <v>12</v>
      </c>
      <c r="AB436" s="243" t="s">
        <v>1951</v>
      </c>
      <c r="AC436" s="243" t="s">
        <v>422</v>
      </c>
      <c r="AD436" s="243" t="s">
        <v>422</v>
      </c>
      <c r="AE436" s="243" t="s">
        <v>422</v>
      </c>
      <c r="AF436" s="243" t="s">
        <v>449</v>
      </c>
      <c r="AG436" s="243" t="s">
        <v>449</v>
      </c>
      <c r="AH436" s="243" t="s">
        <v>423</v>
      </c>
      <c r="AI436" s="243" t="s">
        <v>423</v>
      </c>
      <c r="AJ436" s="243" t="s">
        <v>423</v>
      </c>
      <c r="AK436" s="244" t="s">
        <v>140</v>
      </c>
      <c r="AL436" s="241"/>
      <c r="AM436" s="242"/>
    </row>
    <row r="437" spans="1:39" ht="15" customHeight="1" x14ac:dyDescent="0.3">
      <c r="A437" s="185">
        <v>445</v>
      </c>
      <c r="B437" s="235" t="s">
        <v>1906</v>
      </c>
      <c r="C437" s="281" t="s">
        <v>1615</v>
      </c>
      <c r="D437" s="200" t="s">
        <v>1881</v>
      </c>
      <c r="E437" s="269"/>
      <c r="F437" s="269"/>
      <c r="G437" s="311" t="s">
        <v>1604</v>
      </c>
      <c r="H437" s="248"/>
      <c r="I437" s="317"/>
      <c r="J437" s="317"/>
      <c r="K437" s="317">
        <v>0</v>
      </c>
      <c r="L437" s="212">
        <v>1</v>
      </c>
      <c r="M437" s="212">
        <f t="shared" si="53"/>
        <v>1</v>
      </c>
      <c r="N437" s="212">
        <f t="shared" si="54"/>
        <v>0</v>
      </c>
      <c r="O437" s="212">
        <f t="shared" si="55"/>
        <v>0</v>
      </c>
      <c r="P437" s="212">
        <f t="shared" si="56"/>
        <v>0</v>
      </c>
      <c r="Q437" s="212">
        <f t="shared" si="57"/>
        <v>8</v>
      </c>
      <c r="R437" s="212">
        <f t="shared" si="58"/>
        <v>8</v>
      </c>
      <c r="S437" s="270" t="s">
        <v>1908</v>
      </c>
      <c r="T437" s="284" t="s">
        <v>1909</v>
      </c>
      <c r="U437" s="272">
        <v>60</v>
      </c>
      <c r="V437" s="272">
        <v>0</v>
      </c>
      <c r="W437" s="276">
        <v>44488</v>
      </c>
      <c r="X437" s="277">
        <v>44531</v>
      </c>
      <c r="Y437" s="245">
        <v>44560</v>
      </c>
      <c r="Z437" s="311">
        <f t="shared" si="51"/>
        <v>2021</v>
      </c>
      <c r="AA437" s="311">
        <f t="shared" si="52"/>
        <v>12</v>
      </c>
      <c r="AB437" s="243" t="s">
        <v>1927</v>
      </c>
      <c r="AC437" s="243" t="s">
        <v>449</v>
      </c>
      <c r="AD437" s="243" t="s">
        <v>422</v>
      </c>
      <c r="AE437" s="243" t="s">
        <v>422</v>
      </c>
      <c r="AF437" s="243" t="s">
        <v>449</v>
      </c>
      <c r="AG437" s="243" t="s">
        <v>449</v>
      </c>
      <c r="AH437" s="243" t="s">
        <v>423</v>
      </c>
      <c r="AI437" s="243" t="s">
        <v>423</v>
      </c>
      <c r="AJ437" s="243" t="s">
        <v>423</v>
      </c>
      <c r="AK437" s="244"/>
      <c r="AL437" s="241"/>
      <c r="AM437" s="242"/>
    </row>
    <row r="438" spans="1:39" ht="15" customHeight="1" x14ac:dyDescent="0.3">
      <c r="A438" s="185">
        <v>446</v>
      </c>
      <c r="B438" s="235" t="s">
        <v>1913</v>
      </c>
      <c r="C438" s="281" t="s">
        <v>1615</v>
      </c>
      <c r="D438" s="200" t="s">
        <v>1881</v>
      </c>
      <c r="E438" s="269"/>
      <c r="F438" s="269" t="s">
        <v>422</v>
      </c>
      <c r="G438" s="311" t="s">
        <v>1604</v>
      </c>
      <c r="H438" s="248" t="s">
        <v>1596</v>
      </c>
      <c r="I438" s="317">
        <v>2.5</v>
      </c>
      <c r="J438" s="317">
        <v>14</v>
      </c>
      <c r="K438" s="317">
        <v>0</v>
      </c>
      <c r="L438" s="212">
        <v>1</v>
      </c>
      <c r="M438" s="212">
        <f t="shared" si="53"/>
        <v>17.5</v>
      </c>
      <c r="N438" s="212">
        <f t="shared" si="54"/>
        <v>20</v>
      </c>
      <c r="O438" s="212">
        <f t="shared" si="55"/>
        <v>56</v>
      </c>
      <c r="P438" s="212">
        <f t="shared" si="56"/>
        <v>0</v>
      </c>
      <c r="Q438" s="212">
        <f t="shared" si="57"/>
        <v>8</v>
      </c>
      <c r="R438" s="212">
        <f t="shared" si="58"/>
        <v>84</v>
      </c>
      <c r="S438" s="270" t="s">
        <v>1914</v>
      </c>
      <c r="T438" s="284" t="s">
        <v>1637</v>
      </c>
      <c r="U438" s="272">
        <v>92</v>
      </c>
      <c r="V438" s="272">
        <v>0</v>
      </c>
      <c r="W438" s="276">
        <v>44488</v>
      </c>
      <c r="X438" s="277">
        <v>44531</v>
      </c>
      <c r="Y438" s="245">
        <v>44560</v>
      </c>
      <c r="Z438" s="311">
        <f t="shared" si="51"/>
        <v>2021</v>
      </c>
      <c r="AA438" s="311">
        <f t="shared" si="52"/>
        <v>12</v>
      </c>
      <c r="AB438" s="243" t="s">
        <v>310</v>
      </c>
      <c r="AC438" s="243" t="s">
        <v>422</v>
      </c>
      <c r="AD438" s="243" t="s">
        <v>422</v>
      </c>
      <c r="AE438" s="243" t="s">
        <v>422</v>
      </c>
      <c r="AF438" s="243" t="s">
        <v>449</v>
      </c>
      <c r="AG438" s="243" t="s">
        <v>449</v>
      </c>
      <c r="AH438" s="243" t="s">
        <v>423</v>
      </c>
      <c r="AI438" s="243" t="s">
        <v>449</v>
      </c>
      <c r="AJ438" s="243" t="s">
        <v>423</v>
      </c>
      <c r="AK438" s="244" t="s">
        <v>1911</v>
      </c>
      <c r="AL438" s="33"/>
      <c r="AM438" s="33"/>
    </row>
    <row r="439" spans="1:39" ht="15" customHeight="1" x14ac:dyDescent="0.3">
      <c r="B439" s="235"/>
      <c r="C439" s="281"/>
      <c r="D439" s="200"/>
      <c r="E439" s="269"/>
      <c r="F439" s="269"/>
      <c r="G439" s="311"/>
      <c r="H439" s="248"/>
      <c r="I439" s="317"/>
      <c r="J439" s="317"/>
      <c r="K439" s="317"/>
      <c r="L439" s="212"/>
      <c r="M439" s="212">
        <f t="shared" si="53"/>
        <v>0</v>
      </c>
      <c r="N439" s="212"/>
      <c r="O439" s="212"/>
      <c r="P439" s="212"/>
      <c r="Q439" s="212"/>
      <c r="R439" s="212"/>
      <c r="S439" s="270"/>
      <c r="T439" s="284"/>
      <c r="U439" s="272"/>
      <c r="V439" s="272"/>
      <c r="W439" s="276"/>
      <c r="X439" s="277"/>
      <c r="Y439" s="245"/>
      <c r="Z439" s="311"/>
      <c r="AA439" s="311"/>
      <c r="AB439" s="243"/>
      <c r="AC439" s="243"/>
      <c r="AD439" s="243"/>
      <c r="AE439" s="243"/>
      <c r="AF439" s="243"/>
      <c r="AG439" s="243"/>
      <c r="AH439" s="243"/>
      <c r="AI439" s="243"/>
      <c r="AJ439" s="243"/>
      <c r="AK439" s="244"/>
      <c r="AL439" s="33"/>
      <c r="AM439" s="33"/>
    </row>
    <row r="440" spans="1:39" ht="15" customHeight="1" x14ac:dyDescent="0.3">
      <c r="B440" s="235"/>
      <c r="C440" s="281"/>
      <c r="D440" s="200"/>
      <c r="E440" s="269"/>
      <c r="F440" s="269"/>
      <c r="G440" s="311"/>
      <c r="H440" s="248"/>
      <c r="I440" s="317"/>
      <c r="J440" s="317"/>
      <c r="K440" s="317"/>
      <c r="L440" s="212"/>
      <c r="M440" s="212">
        <f t="shared" si="53"/>
        <v>0</v>
      </c>
      <c r="N440" s="212"/>
      <c r="O440" s="212"/>
      <c r="P440" s="212"/>
      <c r="Q440" s="212"/>
      <c r="R440" s="212"/>
      <c r="S440" s="270"/>
      <c r="T440" s="284"/>
      <c r="U440" s="272"/>
      <c r="V440" s="272"/>
      <c r="W440" s="276"/>
      <c r="X440" s="277"/>
      <c r="Y440" s="245"/>
      <c r="Z440" s="311"/>
      <c r="AA440" s="311"/>
      <c r="AB440" s="243"/>
      <c r="AC440" s="243"/>
      <c r="AD440" s="243"/>
      <c r="AE440" s="243"/>
      <c r="AF440" s="243"/>
      <c r="AG440" s="243"/>
      <c r="AH440" s="243"/>
      <c r="AI440" s="243"/>
      <c r="AJ440" s="243"/>
      <c r="AK440" s="244"/>
      <c r="AL440" s="33"/>
      <c r="AM440" s="33"/>
    </row>
    <row r="441" spans="1:39" ht="15" customHeight="1" x14ac:dyDescent="0.3">
      <c r="B441" s="235"/>
      <c r="C441" s="281"/>
      <c r="D441" s="200"/>
      <c r="E441" s="269"/>
      <c r="F441" s="269"/>
      <c r="G441" s="311"/>
      <c r="H441" s="248"/>
      <c r="I441" s="317"/>
      <c r="J441" s="317"/>
      <c r="K441" s="317"/>
      <c r="L441" s="212"/>
      <c r="M441" s="212">
        <f t="shared" si="53"/>
        <v>0</v>
      </c>
      <c r="N441" s="212"/>
      <c r="O441" s="212"/>
      <c r="P441" s="212"/>
      <c r="Q441" s="212"/>
      <c r="R441" s="212"/>
      <c r="S441" s="270"/>
      <c r="T441" s="284"/>
      <c r="U441" s="272"/>
      <c r="V441" s="272"/>
      <c r="W441" s="276"/>
      <c r="X441" s="277"/>
      <c r="Y441" s="245"/>
      <c r="Z441" s="311"/>
      <c r="AA441" s="311"/>
      <c r="AB441" s="243"/>
      <c r="AC441" s="243"/>
      <c r="AD441" s="243"/>
      <c r="AE441" s="243"/>
      <c r="AF441" s="243"/>
      <c r="AG441" s="243"/>
      <c r="AH441" s="243"/>
      <c r="AI441" s="243"/>
      <c r="AJ441" s="243"/>
      <c r="AK441" s="244"/>
      <c r="AL441" s="33"/>
      <c r="AM441" s="33"/>
    </row>
    <row r="442" spans="1:39" ht="15" customHeight="1" x14ac:dyDescent="0.3">
      <c r="B442" s="235"/>
      <c r="C442" s="281"/>
      <c r="D442" s="200"/>
      <c r="E442" s="269"/>
      <c r="F442" s="269"/>
      <c r="G442" s="311"/>
      <c r="H442" s="248"/>
      <c r="I442" s="317"/>
      <c r="J442" s="317"/>
      <c r="K442" s="317"/>
      <c r="L442" s="212"/>
      <c r="M442" s="212">
        <f t="shared" si="53"/>
        <v>0</v>
      </c>
      <c r="N442" s="212"/>
      <c r="O442" s="212"/>
      <c r="P442" s="212"/>
      <c r="Q442" s="212"/>
      <c r="R442" s="212"/>
      <c r="S442" s="270"/>
      <c r="T442" s="284"/>
      <c r="U442" s="272"/>
      <c r="V442" s="272"/>
      <c r="W442" s="276"/>
      <c r="X442" s="277"/>
      <c r="Y442" s="245"/>
      <c r="Z442" s="311"/>
      <c r="AA442" s="311"/>
      <c r="AB442" s="243"/>
      <c r="AC442" s="243"/>
      <c r="AD442" s="243"/>
      <c r="AE442" s="243"/>
      <c r="AF442" s="243"/>
      <c r="AG442" s="243"/>
      <c r="AH442" s="243"/>
      <c r="AI442" s="243"/>
      <c r="AJ442" s="243"/>
      <c r="AK442" s="244"/>
      <c r="AL442" s="33"/>
      <c r="AM442" s="33"/>
    </row>
    <row r="443" spans="1:39" ht="15" customHeight="1" x14ac:dyDescent="0.3">
      <c r="B443" s="235"/>
      <c r="C443" s="281"/>
      <c r="D443" s="200"/>
      <c r="E443" s="269"/>
      <c r="F443" s="269"/>
      <c r="G443" s="311"/>
      <c r="H443" s="248"/>
      <c r="I443" s="317"/>
      <c r="J443" s="317"/>
      <c r="K443" s="317"/>
      <c r="L443" s="212"/>
      <c r="M443" s="212">
        <f t="shared" si="53"/>
        <v>0</v>
      </c>
      <c r="N443" s="212"/>
      <c r="O443" s="212"/>
      <c r="P443" s="212"/>
      <c r="Q443" s="212"/>
      <c r="R443" s="212"/>
      <c r="S443" s="270"/>
      <c r="T443" s="284"/>
      <c r="U443" s="272"/>
      <c r="V443" s="272"/>
      <c r="W443" s="276"/>
      <c r="X443" s="277"/>
      <c r="Y443" s="245"/>
      <c r="Z443" s="311"/>
      <c r="AA443" s="311"/>
      <c r="AB443" s="243"/>
      <c r="AC443" s="243"/>
      <c r="AD443" s="243"/>
      <c r="AE443" s="243"/>
      <c r="AF443" s="243"/>
      <c r="AG443" s="243"/>
      <c r="AH443" s="243"/>
      <c r="AI443" s="243"/>
      <c r="AJ443" s="243"/>
      <c r="AK443" s="244"/>
      <c r="AL443" s="33"/>
      <c r="AM443" s="33"/>
    </row>
    <row r="444" spans="1:39" ht="15" customHeight="1" x14ac:dyDescent="0.3">
      <c r="B444" s="235"/>
      <c r="C444" s="281"/>
      <c r="D444" s="200"/>
      <c r="E444" s="269"/>
      <c r="F444" s="269"/>
      <c r="G444" s="311"/>
      <c r="H444" s="248"/>
      <c r="I444" s="317"/>
      <c r="J444" s="317"/>
      <c r="K444" s="317"/>
      <c r="L444" s="212"/>
      <c r="M444" s="212">
        <f t="shared" si="53"/>
        <v>0</v>
      </c>
      <c r="N444" s="212"/>
      <c r="O444" s="212"/>
      <c r="P444" s="212"/>
      <c r="Q444" s="212"/>
      <c r="R444" s="212"/>
      <c r="S444" s="270"/>
      <c r="T444" s="284"/>
      <c r="U444" s="272"/>
      <c r="V444" s="272"/>
      <c r="W444" s="276"/>
      <c r="X444" s="277"/>
      <c r="Y444" s="245"/>
      <c r="Z444" s="311"/>
      <c r="AA444" s="311"/>
      <c r="AB444" s="243"/>
      <c r="AC444" s="243"/>
      <c r="AD444" s="243"/>
      <c r="AE444" s="243"/>
      <c r="AF444" s="243"/>
      <c r="AG444" s="243"/>
      <c r="AH444" s="243"/>
      <c r="AI444" s="243"/>
      <c r="AJ444" s="243"/>
      <c r="AK444" s="244"/>
      <c r="AL444" s="33"/>
      <c r="AM444" s="33"/>
    </row>
    <row r="445" spans="1:39" ht="15" customHeight="1" x14ac:dyDescent="0.3">
      <c r="B445" s="235"/>
      <c r="C445" s="281"/>
      <c r="D445" s="200"/>
      <c r="E445" s="269"/>
      <c r="F445" s="269"/>
      <c r="G445" s="311"/>
      <c r="H445" s="248"/>
      <c r="I445" s="317"/>
      <c r="J445" s="317"/>
      <c r="K445" s="317"/>
      <c r="L445" s="212"/>
      <c r="M445" s="212">
        <f t="shared" si="53"/>
        <v>0</v>
      </c>
      <c r="N445" s="212"/>
      <c r="O445" s="212"/>
      <c r="P445" s="212"/>
      <c r="Q445" s="212"/>
      <c r="R445" s="212"/>
      <c r="S445" s="270"/>
      <c r="T445" s="284"/>
      <c r="U445" s="272"/>
      <c r="V445" s="272"/>
      <c r="W445" s="276"/>
      <c r="X445" s="277"/>
      <c r="Y445" s="245"/>
      <c r="Z445" s="311"/>
      <c r="AA445" s="311"/>
      <c r="AB445" s="243"/>
      <c r="AC445" s="243"/>
      <c r="AD445" s="243"/>
      <c r="AE445" s="243"/>
      <c r="AF445" s="243"/>
      <c r="AG445" s="243"/>
      <c r="AH445" s="243"/>
      <c r="AI445" s="243"/>
      <c r="AJ445" s="243"/>
      <c r="AK445" s="244"/>
      <c r="AL445" s="33"/>
      <c r="AM445" s="33"/>
    </row>
    <row r="446" spans="1:39" ht="15" customHeight="1" x14ac:dyDescent="0.3">
      <c r="B446" s="235"/>
      <c r="C446" s="281"/>
      <c r="D446" s="200"/>
      <c r="E446" s="269"/>
      <c r="F446" s="269"/>
      <c r="G446" s="311"/>
      <c r="H446" s="248"/>
      <c r="I446" s="317"/>
      <c r="J446" s="317"/>
      <c r="K446" s="317"/>
      <c r="L446" s="212"/>
      <c r="M446" s="212">
        <f t="shared" si="53"/>
        <v>0</v>
      </c>
      <c r="N446" s="212"/>
      <c r="O446" s="212"/>
      <c r="P446" s="212"/>
      <c r="Q446" s="212"/>
      <c r="R446" s="212"/>
      <c r="S446" s="270"/>
      <c r="T446" s="284"/>
      <c r="U446" s="272"/>
      <c r="V446" s="272"/>
      <c r="W446" s="276"/>
      <c r="X446" s="277"/>
      <c r="Y446" s="245"/>
      <c r="Z446" s="311"/>
      <c r="AA446" s="311"/>
      <c r="AB446" s="243"/>
      <c r="AC446" s="243"/>
      <c r="AD446" s="243"/>
      <c r="AE446" s="243"/>
      <c r="AF446" s="243"/>
      <c r="AG446" s="243"/>
      <c r="AH446" s="243"/>
      <c r="AI446" s="243"/>
      <c r="AJ446" s="243"/>
      <c r="AK446" s="244"/>
      <c r="AL446" s="33"/>
      <c r="AM446" s="33"/>
    </row>
    <row r="447" spans="1:39" ht="15" customHeight="1" x14ac:dyDescent="0.3">
      <c r="B447" s="235"/>
      <c r="C447" s="281"/>
      <c r="D447" s="200"/>
      <c r="E447" s="269"/>
      <c r="F447" s="269"/>
      <c r="G447" s="311"/>
      <c r="H447" s="248"/>
      <c r="I447" s="317"/>
      <c r="J447" s="317"/>
      <c r="K447" s="317"/>
      <c r="L447" s="212"/>
      <c r="M447" s="212">
        <f t="shared" si="53"/>
        <v>0</v>
      </c>
      <c r="N447" s="212"/>
      <c r="O447" s="212"/>
      <c r="P447" s="212"/>
      <c r="Q447" s="212"/>
      <c r="R447" s="212"/>
      <c r="S447" s="270"/>
      <c r="T447" s="284"/>
      <c r="U447" s="272"/>
      <c r="V447" s="272"/>
      <c r="W447" s="276"/>
      <c r="X447" s="277"/>
      <c r="Y447" s="245"/>
      <c r="Z447" s="311"/>
      <c r="AA447" s="311"/>
      <c r="AB447" s="243"/>
      <c r="AC447" s="243"/>
      <c r="AD447" s="243"/>
      <c r="AE447" s="243"/>
      <c r="AF447" s="243"/>
      <c r="AG447" s="243"/>
      <c r="AH447" s="243"/>
      <c r="AI447" s="243"/>
      <c r="AJ447" s="243"/>
      <c r="AK447" s="244"/>
      <c r="AL447" s="33"/>
      <c r="AM447" s="33"/>
    </row>
    <row r="448" spans="1:39" ht="15" customHeight="1" x14ac:dyDescent="0.3">
      <c r="B448" s="235"/>
      <c r="C448" s="281"/>
      <c r="D448" s="200"/>
      <c r="E448" s="269"/>
      <c r="F448" s="269"/>
      <c r="G448" s="311"/>
      <c r="H448" s="248"/>
      <c r="I448" s="317"/>
      <c r="J448" s="317"/>
      <c r="K448" s="317"/>
      <c r="L448" s="212"/>
      <c r="M448" s="212">
        <f t="shared" si="53"/>
        <v>0</v>
      </c>
      <c r="N448" s="212"/>
      <c r="O448" s="212"/>
      <c r="P448" s="212"/>
      <c r="Q448" s="212"/>
      <c r="R448" s="212"/>
      <c r="S448" s="270"/>
      <c r="T448" s="284"/>
      <c r="U448" s="272"/>
      <c r="V448" s="272"/>
      <c r="W448" s="276"/>
      <c r="X448" s="277"/>
      <c r="Y448" s="245"/>
      <c r="Z448" s="311"/>
      <c r="AA448" s="311"/>
      <c r="AB448" s="243"/>
      <c r="AC448" s="243"/>
      <c r="AD448" s="243"/>
      <c r="AE448" s="243"/>
      <c r="AF448" s="243"/>
      <c r="AG448" s="243"/>
      <c r="AH448" s="243"/>
      <c r="AI448" s="243"/>
      <c r="AJ448" s="243"/>
      <c r="AK448" s="244"/>
      <c r="AL448" s="33"/>
      <c r="AM448" s="33"/>
    </row>
    <row r="449" spans="1:39" ht="15" customHeight="1" x14ac:dyDescent="0.3">
      <c r="A449" s="185">
        <v>415</v>
      </c>
      <c r="B449" s="235" t="s">
        <v>1807</v>
      </c>
      <c r="C449" s="281" t="s">
        <v>1616</v>
      </c>
      <c r="D449" s="281" t="s">
        <v>1848</v>
      </c>
      <c r="E449" s="269"/>
      <c r="F449" s="269" t="s">
        <v>1601</v>
      </c>
      <c r="G449" s="196" t="s">
        <v>1596</v>
      </c>
      <c r="H449" s="248" t="s">
        <v>1533</v>
      </c>
      <c r="I449" s="317">
        <v>2</v>
      </c>
      <c r="J449" s="317">
        <v>9.5</v>
      </c>
      <c r="K449" s="317">
        <v>12</v>
      </c>
      <c r="L449" s="212">
        <v>1</v>
      </c>
      <c r="M449" s="212">
        <f t="shared" si="53"/>
        <v>24.5</v>
      </c>
      <c r="N449" s="212">
        <f t="shared" si="54"/>
        <v>16</v>
      </c>
      <c r="O449" s="212">
        <f t="shared" si="55"/>
        <v>38</v>
      </c>
      <c r="P449" s="212">
        <f t="shared" si="56"/>
        <v>80</v>
      </c>
      <c r="Q449" s="212">
        <f t="shared" si="57"/>
        <v>8</v>
      </c>
      <c r="R449" s="212">
        <f t="shared" si="58"/>
        <v>142</v>
      </c>
      <c r="S449" s="270" t="s">
        <v>1560</v>
      </c>
      <c r="T449" s="270" t="s">
        <v>1559</v>
      </c>
      <c r="U449" s="272">
        <v>240</v>
      </c>
      <c r="V449" s="272">
        <v>244</v>
      </c>
      <c r="W449" s="276">
        <v>44434</v>
      </c>
      <c r="X449" s="277">
        <v>44568</v>
      </c>
      <c r="Y449" s="245">
        <v>44568</v>
      </c>
      <c r="Z449" s="311">
        <f t="shared" si="51"/>
        <v>2022</v>
      </c>
      <c r="AA449" s="311">
        <f t="shared" si="52"/>
        <v>1</v>
      </c>
      <c r="AB449" s="243" t="s">
        <v>310</v>
      </c>
      <c r="AC449" s="243" t="s">
        <v>422</v>
      </c>
      <c r="AD449" s="243" t="s">
        <v>422</v>
      </c>
      <c r="AE449" s="243" t="s">
        <v>422</v>
      </c>
      <c r="AF449" s="243" t="s">
        <v>422</v>
      </c>
      <c r="AG449" s="243" t="s">
        <v>422</v>
      </c>
      <c r="AH449" s="243" t="s">
        <v>449</v>
      </c>
      <c r="AI449" s="243" t="s">
        <v>449</v>
      </c>
      <c r="AJ449" s="243" t="s">
        <v>449</v>
      </c>
      <c r="AK449" s="244" t="s">
        <v>1424</v>
      </c>
      <c r="AL449" s="241"/>
      <c r="AM449" s="242"/>
    </row>
    <row r="450" spans="1:39" ht="15" customHeight="1" x14ac:dyDescent="0.3">
      <c r="A450" s="185">
        <v>416</v>
      </c>
      <c r="B450" s="235" t="s">
        <v>1808</v>
      </c>
      <c r="C450" s="281" t="s">
        <v>1616</v>
      </c>
      <c r="D450" s="281" t="s">
        <v>1848</v>
      </c>
      <c r="E450" s="269"/>
      <c r="F450" s="269" t="s">
        <v>1597</v>
      </c>
      <c r="G450" s="196" t="s">
        <v>1596</v>
      </c>
      <c r="H450" s="248" t="s">
        <v>1533</v>
      </c>
      <c r="I450" s="317"/>
      <c r="J450" s="317">
        <v>9.5</v>
      </c>
      <c r="K450" s="317">
        <v>10</v>
      </c>
      <c r="L450" s="212">
        <v>1</v>
      </c>
      <c r="M450" s="212">
        <f t="shared" si="53"/>
        <v>20.5</v>
      </c>
      <c r="N450" s="212">
        <f t="shared" si="54"/>
        <v>0</v>
      </c>
      <c r="O450" s="212">
        <f t="shared" si="55"/>
        <v>38</v>
      </c>
      <c r="P450" s="212">
        <f t="shared" si="56"/>
        <v>66.666666666666671</v>
      </c>
      <c r="Q450" s="212">
        <f t="shared" si="57"/>
        <v>8</v>
      </c>
      <c r="R450" s="212">
        <f t="shared" si="58"/>
        <v>112.66666666666667</v>
      </c>
      <c r="S450" s="270" t="s">
        <v>1567</v>
      </c>
      <c r="T450" s="270" t="s">
        <v>1571</v>
      </c>
      <c r="U450" s="272">
        <v>226</v>
      </c>
      <c r="V450" s="272">
        <v>230</v>
      </c>
      <c r="W450" s="276">
        <v>44434</v>
      </c>
      <c r="X450" s="277">
        <v>44568</v>
      </c>
      <c r="Y450" s="245">
        <v>44568</v>
      </c>
      <c r="Z450" s="311">
        <f t="shared" si="51"/>
        <v>2022</v>
      </c>
      <c r="AA450" s="311">
        <f t="shared" si="52"/>
        <v>1</v>
      </c>
      <c r="AB450" s="243" t="s">
        <v>310</v>
      </c>
      <c r="AC450" s="243" t="s">
        <v>422</v>
      </c>
      <c r="AD450" s="243" t="s">
        <v>422</v>
      </c>
      <c r="AE450" s="243" t="s">
        <v>422</v>
      </c>
      <c r="AF450" s="243" t="s">
        <v>422</v>
      </c>
      <c r="AG450" s="243" t="s">
        <v>422</v>
      </c>
      <c r="AH450" s="243" t="s">
        <v>449</v>
      </c>
      <c r="AI450" s="243" t="s">
        <v>449</v>
      </c>
      <c r="AJ450" s="243" t="s">
        <v>449</v>
      </c>
      <c r="AK450" s="244" t="s">
        <v>1424</v>
      </c>
      <c r="AL450" s="241"/>
      <c r="AM450" s="242"/>
    </row>
    <row r="451" spans="1:39" ht="15" customHeight="1" x14ac:dyDescent="0.3">
      <c r="A451" s="185">
        <v>417</v>
      </c>
      <c r="B451" s="235" t="s">
        <v>1809</v>
      </c>
      <c r="C451" s="281" t="s">
        <v>1616</v>
      </c>
      <c r="D451" s="281" t="s">
        <v>1848</v>
      </c>
      <c r="E451" s="269"/>
      <c r="F451" s="269" t="s">
        <v>1601</v>
      </c>
      <c r="G451" s="196" t="s">
        <v>1596</v>
      </c>
      <c r="H451" s="248" t="s">
        <v>1948</v>
      </c>
      <c r="I451" s="317">
        <v>1.5</v>
      </c>
      <c r="J451" s="317">
        <v>9</v>
      </c>
      <c r="K451" s="317">
        <v>12</v>
      </c>
      <c r="L451" s="212">
        <v>1</v>
      </c>
      <c r="M451" s="212">
        <f t="shared" si="53"/>
        <v>23.5</v>
      </c>
      <c r="N451" s="212">
        <f t="shared" si="54"/>
        <v>12</v>
      </c>
      <c r="O451" s="212">
        <f t="shared" si="55"/>
        <v>36</v>
      </c>
      <c r="P451" s="212">
        <f t="shared" si="56"/>
        <v>80</v>
      </c>
      <c r="Q451" s="212">
        <f t="shared" si="57"/>
        <v>8</v>
      </c>
      <c r="R451" s="212">
        <f t="shared" si="58"/>
        <v>136</v>
      </c>
      <c r="S451" s="270" t="s">
        <v>1562</v>
      </c>
      <c r="T451" s="270" t="s">
        <v>1572</v>
      </c>
      <c r="U451" s="272">
        <v>114</v>
      </c>
      <c r="V451" s="272">
        <v>116</v>
      </c>
      <c r="W451" s="276">
        <v>44434</v>
      </c>
      <c r="X451" s="277">
        <v>44568</v>
      </c>
      <c r="Y451" s="245">
        <v>44568</v>
      </c>
      <c r="Z451" s="311">
        <f t="shared" si="51"/>
        <v>2022</v>
      </c>
      <c r="AA451" s="311">
        <f t="shared" si="52"/>
        <v>1</v>
      </c>
      <c r="AB451" s="243" t="s">
        <v>310</v>
      </c>
      <c r="AC451" s="243" t="s">
        <v>422</v>
      </c>
      <c r="AD451" s="243" t="s">
        <v>422</v>
      </c>
      <c r="AE451" s="243" t="s">
        <v>422</v>
      </c>
      <c r="AF451" s="243" t="s">
        <v>422</v>
      </c>
      <c r="AG451" s="243" t="s">
        <v>422</v>
      </c>
      <c r="AH451" s="243" t="s">
        <v>449</v>
      </c>
      <c r="AI451" s="243" t="s">
        <v>449</v>
      </c>
      <c r="AJ451" s="243" t="s">
        <v>449</v>
      </c>
      <c r="AK451" s="244" t="s">
        <v>772</v>
      </c>
      <c r="AL451" s="241"/>
      <c r="AM451" s="242"/>
    </row>
    <row r="452" spans="1:39" ht="15" customHeight="1" x14ac:dyDescent="0.3">
      <c r="A452" s="185">
        <v>418</v>
      </c>
      <c r="B452" s="235" t="s">
        <v>1810</v>
      </c>
      <c r="C452" s="281" t="s">
        <v>1616</v>
      </c>
      <c r="D452" s="281" t="s">
        <v>1848</v>
      </c>
      <c r="E452" s="269"/>
      <c r="F452" s="269" t="s">
        <v>1601</v>
      </c>
      <c r="G452" s="196" t="s">
        <v>1596</v>
      </c>
      <c r="H452" s="248" t="s">
        <v>1533</v>
      </c>
      <c r="I452" s="317">
        <v>2</v>
      </c>
      <c r="J452" s="317"/>
      <c r="K452" s="317">
        <v>12</v>
      </c>
      <c r="L452" s="212">
        <v>1</v>
      </c>
      <c r="M452" s="212">
        <f t="shared" si="53"/>
        <v>15</v>
      </c>
      <c r="N452" s="212">
        <f t="shared" si="54"/>
        <v>16</v>
      </c>
      <c r="O452" s="212">
        <f t="shared" si="55"/>
        <v>0</v>
      </c>
      <c r="P452" s="212">
        <f t="shared" si="56"/>
        <v>80</v>
      </c>
      <c r="Q452" s="212">
        <f t="shared" si="57"/>
        <v>8</v>
      </c>
      <c r="R452" s="212">
        <f t="shared" si="58"/>
        <v>104</v>
      </c>
      <c r="S452" s="270" t="s">
        <v>1569</v>
      </c>
      <c r="T452" s="270" t="s">
        <v>1575</v>
      </c>
      <c r="U452" s="272">
        <v>244</v>
      </c>
      <c r="V452" s="272">
        <v>248</v>
      </c>
      <c r="W452" s="276">
        <v>44434</v>
      </c>
      <c r="X452" s="277">
        <v>44568</v>
      </c>
      <c r="Y452" s="245">
        <v>44568</v>
      </c>
      <c r="Z452" s="311">
        <f t="shared" ref="Z452:Z465" si="59">IF(YEAR(Y452)&gt;2000,YEAR(Y452),YEAR(X452))</f>
        <v>2022</v>
      </c>
      <c r="AA452" s="311">
        <f t="shared" si="52"/>
        <v>1</v>
      </c>
      <c r="AB452" s="243" t="s">
        <v>310</v>
      </c>
      <c r="AC452" s="243" t="s">
        <v>422</v>
      </c>
      <c r="AD452" s="243" t="s">
        <v>422</v>
      </c>
      <c r="AE452" s="243" t="s">
        <v>422</v>
      </c>
      <c r="AF452" s="243" t="s">
        <v>422</v>
      </c>
      <c r="AG452" s="243" t="s">
        <v>422</v>
      </c>
      <c r="AH452" s="243" t="s">
        <v>449</v>
      </c>
      <c r="AI452" s="243" t="s">
        <v>449</v>
      </c>
      <c r="AJ452" s="243" t="s">
        <v>449</v>
      </c>
      <c r="AK452" s="244" t="s">
        <v>1424</v>
      </c>
      <c r="AL452" s="241"/>
      <c r="AM452" s="242"/>
    </row>
    <row r="453" spans="1:39" ht="15" customHeight="1" x14ac:dyDescent="0.3">
      <c r="A453" s="185">
        <v>419</v>
      </c>
      <c r="B453" s="235" t="s">
        <v>1811</v>
      </c>
      <c r="C453" s="281" t="s">
        <v>1616</v>
      </c>
      <c r="D453" s="281" t="s">
        <v>1848</v>
      </c>
      <c r="E453" s="269"/>
      <c r="F453" s="269" t="s">
        <v>1597</v>
      </c>
      <c r="G453" s="196" t="s">
        <v>1953</v>
      </c>
      <c r="H453" s="248" t="s">
        <v>1533</v>
      </c>
      <c r="I453" s="269"/>
      <c r="J453" s="269">
        <v>8.8000000000000007</v>
      </c>
      <c r="K453" s="269"/>
      <c r="L453" s="212">
        <v>1</v>
      </c>
      <c r="M453" s="212">
        <f t="shared" si="53"/>
        <v>9.8000000000000007</v>
      </c>
      <c r="N453" s="212">
        <f t="shared" si="54"/>
        <v>0</v>
      </c>
      <c r="O453" s="212">
        <f t="shared" si="55"/>
        <v>35.200000000000003</v>
      </c>
      <c r="P453" s="212">
        <f t="shared" si="56"/>
        <v>0</v>
      </c>
      <c r="Q453" s="212">
        <f t="shared" si="57"/>
        <v>8</v>
      </c>
      <c r="R453" s="212">
        <f t="shared" si="58"/>
        <v>43.2</v>
      </c>
      <c r="S453" s="270" t="s">
        <v>1568</v>
      </c>
      <c r="T453" s="270" t="s">
        <v>1574</v>
      </c>
      <c r="U453" s="272">
        <v>94</v>
      </c>
      <c r="V453" s="272">
        <v>96</v>
      </c>
      <c r="W453" s="276">
        <v>44434</v>
      </c>
      <c r="X453" s="277">
        <v>44568</v>
      </c>
      <c r="Y453" s="245">
        <v>44568</v>
      </c>
      <c r="Z453" s="311">
        <f t="shared" si="59"/>
        <v>2022</v>
      </c>
      <c r="AA453" s="311">
        <f t="shared" si="52"/>
        <v>1</v>
      </c>
      <c r="AB453" s="243" t="s">
        <v>310</v>
      </c>
      <c r="AC453" s="243" t="s">
        <v>422</v>
      </c>
      <c r="AD453" s="243" t="s">
        <v>422</v>
      </c>
      <c r="AE453" s="243" t="s">
        <v>422</v>
      </c>
      <c r="AF453" s="243" t="s">
        <v>422</v>
      </c>
      <c r="AG453" s="243" t="s">
        <v>422</v>
      </c>
      <c r="AH453" s="243" t="s">
        <v>422</v>
      </c>
      <c r="AI453" s="243" t="s">
        <v>422</v>
      </c>
      <c r="AJ453" s="243" t="s">
        <v>423</v>
      </c>
      <c r="AK453" s="244" t="s">
        <v>1424</v>
      </c>
      <c r="AL453" s="241"/>
      <c r="AM453" s="242"/>
    </row>
    <row r="454" spans="1:39" ht="15" customHeight="1" x14ac:dyDescent="0.3">
      <c r="A454" s="185">
        <v>420</v>
      </c>
      <c r="B454" s="235" t="s">
        <v>1812</v>
      </c>
      <c r="C454" s="281" t="s">
        <v>1616</v>
      </c>
      <c r="D454" s="281" t="s">
        <v>1848</v>
      </c>
      <c r="E454" s="269"/>
      <c r="F454" s="269" t="s">
        <v>1601</v>
      </c>
      <c r="G454" s="196" t="s">
        <v>1596</v>
      </c>
      <c r="H454" s="248" t="s">
        <v>1948</v>
      </c>
      <c r="I454" s="317">
        <v>1</v>
      </c>
      <c r="J454" s="317">
        <v>6</v>
      </c>
      <c r="K454" s="317">
        <v>13</v>
      </c>
      <c r="L454" s="212">
        <v>1</v>
      </c>
      <c r="M454" s="212">
        <f t="shared" si="53"/>
        <v>21</v>
      </c>
      <c r="N454" s="212">
        <f t="shared" si="54"/>
        <v>8</v>
      </c>
      <c r="O454" s="212">
        <f t="shared" si="55"/>
        <v>24</v>
      </c>
      <c r="P454" s="212">
        <f t="shared" si="56"/>
        <v>86.666666666666671</v>
      </c>
      <c r="Q454" s="212">
        <f t="shared" si="57"/>
        <v>8</v>
      </c>
      <c r="R454" s="212">
        <f t="shared" si="58"/>
        <v>126.66666666666667</v>
      </c>
      <c r="S454" s="270" t="s">
        <v>1563</v>
      </c>
      <c r="T454" s="270" t="s">
        <v>1573</v>
      </c>
      <c r="U454" s="272">
        <v>62</v>
      </c>
      <c r="V454" s="272">
        <v>63</v>
      </c>
      <c r="W454" s="276">
        <v>44434</v>
      </c>
      <c r="X454" s="277">
        <v>44568</v>
      </c>
      <c r="Y454" s="245">
        <v>44568</v>
      </c>
      <c r="Z454" s="311">
        <f t="shared" si="59"/>
        <v>2022</v>
      </c>
      <c r="AA454" s="311">
        <f t="shared" si="52"/>
        <v>1</v>
      </c>
      <c r="AB454" s="243" t="s">
        <v>310</v>
      </c>
      <c r="AC454" s="243" t="s">
        <v>422</v>
      </c>
      <c r="AD454" s="243" t="s">
        <v>423</v>
      </c>
      <c r="AE454" s="243" t="s">
        <v>422</v>
      </c>
      <c r="AF454" s="243" t="s">
        <v>422</v>
      </c>
      <c r="AG454" s="243" t="s">
        <v>423</v>
      </c>
      <c r="AH454" s="243" t="s">
        <v>422</v>
      </c>
      <c r="AI454" s="243" t="s">
        <v>449</v>
      </c>
      <c r="AJ454" s="243" t="s">
        <v>449</v>
      </c>
      <c r="AK454" s="244" t="s">
        <v>772</v>
      </c>
      <c r="AL454" s="241"/>
      <c r="AM454" s="242"/>
    </row>
    <row r="455" spans="1:39" ht="15" customHeight="1" x14ac:dyDescent="0.3">
      <c r="A455" s="185">
        <v>421</v>
      </c>
      <c r="B455" s="235" t="s">
        <v>1813</v>
      </c>
      <c r="C455" s="281" t="s">
        <v>1616</v>
      </c>
      <c r="D455" s="281" t="s">
        <v>1848</v>
      </c>
      <c r="E455" s="269"/>
      <c r="F455" s="269" t="s">
        <v>1601</v>
      </c>
      <c r="G455" s="196" t="s">
        <v>1596</v>
      </c>
      <c r="H455" s="248" t="s">
        <v>1949</v>
      </c>
      <c r="I455" s="317">
        <v>1</v>
      </c>
      <c r="J455" s="317"/>
      <c r="K455" s="317">
        <v>7</v>
      </c>
      <c r="L455" s="212">
        <v>1</v>
      </c>
      <c r="M455" s="212">
        <f t="shared" ref="M455:M465" si="60">SUM((I455:L455))</f>
        <v>9</v>
      </c>
      <c r="N455" s="212">
        <f t="shared" si="54"/>
        <v>8</v>
      </c>
      <c r="O455" s="212">
        <f t="shared" si="55"/>
        <v>0</v>
      </c>
      <c r="P455" s="212">
        <f t="shared" si="56"/>
        <v>46.666666666666671</v>
      </c>
      <c r="Q455" s="212">
        <f t="shared" si="57"/>
        <v>8</v>
      </c>
      <c r="R455" s="212">
        <f t="shared" ref="R455:R465" si="61">SUM(N455:Q455)</f>
        <v>62.666666666666671</v>
      </c>
      <c r="S455" s="270" t="s">
        <v>1564</v>
      </c>
      <c r="T455" s="270" t="s">
        <v>1576</v>
      </c>
      <c r="U455" s="272">
        <v>58</v>
      </c>
      <c r="V455" s="272">
        <v>59</v>
      </c>
      <c r="W455" s="276">
        <v>44434</v>
      </c>
      <c r="X455" s="277">
        <v>44568</v>
      </c>
      <c r="Y455" s="245">
        <v>44568</v>
      </c>
      <c r="Z455" s="311">
        <f t="shared" si="59"/>
        <v>2022</v>
      </c>
      <c r="AA455" s="311">
        <f t="shared" si="52"/>
        <v>1</v>
      </c>
      <c r="AB455" s="243" t="s">
        <v>310</v>
      </c>
      <c r="AC455" s="243" t="s">
        <v>422</v>
      </c>
      <c r="AD455" s="243" t="s">
        <v>423</v>
      </c>
      <c r="AE455" s="243" t="s">
        <v>422</v>
      </c>
      <c r="AF455" s="243" t="s">
        <v>422</v>
      </c>
      <c r="AG455" s="243" t="s">
        <v>423</v>
      </c>
      <c r="AH455" s="243" t="s">
        <v>422</v>
      </c>
      <c r="AI455" s="243" t="s">
        <v>449</v>
      </c>
      <c r="AJ455" s="243" t="s">
        <v>449</v>
      </c>
      <c r="AK455" s="244" t="s">
        <v>1921</v>
      </c>
      <c r="AL455" s="188"/>
      <c r="AM455" s="348"/>
    </row>
    <row r="456" spans="1:39" ht="15" customHeight="1" x14ac:dyDescent="0.3">
      <c r="A456" s="185">
        <v>422</v>
      </c>
      <c r="B456" s="235" t="s">
        <v>1814</v>
      </c>
      <c r="C456" s="281" t="s">
        <v>1616</v>
      </c>
      <c r="D456" s="281" t="s">
        <v>1848</v>
      </c>
      <c r="E456" s="269"/>
      <c r="F456" s="269" t="s">
        <v>1601</v>
      </c>
      <c r="G456" s="196" t="s">
        <v>1596</v>
      </c>
      <c r="H456" s="248" t="s">
        <v>1949</v>
      </c>
      <c r="I456" s="248">
        <v>1</v>
      </c>
      <c r="J456" s="248"/>
      <c r="K456" s="248">
        <v>6</v>
      </c>
      <c r="L456" s="212">
        <v>1</v>
      </c>
      <c r="M456" s="212">
        <f t="shared" si="60"/>
        <v>8</v>
      </c>
      <c r="N456" s="212">
        <f t="shared" si="54"/>
        <v>8</v>
      </c>
      <c r="O456" s="212">
        <f t="shared" si="55"/>
        <v>0</v>
      </c>
      <c r="P456" s="212">
        <f t="shared" si="56"/>
        <v>40</v>
      </c>
      <c r="Q456" s="212">
        <f t="shared" si="57"/>
        <v>8</v>
      </c>
      <c r="R456" s="212">
        <f t="shared" si="61"/>
        <v>56</v>
      </c>
      <c r="S456" s="268" t="s">
        <v>1565</v>
      </c>
      <c r="T456" s="268" t="s">
        <v>1816</v>
      </c>
      <c r="U456" s="272">
        <v>74</v>
      </c>
      <c r="V456" s="272">
        <v>76</v>
      </c>
      <c r="W456" s="276">
        <v>44434</v>
      </c>
      <c r="X456" s="277">
        <v>44568</v>
      </c>
      <c r="Y456" s="245">
        <v>44568</v>
      </c>
      <c r="Z456" s="311">
        <f t="shared" si="59"/>
        <v>2022</v>
      </c>
      <c r="AA456" s="311">
        <f t="shared" si="52"/>
        <v>1</v>
      </c>
      <c r="AB456" s="243" t="s">
        <v>310</v>
      </c>
      <c r="AC456" s="243" t="s">
        <v>422</v>
      </c>
      <c r="AD456" s="243" t="s">
        <v>423</v>
      </c>
      <c r="AE456" s="243" t="s">
        <v>422</v>
      </c>
      <c r="AF456" s="243" t="s">
        <v>422</v>
      </c>
      <c r="AG456" s="243" t="s">
        <v>423</v>
      </c>
      <c r="AH456" s="243" t="s">
        <v>422</v>
      </c>
      <c r="AI456" s="243" t="s">
        <v>449</v>
      </c>
      <c r="AJ456" s="243" t="s">
        <v>449</v>
      </c>
      <c r="AK456" s="244" t="s">
        <v>1921</v>
      </c>
      <c r="AL456" s="188"/>
      <c r="AM456" s="348"/>
    </row>
    <row r="457" spans="1:39" ht="15" customHeight="1" x14ac:dyDescent="0.3">
      <c r="A457" s="185">
        <v>423</v>
      </c>
      <c r="B457" s="235" t="s">
        <v>1815</v>
      </c>
      <c r="C457" s="281" t="s">
        <v>1616</v>
      </c>
      <c r="D457" s="281" t="s">
        <v>1848</v>
      </c>
      <c r="E457" s="269"/>
      <c r="F457" s="269" t="s">
        <v>1892</v>
      </c>
      <c r="G457" s="196" t="s">
        <v>1596</v>
      </c>
      <c r="H457" s="248" t="s">
        <v>1533</v>
      </c>
      <c r="I457" s="317"/>
      <c r="J457" s="317">
        <v>2.5</v>
      </c>
      <c r="K457" s="317">
        <v>3</v>
      </c>
      <c r="L457" s="212">
        <v>1</v>
      </c>
      <c r="M457" s="212">
        <f t="shared" si="60"/>
        <v>6.5</v>
      </c>
      <c r="N457" s="212">
        <f t="shared" si="54"/>
        <v>0</v>
      </c>
      <c r="O457" s="212">
        <f t="shared" si="55"/>
        <v>10</v>
      </c>
      <c r="P457" s="212">
        <f t="shared" si="56"/>
        <v>20</v>
      </c>
      <c r="Q457" s="212">
        <f t="shared" si="57"/>
        <v>8</v>
      </c>
      <c r="R457" s="212">
        <f t="shared" si="61"/>
        <v>38</v>
      </c>
      <c r="S457" s="270" t="s">
        <v>1566</v>
      </c>
      <c r="T457" s="270" t="s">
        <v>1577</v>
      </c>
      <c r="U457" s="272">
        <v>38</v>
      </c>
      <c r="V457" s="272">
        <v>39</v>
      </c>
      <c r="W457" s="276">
        <v>44434</v>
      </c>
      <c r="X457" s="277">
        <v>44568</v>
      </c>
      <c r="Y457" s="245">
        <v>44568</v>
      </c>
      <c r="Z457" s="311">
        <f t="shared" si="59"/>
        <v>2022</v>
      </c>
      <c r="AA457" s="311">
        <f t="shared" si="52"/>
        <v>1</v>
      </c>
      <c r="AB457" s="243" t="s">
        <v>310</v>
      </c>
      <c r="AC457" s="243" t="s">
        <v>422</v>
      </c>
      <c r="AD457" s="243" t="s">
        <v>423</v>
      </c>
      <c r="AE457" s="243" t="s">
        <v>422</v>
      </c>
      <c r="AF457" s="243" t="s">
        <v>422</v>
      </c>
      <c r="AG457" s="243" t="s">
        <v>423</v>
      </c>
      <c r="AH457" s="243" t="s">
        <v>422</v>
      </c>
      <c r="AI457" s="243" t="s">
        <v>423</v>
      </c>
      <c r="AJ457" s="243" t="s">
        <v>423</v>
      </c>
      <c r="AK457" s="244" t="s">
        <v>1912</v>
      </c>
      <c r="AL457" s="188"/>
      <c r="AM457" s="348"/>
    </row>
    <row r="458" spans="1:39" ht="15" customHeight="1" x14ac:dyDescent="0.3">
      <c r="A458" s="185">
        <v>431</v>
      </c>
      <c r="B458" s="235" t="s">
        <v>1853</v>
      </c>
      <c r="C458" s="281" t="s">
        <v>1830</v>
      </c>
      <c r="D458" s="200" t="s">
        <v>1881</v>
      </c>
      <c r="E458" s="269"/>
      <c r="F458" s="269"/>
      <c r="G458" s="196" t="s">
        <v>1953</v>
      </c>
      <c r="H458" s="248"/>
      <c r="I458" s="317"/>
      <c r="J458" s="317"/>
      <c r="K458" s="317">
        <v>1.5</v>
      </c>
      <c r="L458" s="212">
        <v>1</v>
      </c>
      <c r="M458" s="212">
        <f t="shared" si="60"/>
        <v>2.5</v>
      </c>
      <c r="N458" s="212">
        <f t="shared" si="54"/>
        <v>0</v>
      </c>
      <c r="O458" s="212">
        <f t="shared" si="55"/>
        <v>0</v>
      </c>
      <c r="P458" s="212">
        <f t="shared" si="56"/>
        <v>10</v>
      </c>
      <c r="Q458" s="212">
        <f t="shared" si="57"/>
        <v>8</v>
      </c>
      <c r="R458" s="212">
        <f t="shared" si="61"/>
        <v>18</v>
      </c>
      <c r="S458" s="270" t="s">
        <v>1864</v>
      </c>
      <c r="T458" s="284" t="s">
        <v>1874</v>
      </c>
      <c r="U458" s="272">
        <v>88</v>
      </c>
      <c r="V458" s="272">
        <v>0</v>
      </c>
      <c r="W458" s="276">
        <v>44477</v>
      </c>
      <c r="X458" s="277">
        <v>44576</v>
      </c>
      <c r="Y458" s="277">
        <v>44576</v>
      </c>
      <c r="Z458" s="311">
        <f t="shared" si="59"/>
        <v>2022</v>
      </c>
      <c r="AA458" s="311">
        <f t="shared" si="52"/>
        <v>1</v>
      </c>
      <c r="AB458" s="243" t="s">
        <v>1927</v>
      </c>
      <c r="AC458" s="243" t="s">
        <v>449</v>
      </c>
      <c r="AD458" s="243" t="s">
        <v>422</v>
      </c>
      <c r="AE458" s="243" t="s">
        <v>449</v>
      </c>
      <c r="AF458" s="243" t="s">
        <v>449</v>
      </c>
      <c r="AG458" s="243" t="s">
        <v>449</v>
      </c>
      <c r="AH458" s="243" t="s">
        <v>449</v>
      </c>
      <c r="AI458" s="243" t="s">
        <v>449</v>
      </c>
      <c r="AJ458" s="243" t="s">
        <v>423</v>
      </c>
      <c r="AK458" s="244"/>
      <c r="AL458" s="241"/>
      <c r="AM458" s="242"/>
    </row>
    <row r="459" spans="1:39" ht="15" customHeight="1" x14ac:dyDescent="0.3">
      <c r="A459" s="185">
        <v>433</v>
      </c>
      <c r="B459" s="235" t="s">
        <v>1855</v>
      </c>
      <c r="C459" s="281" t="s">
        <v>1830</v>
      </c>
      <c r="D459" s="200" t="s">
        <v>1881</v>
      </c>
      <c r="E459" s="269"/>
      <c r="F459" s="269"/>
      <c r="G459" s="196" t="s">
        <v>1953</v>
      </c>
      <c r="H459" s="248"/>
      <c r="I459" s="317"/>
      <c r="J459" s="317"/>
      <c r="K459" s="317">
        <v>1.5</v>
      </c>
      <c r="L459" s="212">
        <v>1</v>
      </c>
      <c r="M459" s="212">
        <f t="shared" si="60"/>
        <v>2.5</v>
      </c>
      <c r="N459" s="212">
        <f t="shared" si="54"/>
        <v>0</v>
      </c>
      <c r="O459" s="212">
        <f t="shared" si="55"/>
        <v>0</v>
      </c>
      <c r="P459" s="212">
        <f t="shared" si="56"/>
        <v>10</v>
      </c>
      <c r="Q459" s="212">
        <f t="shared" si="57"/>
        <v>8</v>
      </c>
      <c r="R459" s="212">
        <f t="shared" si="61"/>
        <v>18</v>
      </c>
      <c r="S459" s="270" t="s">
        <v>1866</v>
      </c>
      <c r="T459" s="284" t="s">
        <v>1875</v>
      </c>
      <c r="U459" s="272">
        <v>84</v>
      </c>
      <c r="V459" s="272">
        <v>0</v>
      </c>
      <c r="W459" s="276">
        <v>44477</v>
      </c>
      <c r="X459" s="277">
        <v>44576</v>
      </c>
      <c r="Y459" s="277">
        <v>44576</v>
      </c>
      <c r="Z459" s="311">
        <f t="shared" si="59"/>
        <v>2022</v>
      </c>
      <c r="AA459" s="311">
        <f t="shared" si="52"/>
        <v>1</v>
      </c>
      <c r="AB459" s="243" t="s">
        <v>1927</v>
      </c>
      <c r="AC459" s="243" t="s">
        <v>449</v>
      </c>
      <c r="AD459" s="243" t="s">
        <v>422</v>
      </c>
      <c r="AE459" s="243" t="s">
        <v>449</v>
      </c>
      <c r="AF459" s="243" t="s">
        <v>449</v>
      </c>
      <c r="AG459" s="243" t="s">
        <v>449</v>
      </c>
      <c r="AH459" s="243" t="s">
        <v>449</v>
      </c>
      <c r="AI459" s="243" t="s">
        <v>449</v>
      </c>
      <c r="AJ459" s="243" t="s">
        <v>423</v>
      </c>
      <c r="AK459" s="244"/>
      <c r="AL459" s="241"/>
      <c r="AM459" s="242"/>
    </row>
    <row r="460" spans="1:39" ht="15" customHeight="1" x14ac:dyDescent="0.3">
      <c r="A460" s="185">
        <v>434</v>
      </c>
      <c r="B460" s="235" t="s">
        <v>1856</v>
      </c>
      <c r="C460" s="281" t="s">
        <v>1830</v>
      </c>
      <c r="D460" s="200" t="s">
        <v>1881</v>
      </c>
      <c r="E460" s="269"/>
      <c r="F460" s="269"/>
      <c r="G460" s="196" t="s">
        <v>1953</v>
      </c>
      <c r="H460" s="248"/>
      <c r="I460" s="317"/>
      <c r="J460" s="317"/>
      <c r="K460" s="317">
        <v>1.5</v>
      </c>
      <c r="L460" s="212">
        <v>1</v>
      </c>
      <c r="M460" s="212">
        <f t="shared" si="60"/>
        <v>2.5</v>
      </c>
      <c r="N460" s="212">
        <f t="shared" si="54"/>
        <v>0</v>
      </c>
      <c r="O460" s="212">
        <f t="shared" si="55"/>
        <v>0</v>
      </c>
      <c r="P460" s="212">
        <f t="shared" si="56"/>
        <v>10</v>
      </c>
      <c r="Q460" s="212">
        <f t="shared" si="57"/>
        <v>8</v>
      </c>
      <c r="R460" s="212">
        <f t="shared" si="61"/>
        <v>18</v>
      </c>
      <c r="S460" s="270" t="s">
        <v>1867</v>
      </c>
      <c r="T460" s="284" t="s">
        <v>1876</v>
      </c>
      <c r="U460" s="272">
        <v>374</v>
      </c>
      <c r="V460" s="272">
        <v>0</v>
      </c>
      <c r="W460" s="276">
        <v>44477</v>
      </c>
      <c r="X460" s="277">
        <v>44576</v>
      </c>
      <c r="Y460" s="277">
        <v>44576</v>
      </c>
      <c r="Z460" s="311">
        <f t="shared" si="59"/>
        <v>2022</v>
      </c>
      <c r="AA460" s="311">
        <f t="shared" si="52"/>
        <v>1</v>
      </c>
      <c r="AB460" s="243" t="s">
        <v>1927</v>
      </c>
      <c r="AC460" s="243" t="s">
        <v>449</v>
      </c>
      <c r="AD460" s="243" t="s">
        <v>422</v>
      </c>
      <c r="AE460" s="243" t="s">
        <v>449</v>
      </c>
      <c r="AF460" s="243" t="s">
        <v>449</v>
      </c>
      <c r="AG460" s="243" t="s">
        <v>449</v>
      </c>
      <c r="AH460" s="243" t="s">
        <v>449</v>
      </c>
      <c r="AI460" s="243" t="s">
        <v>449</v>
      </c>
      <c r="AJ460" s="243" t="s">
        <v>423</v>
      </c>
      <c r="AK460" s="244"/>
      <c r="AL460" s="241"/>
      <c r="AM460" s="242"/>
    </row>
    <row r="461" spans="1:39" ht="15" customHeight="1" x14ac:dyDescent="0.3">
      <c r="A461" s="185">
        <v>438</v>
      </c>
      <c r="B461" s="235" t="s">
        <v>1860</v>
      </c>
      <c r="C461" s="281" t="s">
        <v>1830</v>
      </c>
      <c r="D461" s="200" t="s">
        <v>1881</v>
      </c>
      <c r="E461" s="269"/>
      <c r="F461" s="269"/>
      <c r="G461" s="196" t="s">
        <v>1953</v>
      </c>
      <c r="H461" s="248"/>
      <c r="I461" s="317"/>
      <c r="J461" s="317"/>
      <c r="K461" s="317">
        <v>1.5</v>
      </c>
      <c r="L461" s="212">
        <v>1</v>
      </c>
      <c r="M461" s="212">
        <f t="shared" si="60"/>
        <v>2.5</v>
      </c>
      <c r="N461" s="212">
        <f t="shared" si="54"/>
        <v>0</v>
      </c>
      <c r="O461" s="212">
        <f t="shared" ref="O461:O465" si="62">+J461/0.25</f>
        <v>0</v>
      </c>
      <c r="P461" s="212">
        <f t="shared" ref="P461:P465" si="63">+K461/0.15</f>
        <v>10</v>
      </c>
      <c r="Q461" s="212">
        <f t="shared" ref="Q461:Q465" si="64">+L461/0.125</f>
        <v>8</v>
      </c>
      <c r="R461" s="212">
        <f t="shared" si="61"/>
        <v>18</v>
      </c>
      <c r="S461" s="270" t="s">
        <v>1871</v>
      </c>
      <c r="T461" s="284" t="s">
        <v>1879</v>
      </c>
      <c r="U461" s="272">
        <v>174</v>
      </c>
      <c r="V461" s="272">
        <v>0</v>
      </c>
      <c r="W461" s="276">
        <v>44477</v>
      </c>
      <c r="X461" s="277">
        <v>44576</v>
      </c>
      <c r="Y461" s="277">
        <v>44576</v>
      </c>
      <c r="Z461" s="311">
        <f t="shared" si="59"/>
        <v>2022</v>
      </c>
      <c r="AA461" s="311">
        <f t="shared" si="52"/>
        <v>1</v>
      </c>
      <c r="AB461" s="243" t="s">
        <v>1927</v>
      </c>
      <c r="AC461" s="243" t="s">
        <v>449</v>
      </c>
      <c r="AD461" s="243" t="s">
        <v>422</v>
      </c>
      <c r="AE461" s="243" t="s">
        <v>449</v>
      </c>
      <c r="AF461" s="243" t="s">
        <v>449</v>
      </c>
      <c r="AG461" s="243" t="s">
        <v>449</v>
      </c>
      <c r="AH461" s="243" t="s">
        <v>449</v>
      </c>
      <c r="AI461" s="243" t="s">
        <v>449</v>
      </c>
      <c r="AJ461" s="243" t="s">
        <v>423</v>
      </c>
      <c r="AK461" s="244"/>
      <c r="AL461" s="188"/>
      <c r="AM461" s="348"/>
    </row>
    <row r="462" spans="1:39" ht="15" customHeight="1" x14ac:dyDescent="0.3">
      <c r="A462" s="185">
        <v>439</v>
      </c>
      <c r="B462" s="235" t="s">
        <v>1861</v>
      </c>
      <c r="C462" s="281" t="s">
        <v>1830</v>
      </c>
      <c r="D462" s="200" t="s">
        <v>1881</v>
      </c>
      <c r="E462" s="269"/>
      <c r="F462" s="269"/>
      <c r="G462" s="196" t="s">
        <v>1953</v>
      </c>
      <c r="H462" s="248"/>
      <c r="I462" s="317"/>
      <c r="J462" s="317"/>
      <c r="K462" s="317">
        <v>1.5</v>
      </c>
      <c r="L462" s="212">
        <v>1</v>
      </c>
      <c r="M462" s="212">
        <f t="shared" si="60"/>
        <v>2.5</v>
      </c>
      <c r="N462" s="212">
        <f t="shared" si="54"/>
        <v>0</v>
      </c>
      <c r="O462" s="212">
        <f t="shared" si="62"/>
        <v>0</v>
      </c>
      <c r="P462" s="212">
        <f t="shared" si="63"/>
        <v>10</v>
      </c>
      <c r="Q462" s="212">
        <f t="shared" si="64"/>
        <v>8</v>
      </c>
      <c r="R462" s="212">
        <f t="shared" si="61"/>
        <v>18</v>
      </c>
      <c r="S462" s="270" t="s">
        <v>1872</v>
      </c>
      <c r="T462" s="284" t="s">
        <v>1879</v>
      </c>
      <c r="U462" s="272">
        <v>174</v>
      </c>
      <c r="V462" s="272">
        <v>0</v>
      </c>
      <c r="W462" s="276">
        <v>44477</v>
      </c>
      <c r="X462" s="277">
        <v>44576</v>
      </c>
      <c r="Y462" s="277">
        <v>44576</v>
      </c>
      <c r="Z462" s="311">
        <f t="shared" si="59"/>
        <v>2022</v>
      </c>
      <c r="AA462" s="311">
        <f t="shared" si="52"/>
        <v>1</v>
      </c>
      <c r="AB462" s="243" t="s">
        <v>1927</v>
      </c>
      <c r="AC462" s="243" t="s">
        <v>449</v>
      </c>
      <c r="AD462" s="243" t="s">
        <v>422</v>
      </c>
      <c r="AE462" s="243" t="s">
        <v>449</v>
      </c>
      <c r="AF462" s="243" t="s">
        <v>449</v>
      </c>
      <c r="AG462" s="243" t="s">
        <v>449</v>
      </c>
      <c r="AH462" s="243" t="s">
        <v>449</v>
      </c>
      <c r="AI462" s="243" t="s">
        <v>449</v>
      </c>
      <c r="AJ462" s="243" t="s">
        <v>423</v>
      </c>
      <c r="AK462" s="347"/>
      <c r="AL462" s="188"/>
      <c r="AM462" s="348"/>
    </row>
    <row r="463" spans="1:39" ht="15" customHeight="1" x14ac:dyDescent="0.3">
      <c r="A463" s="185">
        <v>440</v>
      </c>
      <c r="B463" s="235" t="s">
        <v>1862</v>
      </c>
      <c r="C463" s="281" t="s">
        <v>1830</v>
      </c>
      <c r="D463" s="200" t="s">
        <v>1881</v>
      </c>
      <c r="E463" s="269"/>
      <c r="F463" s="269"/>
      <c r="G463" s="196" t="s">
        <v>1953</v>
      </c>
      <c r="H463" s="248"/>
      <c r="I463" s="317"/>
      <c r="J463" s="317"/>
      <c r="K463" s="317">
        <v>1.5</v>
      </c>
      <c r="L463" s="212">
        <v>1</v>
      </c>
      <c r="M463" s="212">
        <f t="shared" si="60"/>
        <v>2.5</v>
      </c>
      <c r="N463" s="212">
        <f t="shared" si="54"/>
        <v>0</v>
      </c>
      <c r="O463" s="212">
        <f t="shared" si="62"/>
        <v>0</v>
      </c>
      <c r="P463" s="212">
        <f t="shared" si="63"/>
        <v>10</v>
      </c>
      <c r="Q463" s="212">
        <f t="shared" si="64"/>
        <v>8</v>
      </c>
      <c r="R463" s="212">
        <f t="shared" si="61"/>
        <v>18</v>
      </c>
      <c r="S463" s="270" t="s">
        <v>1873</v>
      </c>
      <c r="T463" s="284" t="s">
        <v>1880</v>
      </c>
      <c r="U463" s="272">
        <v>119.99999999999997</v>
      </c>
      <c r="V463" s="272">
        <v>0</v>
      </c>
      <c r="W463" s="276">
        <v>44477</v>
      </c>
      <c r="X463" s="277">
        <v>44576</v>
      </c>
      <c r="Y463" s="277">
        <v>44576</v>
      </c>
      <c r="Z463" s="311">
        <f t="shared" si="59"/>
        <v>2022</v>
      </c>
      <c r="AA463" s="311">
        <f t="shared" si="52"/>
        <v>1</v>
      </c>
      <c r="AB463" s="243" t="s">
        <v>1927</v>
      </c>
      <c r="AC463" s="243" t="s">
        <v>449</v>
      </c>
      <c r="AD463" s="243" t="s">
        <v>422</v>
      </c>
      <c r="AE463" s="243" t="s">
        <v>449</v>
      </c>
      <c r="AF463" s="243" t="s">
        <v>449</v>
      </c>
      <c r="AG463" s="243" t="s">
        <v>449</v>
      </c>
      <c r="AH463" s="243" t="s">
        <v>449</v>
      </c>
      <c r="AI463" s="243" t="s">
        <v>449</v>
      </c>
      <c r="AJ463" s="243" t="s">
        <v>423</v>
      </c>
      <c r="AK463" s="244"/>
      <c r="AL463" s="33"/>
      <c r="AM463" s="33"/>
    </row>
    <row r="464" spans="1:39" ht="15" customHeight="1" x14ac:dyDescent="0.3">
      <c r="A464" s="185">
        <v>447</v>
      </c>
      <c r="B464" s="235" t="s">
        <v>1916</v>
      </c>
      <c r="C464" s="281" t="s">
        <v>1917</v>
      </c>
      <c r="D464" s="200" t="s">
        <v>1918</v>
      </c>
      <c r="E464" s="269"/>
      <c r="F464" s="269"/>
      <c r="G464" s="311" t="s">
        <v>1604</v>
      </c>
      <c r="H464" s="248"/>
      <c r="I464" s="317"/>
      <c r="J464" s="317"/>
      <c r="K464" s="317">
        <v>0</v>
      </c>
      <c r="L464" s="212">
        <v>1</v>
      </c>
      <c r="M464" s="212">
        <f t="shared" si="60"/>
        <v>1</v>
      </c>
      <c r="N464" s="212">
        <f t="shared" si="54"/>
        <v>0</v>
      </c>
      <c r="O464" s="212">
        <f t="shared" si="62"/>
        <v>0</v>
      </c>
      <c r="P464" s="212">
        <f t="shared" si="63"/>
        <v>0</v>
      </c>
      <c r="Q464" s="212">
        <f t="shared" si="64"/>
        <v>8</v>
      </c>
      <c r="R464" s="212">
        <f t="shared" si="61"/>
        <v>8</v>
      </c>
      <c r="S464" s="270" t="s">
        <v>1925</v>
      </c>
      <c r="T464" s="284" t="s">
        <v>1919</v>
      </c>
      <c r="U464" s="272">
        <v>900</v>
      </c>
      <c r="V464" s="272"/>
      <c r="W464" s="276">
        <v>44502</v>
      </c>
      <c r="X464" s="277">
        <v>44594</v>
      </c>
      <c r="Y464" s="277">
        <v>44594</v>
      </c>
      <c r="Z464" s="311">
        <f t="shared" si="59"/>
        <v>2022</v>
      </c>
      <c r="AA464" s="311">
        <f t="shared" si="52"/>
        <v>2</v>
      </c>
      <c r="AB464" s="243" t="s">
        <v>1927</v>
      </c>
      <c r="AC464" s="243" t="s">
        <v>449</v>
      </c>
      <c r="AD464" s="243" t="s">
        <v>423</v>
      </c>
      <c r="AE464" s="243" t="s">
        <v>449</v>
      </c>
      <c r="AF464" s="243" t="s">
        <v>449</v>
      </c>
      <c r="AG464" s="243" t="s">
        <v>423</v>
      </c>
      <c r="AH464" s="243" t="s">
        <v>423</v>
      </c>
      <c r="AI464" s="243" t="s">
        <v>423</v>
      </c>
      <c r="AJ464" s="243" t="s">
        <v>423</v>
      </c>
      <c r="AK464" s="33"/>
      <c r="AL464" s="33"/>
      <c r="AM464" s="33"/>
    </row>
    <row r="465" spans="1:39" ht="15" customHeight="1" x14ac:dyDescent="0.3">
      <c r="A465" s="185">
        <v>448</v>
      </c>
      <c r="B465" s="235" t="s">
        <v>1915</v>
      </c>
      <c r="C465" s="281" t="s">
        <v>1917</v>
      </c>
      <c r="D465" s="200" t="s">
        <v>1918</v>
      </c>
      <c r="E465" s="269"/>
      <c r="F465" s="269"/>
      <c r="G465" s="196" t="s">
        <v>1953</v>
      </c>
      <c r="H465" s="248"/>
      <c r="I465" s="317"/>
      <c r="J465" s="317"/>
      <c r="K465" s="317">
        <v>10</v>
      </c>
      <c r="L465" s="212">
        <v>1</v>
      </c>
      <c r="M465" s="212">
        <f t="shared" si="60"/>
        <v>11</v>
      </c>
      <c r="N465" s="212">
        <f t="shared" ref="N465" si="65">+I465/0.125</f>
        <v>0</v>
      </c>
      <c r="O465" s="212">
        <f t="shared" si="62"/>
        <v>0</v>
      </c>
      <c r="P465" s="212">
        <f t="shared" si="63"/>
        <v>66.666666666666671</v>
      </c>
      <c r="Q465" s="212">
        <f t="shared" si="64"/>
        <v>8</v>
      </c>
      <c r="R465" s="212">
        <f t="shared" si="61"/>
        <v>74.666666666666671</v>
      </c>
      <c r="S465" s="270" t="s">
        <v>1926</v>
      </c>
      <c r="T465" s="284" t="s">
        <v>1920</v>
      </c>
      <c r="U465" s="272">
        <v>600</v>
      </c>
      <c r="V465" s="272"/>
      <c r="W465" s="276">
        <v>44502</v>
      </c>
      <c r="X465" s="277">
        <v>44594</v>
      </c>
      <c r="Y465" s="277">
        <v>44594</v>
      </c>
      <c r="Z465" s="311">
        <f t="shared" si="59"/>
        <v>2022</v>
      </c>
      <c r="AA465" s="311">
        <f t="shared" si="52"/>
        <v>2</v>
      </c>
      <c r="AB465" s="243" t="s">
        <v>1927</v>
      </c>
      <c r="AC465" s="243" t="s">
        <v>449</v>
      </c>
      <c r="AD465" s="243" t="s">
        <v>423</v>
      </c>
      <c r="AE465" s="243" t="s">
        <v>449</v>
      </c>
      <c r="AF465" s="243" t="s">
        <v>449</v>
      </c>
      <c r="AG465" s="243" t="s">
        <v>423</v>
      </c>
      <c r="AH465" s="243" t="s">
        <v>449</v>
      </c>
      <c r="AI465" s="243" t="s">
        <v>423</v>
      </c>
      <c r="AJ465" s="243" t="s">
        <v>423</v>
      </c>
      <c r="AK465" s="244"/>
      <c r="AL465" s="241"/>
      <c r="AM465" s="242"/>
    </row>
    <row r="466" spans="1:39" ht="15" customHeight="1" x14ac:dyDescent="0.3">
      <c r="B466" s="235"/>
      <c r="C466" s="281"/>
      <c r="D466" s="281"/>
      <c r="E466" s="269"/>
      <c r="F466" s="269"/>
      <c r="G466" s="196"/>
      <c r="H466" s="248"/>
      <c r="I466" s="248"/>
      <c r="J466" s="248"/>
      <c r="K466" s="248"/>
      <c r="L466" s="248"/>
      <c r="M466" s="248"/>
      <c r="N466" s="248"/>
      <c r="O466" s="248"/>
      <c r="P466" s="248"/>
      <c r="Q466" s="248"/>
      <c r="R466" s="248"/>
      <c r="S466" s="286"/>
      <c r="T466" s="275"/>
      <c r="U466" s="272"/>
      <c r="V466" s="272"/>
      <c r="W466" s="276"/>
      <c r="X466" s="277"/>
      <c r="Y466" s="245"/>
      <c r="Z466" s="271"/>
      <c r="AA466" s="271"/>
      <c r="AB466" s="243"/>
      <c r="AC466" s="243"/>
      <c r="AD466" s="243"/>
      <c r="AE466" s="243"/>
      <c r="AF466" s="243"/>
      <c r="AG466" s="243"/>
      <c r="AH466" s="243"/>
      <c r="AI466" s="243"/>
      <c r="AJ466" s="243"/>
      <c r="AK466" s="244"/>
      <c r="AL466" s="241"/>
      <c r="AM466" s="242"/>
    </row>
    <row r="467" spans="1:39" ht="15" customHeight="1" x14ac:dyDescent="0.3">
      <c r="B467" s="235"/>
      <c r="C467" s="281"/>
      <c r="D467" s="281"/>
      <c r="E467" s="269"/>
      <c r="F467" s="269"/>
      <c r="G467" s="196"/>
      <c r="H467" s="248"/>
      <c r="I467" s="248"/>
      <c r="J467" s="248"/>
      <c r="K467" s="248"/>
      <c r="L467" s="248"/>
      <c r="M467" s="248"/>
      <c r="N467" s="248"/>
      <c r="O467" s="248"/>
      <c r="P467" s="248"/>
      <c r="Q467" s="248"/>
      <c r="R467" s="248"/>
      <c r="S467" s="286"/>
      <c r="T467" s="275"/>
      <c r="U467" s="272"/>
      <c r="V467" s="272"/>
      <c r="W467" s="276"/>
      <c r="X467" s="277"/>
      <c r="Y467" s="245"/>
      <c r="Z467" s="271"/>
      <c r="AA467" s="271"/>
      <c r="AB467" s="243"/>
      <c r="AC467" s="243"/>
      <c r="AD467" s="243"/>
      <c r="AE467" s="243"/>
      <c r="AF467" s="243"/>
      <c r="AG467" s="243"/>
      <c r="AH467" s="243"/>
      <c r="AI467" s="243"/>
      <c r="AJ467" s="243"/>
      <c r="AK467" s="244"/>
      <c r="AL467" s="241"/>
      <c r="AM467" s="242"/>
    </row>
    <row r="468" spans="1:39" ht="15" customHeight="1" x14ac:dyDescent="0.3">
      <c r="B468" s="235"/>
      <c r="C468" s="281"/>
      <c r="D468" s="281"/>
      <c r="E468" s="269"/>
      <c r="F468" s="269"/>
      <c r="G468" s="196"/>
      <c r="H468" s="248"/>
      <c r="I468" s="248"/>
      <c r="J468" s="248"/>
      <c r="K468" s="248"/>
      <c r="L468" s="248"/>
      <c r="M468" s="248"/>
      <c r="N468" s="248"/>
      <c r="O468" s="248"/>
      <c r="P468" s="248"/>
      <c r="Q468" s="248"/>
      <c r="R468" s="248"/>
      <c r="S468" s="286"/>
      <c r="T468" s="275"/>
      <c r="U468" s="272"/>
      <c r="V468" s="272"/>
      <c r="W468" s="276"/>
      <c r="X468" s="277"/>
      <c r="Y468" s="245"/>
      <c r="Z468" s="271"/>
      <c r="AA468" s="271"/>
      <c r="AB468" s="243"/>
      <c r="AC468" s="243"/>
      <c r="AD468" s="243"/>
      <c r="AE468" s="243"/>
      <c r="AF468" s="243"/>
      <c r="AG468" s="243"/>
      <c r="AH468" s="243"/>
      <c r="AI468" s="243"/>
      <c r="AJ468" s="243"/>
      <c r="AK468" s="244"/>
      <c r="AL468" s="241"/>
      <c r="AM468" s="242"/>
    </row>
    <row r="469" spans="1:39" ht="15" customHeight="1" x14ac:dyDescent="0.3">
      <c r="B469" s="235"/>
      <c r="C469" s="281"/>
      <c r="D469" s="281"/>
      <c r="E469" s="269"/>
      <c r="F469" s="269"/>
      <c r="G469" s="196"/>
      <c r="H469" s="248"/>
      <c r="I469" s="248"/>
      <c r="J469" s="248"/>
      <c r="K469" s="248"/>
      <c r="L469" s="248"/>
      <c r="M469" s="248"/>
      <c r="N469" s="248"/>
      <c r="O469" s="248"/>
      <c r="P469" s="248"/>
      <c r="Q469" s="248"/>
      <c r="R469" s="248"/>
      <c r="S469" s="286"/>
      <c r="T469" s="275"/>
      <c r="U469" s="272"/>
      <c r="V469" s="272"/>
      <c r="W469" s="276"/>
      <c r="X469" s="277"/>
      <c r="Y469" s="245"/>
      <c r="Z469" s="271"/>
      <c r="AA469" s="271"/>
      <c r="AB469" s="243"/>
      <c r="AC469" s="243"/>
      <c r="AD469" s="243"/>
      <c r="AE469" s="243"/>
      <c r="AF469" s="243"/>
      <c r="AG469" s="243"/>
      <c r="AH469" s="243"/>
      <c r="AI469" s="243"/>
      <c r="AJ469" s="243"/>
      <c r="AK469" s="244"/>
      <c r="AL469" s="241"/>
      <c r="AM469" s="242"/>
    </row>
    <row r="470" spans="1:39" ht="15" customHeight="1" x14ac:dyDescent="0.3">
      <c r="B470" s="235"/>
      <c r="C470" s="281"/>
      <c r="D470" s="281"/>
      <c r="E470" s="269"/>
      <c r="F470" s="269"/>
      <c r="G470" s="269"/>
      <c r="H470" s="269"/>
      <c r="I470" s="269"/>
      <c r="J470" s="269"/>
      <c r="K470" s="269"/>
      <c r="L470" s="269"/>
      <c r="M470" s="269"/>
      <c r="N470" s="269"/>
      <c r="O470" s="269"/>
      <c r="P470" s="269"/>
      <c r="Q470" s="269"/>
      <c r="R470" s="269"/>
      <c r="S470" s="286"/>
      <c r="T470" s="275"/>
      <c r="U470" s="272"/>
      <c r="V470" s="272"/>
      <c r="W470" s="276"/>
      <c r="X470" s="277"/>
      <c r="Y470" s="245"/>
      <c r="Z470" s="271"/>
      <c r="AA470" s="271"/>
      <c r="AB470" s="243"/>
      <c r="AC470" s="243"/>
      <c r="AD470" s="243"/>
      <c r="AE470" s="243"/>
      <c r="AF470" s="243"/>
      <c r="AG470" s="243"/>
      <c r="AH470" s="243"/>
      <c r="AI470" s="243"/>
      <c r="AJ470" s="243"/>
      <c r="AK470" s="244"/>
      <c r="AL470" s="241"/>
      <c r="AM470" s="242"/>
    </row>
    <row r="471" spans="1:39" ht="15" customHeight="1" x14ac:dyDescent="0.3">
      <c r="B471" s="235"/>
      <c r="C471" s="281"/>
      <c r="D471" s="281"/>
      <c r="E471" s="269"/>
      <c r="F471" s="269"/>
      <c r="G471" s="196"/>
      <c r="H471" s="248"/>
      <c r="I471" s="248"/>
      <c r="J471" s="248"/>
      <c r="K471" s="248"/>
      <c r="L471" s="248"/>
      <c r="M471" s="248"/>
      <c r="N471" s="248"/>
      <c r="O471" s="248"/>
      <c r="P471" s="248"/>
      <c r="Q471" s="248"/>
      <c r="R471" s="248"/>
      <c r="S471" s="286"/>
      <c r="T471" s="275"/>
      <c r="U471" s="272"/>
      <c r="V471" s="272"/>
      <c r="W471" s="276"/>
      <c r="X471" s="277"/>
      <c r="Y471" s="245"/>
      <c r="Z471" s="271"/>
      <c r="AA471" s="271"/>
      <c r="AB471" s="243"/>
      <c r="AC471" s="243"/>
      <c r="AD471" s="243"/>
      <c r="AE471" s="243"/>
      <c r="AF471" s="243"/>
      <c r="AG471" s="243"/>
      <c r="AH471" s="243"/>
      <c r="AI471" s="243"/>
      <c r="AJ471" s="243"/>
      <c r="AK471" s="244"/>
      <c r="AL471" s="241"/>
      <c r="AM471" s="242"/>
    </row>
    <row r="472" spans="1:39" ht="15" customHeight="1" x14ac:dyDescent="0.3">
      <c r="B472" s="235"/>
      <c r="C472" s="281"/>
      <c r="D472" s="281"/>
      <c r="E472" s="269"/>
      <c r="F472" s="269"/>
      <c r="G472" s="196"/>
      <c r="H472" s="248"/>
      <c r="I472" s="248"/>
      <c r="J472" s="248"/>
      <c r="K472" s="248"/>
      <c r="L472" s="248"/>
      <c r="M472" s="248"/>
      <c r="N472" s="248"/>
      <c r="O472" s="248"/>
      <c r="P472" s="248"/>
      <c r="Q472" s="248"/>
      <c r="R472" s="248"/>
      <c r="S472" s="286"/>
      <c r="T472" s="275"/>
      <c r="U472" s="272"/>
      <c r="V472" s="272"/>
      <c r="W472" s="276"/>
      <c r="X472" s="277"/>
      <c r="Y472" s="245"/>
      <c r="Z472" s="271"/>
      <c r="AA472" s="271"/>
      <c r="AB472" s="243"/>
      <c r="AC472" s="243"/>
      <c r="AD472" s="243"/>
      <c r="AE472" s="243"/>
      <c r="AF472" s="243"/>
      <c r="AG472" s="243"/>
      <c r="AH472" s="243"/>
      <c r="AI472" s="243"/>
      <c r="AJ472" s="243"/>
      <c r="AK472" s="244"/>
      <c r="AL472" s="241"/>
      <c r="AM472" s="242"/>
    </row>
    <row r="473" spans="1:39" ht="15" customHeight="1" x14ac:dyDescent="0.3">
      <c r="B473" s="235"/>
      <c r="C473" s="281"/>
      <c r="D473" s="281"/>
      <c r="E473" s="269"/>
      <c r="F473" s="269"/>
      <c r="G473" s="196"/>
      <c r="H473" s="248"/>
      <c r="I473" s="248"/>
      <c r="J473" s="248"/>
      <c r="K473" s="248"/>
      <c r="L473" s="248"/>
      <c r="M473" s="248"/>
      <c r="N473" s="248"/>
      <c r="O473" s="248"/>
      <c r="P473" s="248"/>
      <c r="Q473" s="248"/>
      <c r="R473" s="248"/>
      <c r="S473" s="286"/>
      <c r="T473" s="275"/>
      <c r="U473" s="272"/>
      <c r="V473" s="272"/>
      <c r="W473" s="276"/>
      <c r="X473" s="277"/>
      <c r="Y473" s="245"/>
      <c r="Z473" s="271"/>
      <c r="AA473" s="271"/>
      <c r="AB473" s="243"/>
      <c r="AC473" s="243"/>
      <c r="AD473" s="243"/>
      <c r="AE473" s="243"/>
      <c r="AF473" s="243"/>
      <c r="AG473" s="243"/>
      <c r="AH473" s="243"/>
      <c r="AI473" s="243"/>
      <c r="AJ473" s="243"/>
      <c r="AK473" s="244"/>
      <c r="AL473" s="241"/>
      <c r="AM473" s="242"/>
    </row>
    <row r="474" spans="1:39" ht="15" customHeight="1" x14ac:dyDescent="0.3">
      <c r="B474" s="235"/>
      <c r="C474" s="281"/>
      <c r="D474" s="281"/>
      <c r="E474" s="269"/>
      <c r="F474" s="269"/>
      <c r="G474" s="196"/>
      <c r="H474" s="248"/>
      <c r="I474" s="248"/>
      <c r="J474" s="248"/>
      <c r="K474" s="248"/>
      <c r="L474" s="248"/>
      <c r="M474" s="248"/>
      <c r="N474" s="248"/>
      <c r="O474" s="248"/>
      <c r="P474" s="248"/>
      <c r="Q474" s="248"/>
      <c r="R474" s="248"/>
      <c r="S474" s="286"/>
      <c r="T474" s="275"/>
      <c r="U474" s="272"/>
      <c r="V474" s="272"/>
      <c r="W474" s="276"/>
      <c r="X474" s="277"/>
      <c r="Y474" s="245"/>
      <c r="Z474" s="271"/>
      <c r="AA474" s="271"/>
      <c r="AB474" s="243"/>
      <c r="AC474" s="243"/>
      <c r="AD474" s="243"/>
      <c r="AE474" s="243"/>
      <c r="AF474" s="243"/>
      <c r="AG474" s="243"/>
      <c r="AH474" s="243"/>
      <c r="AI474" s="243"/>
      <c r="AJ474" s="243"/>
      <c r="AK474" s="244"/>
      <c r="AL474" s="241"/>
      <c r="AM474" s="242"/>
    </row>
    <row r="475" spans="1:39" ht="15" customHeight="1" x14ac:dyDescent="0.3">
      <c r="B475" s="235"/>
      <c r="C475" s="281"/>
      <c r="D475" s="281"/>
      <c r="E475" s="269"/>
      <c r="F475" s="269"/>
      <c r="G475" s="269"/>
      <c r="H475" s="269"/>
      <c r="I475" s="269"/>
      <c r="J475" s="269"/>
      <c r="K475" s="269"/>
      <c r="L475" s="269"/>
      <c r="M475" s="269"/>
      <c r="N475" s="269"/>
      <c r="O475" s="269"/>
      <c r="P475" s="269"/>
      <c r="Q475" s="269"/>
      <c r="R475" s="269"/>
      <c r="S475" s="286"/>
      <c r="T475" s="275"/>
      <c r="U475" s="272"/>
      <c r="V475" s="272"/>
      <c r="W475" s="276"/>
      <c r="X475" s="277"/>
      <c r="Y475" s="245"/>
      <c r="Z475" s="271"/>
      <c r="AA475" s="271"/>
      <c r="AB475" s="243"/>
      <c r="AC475" s="243"/>
      <c r="AD475" s="243"/>
      <c r="AE475" s="243"/>
      <c r="AF475" s="243"/>
      <c r="AG475" s="243"/>
      <c r="AH475" s="243"/>
      <c r="AI475" s="243"/>
      <c r="AJ475" s="243"/>
      <c r="AK475" s="244"/>
      <c r="AL475" s="241"/>
      <c r="AM475" s="242"/>
    </row>
    <row r="476" spans="1:39" ht="15" customHeight="1" x14ac:dyDescent="0.3">
      <c r="B476" s="235"/>
      <c r="C476" s="281"/>
      <c r="D476" s="281"/>
      <c r="E476" s="269"/>
      <c r="F476" s="269"/>
      <c r="G476" s="196"/>
      <c r="H476" s="248"/>
      <c r="I476" s="248"/>
      <c r="J476" s="248"/>
      <c r="K476" s="248"/>
      <c r="L476" s="248"/>
      <c r="M476" s="248"/>
      <c r="N476" s="248"/>
      <c r="O476" s="248"/>
      <c r="P476" s="248"/>
      <c r="Q476" s="248"/>
      <c r="R476" s="248"/>
      <c r="S476" s="286"/>
      <c r="T476" s="275"/>
      <c r="U476" s="272"/>
      <c r="V476" s="272"/>
      <c r="W476" s="276"/>
      <c r="X476" s="277"/>
      <c r="Y476" s="245"/>
      <c r="Z476" s="271"/>
      <c r="AA476" s="271"/>
      <c r="AB476" s="243"/>
      <c r="AC476" s="243"/>
      <c r="AD476" s="243"/>
      <c r="AE476" s="243"/>
      <c r="AF476" s="243"/>
      <c r="AG476" s="243"/>
      <c r="AH476" s="243"/>
      <c r="AI476" s="243"/>
      <c r="AJ476" s="243"/>
      <c r="AK476" s="244"/>
      <c r="AL476" s="241"/>
      <c r="AM476" s="242"/>
    </row>
    <row r="477" spans="1:39" ht="15" customHeight="1" x14ac:dyDescent="0.3">
      <c r="B477" s="235"/>
      <c r="C477" s="281"/>
      <c r="D477" s="281"/>
      <c r="E477" s="269"/>
      <c r="F477" s="269"/>
      <c r="G477" s="196"/>
      <c r="H477" s="248"/>
      <c r="I477" s="248"/>
      <c r="J477" s="248"/>
      <c r="K477" s="248"/>
      <c r="L477" s="248"/>
      <c r="M477" s="248"/>
      <c r="N477" s="248"/>
      <c r="O477" s="248"/>
      <c r="P477" s="248"/>
      <c r="Q477" s="248"/>
      <c r="R477" s="248"/>
      <c r="S477" s="286"/>
      <c r="T477" s="275"/>
      <c r="U477" s="272"/>
      <c r="V477" s="272"/>
      <c r="W477" s="276"/>
      <c r="X477" s="277"/>
      <c r="Y477" s="245"/>
      <c r="Z477" s="271"/>
      <c r="AA477" s="271"/>
      <c r="AB477" s="243"/>
      <c r="AC477" s="243"/>
      <c r="AD477" s="243"/>
      <c r="AE477" s="243"/>
      <c r="AF477" s="243"/>
      <c r="AG477" s="243"/>
      <c r="AH477" s="243"/>
      <c r="AI477" s="243"/>
      <c r="AJ477" s="243"/>
      <c r="AK477" s="244"/>
      <c r="AL477" s="241"/>
      <c r="AM477" s="242"/>
    </row>
    <row r="478" spans="1:39" ht="15" customHeight="1" x14ac:dyDescent="0.3">
      <c r="B478" s="235"/>
      <c r="C478" s="281"/>
      <c r="D478" s="281"/>
      <c r="E478" s="269"/>
      <c r="F478" s="269"/>
      <c r="G478" s="196"/>
      <c r="H478" s="248"/>
      <c r="I478" s="248"/>
      <c r="J478" s="248"/>
      <c r="K478" s="248"/>
      <c r="L478" s="248"/>
      <c r="M478" s="248"/>
      <c r="N478" s="248"/>
      <c r="O478" s="248"/>
      <c r="P478" s="248"/>
      <c r="Q478" s="248"/>
      <c r="R478" s="248"/>
      <c r="S478" s="286"/>
      <c r="T478" s="275"/>
      <c r="U478" s="272"/>
      <c r="V478" s="272"/>
      <c r="W478" s="276"/>
      <c r="X478" s="277"/>
      <c r="Y478" s="245"/>
      <c r="Z478" s="271"/>
      <c r="AA478" s="271"/>
      <c r="AB478" s="243"/>
      <c r="AC478" s="243"/>
      <c r="AD478" s="243"/>
      <c r="AE478" s="243"/>
      <c r="AF478" s="243"/>
      <c r="AG478" s="243"/>
      <c r="AH478" s="243"/>
      <c r="AI478" s="243"/>
      <c r="AJ478" s="243"/>
      <c r="AK478" s="244"/>
      <c r="AL478" s="241"/>
      <c r="AM478" s="242"/>
    </row>
    <row r="479" spans="1:39" ht="15" customHeight="1" x14ac:dyDescent="0.3">
      <c r="B479" s="235"/>
      <c r="C479" s="281"/>
      <c r="D479" s="281"/>
      <c r="E479" s="269"/>
      <c r="F479" s="269"/>
      <c r="G479" s="196"/>
      <c r="H479" s="248"/>
      <c r="I479" s="248"/>
      <c r="J479" s="248"/>
      <c r="K479" s="248"/>
      <c r="L479" s="248"/>
      <c r="M479" s="248"/>
      <c r="N479" s="248"/>
      <c r="O479" s="248"/>
      <c r="P479" s="248"/>
      <c r="Q479" s="248"/>
      <c r="R479" s="248"/>
      <c r="S479" s="286"/>
      <c r="T479" s="275"/>
      <c r="U479" s="272"/>
      <c r="V479" s="272"/>
      <c r="W479" s="276"/>
      <c r="X479" s="277"/>
      <c r="Y479" s="245"/>
      <c r="Z479" s="271"/>
      <c r="AA479" s="271"/>
      <c r="AB479" s="243"/>
      <c r="AC479" s="243"/>
      <c r="AD479" s="243"/>
      <c r="AE479" s="243"/>
      <c r="AF479" s="243"/>
      <c r="AG479" s="243"/>
      <c r="AH479" s="243"/>
      <c r="AI479" s="243"/>
      <c r="AJ479" s="243"/>
      <c r="AK479" s="244"/>
      <c r="AL479" s="241"/>
      <c r="AM479" s="242"/>
    </row>
    <row r="480" spans="1:39" ht="15" customHeight="1" x14ac:dyDescent="0.3">
      <c r="B480" s="235"/>
      <c r="C480" s="281"/>
      <c r="D480" s="281"/>
      <c r="E480" s="269"/>
      <c r="F480" s="269"/>
      <c r="G480" s="269"/>
      <c r="H480" s="269"/>
      <c r="I480" s="269"/>
      <c r="J480" s="269"/>
      <c r="K480" s="269"/>
      <c r="L480" s="269"/>
      <c r="M480" s="269"/>
      <c r="N480" s="269"/>
      <c r="O480" s="269"/>
      <c r="P480" s="269"/>
      <c r="Q480" s="269"/>
      <c r="R480" s="269"/>
      <c r="S480" s="286"/>
      <c r="T480" s="275"/>
      <c r="U480" s="272"/>
      <c r="V480" s="272"/>
      <c r="W480" s="276"/>
      <c r="X480" s="277"/>
      <c r="Y480" s="245"/>
      <c r="Z480" s="271"/>
      <c r="AA480" s="271"/>
      <c r="AB480" s="243"/>
      <c r="AC480" s="243"/>
      <c r="AD480" s="243"/>
      <c r="AE480" s="243"/>
      <c r="AF480" s="243"/>
      <c r="AG480" s="243"/>
      <c r="AH480" s="243"/>
      <c r="AI480" s="243"/>
      <c r="AJ480" s="243"/>
      <c r="AK480" s="244"/>
      <c r="AL480" s="241"/>
      <c r="AM480" s="242"/>
    </row>
    <row r="481" spans="2:39" ht="15" customHeight="1" x14ac:dyDescent="0.3">
      <c r="B481" s="235"/>
      <c r="C481" s="281"/>
      <c r="D481" s="281"/>
      <c r="E481" s="269"/>
      <c r="F481" s="269"/>
      <c r="G481" s="196"/>
      <c r="H481" s="248"/>
      <c r="I481" s="248"/>
      <c r="J481" s="248"/>
      <c r="K481" s="248"/>
      <c r="L481" s="248"/>
      <c r="M481" s="248"/>
      <c r="N481" s="248"/>
      <c r="O481" s="248"/>
      <c r="P481" s="248"/>
      <c r="Q481" s="248"/>
      <c r="R481" s="248"/>
      <c r="S481" s="286"/>
      <c r="T481" s="275"/>
      <c r="U481" s="272"/>
      <c r="V481" s="272"/>
      <c r="W481" s="276"/>
      <c r="X481" s="277"/>
      <c r="Y481" s="245"/>
      <c r="Z481" s="271"/>
      <c r="AA481" s="271"/>
      <c r="AB481" s="243"/>
      <c r="AC481" s="243"/>
      <c r="AD481" s="243"/>
      <c r="AE481" s="243"/>
      <c r="AF481" s="243"/>
      <c r="AG481" s="243"/>
      <c r="AH481" s="243"/>
      <c r="AI481" s="243"/>
      <c r="AJ481" s="243"/>
      <c r="AK481" s="244"/>
      <c r="AL481" s="241"/>
      <c r="AM481" s="242"/>
    </row>
    <row r="482" spans="2:39" ht="15" customHeight="1" x14ac:dyDescent="0.3">
      <c r="B482" s="235"/>
      <c r="C482" s="281"/>
      <c r="D482" s="281"/>
      <c r="E482" s="269"/>
      <c r="F482" s="269"/>
      <c r="G482" s="196"/>
      <c r="H482" s="248"/>
      <c r="I482" s="248"/>
      <c r="J482" s="248"/>
      <c r="K482" s="248"/>
      <c r="L482" s="248"/>
      <c r="M482" s="248"/>
      <c r="N482" s="248"/>
      <c r="O482" s="248"/>
      <c r="P482" s="248"/>
      <c r="Q482" s="248"/>
      <c r="R482" s="248"/>
      <c r="S482" s="286"/>
      <c r="T482" s="275"/>
      <c r="U482" s="272"/>
      <c r="V482" s="272"/>
      <c r="W482" s="276"/>
      <c r="X482" s="277"/>
      <c r="Y482" s="245"/>
      <c r="Z482" s="271"/>
      <c r="AA482" s="271"/>
      <c r="AB482" s="243"/>
      <c r="AC482" s="243"/>
      <c r="AD482" s="243"/>
      <c r="AE482" s="243"/>
      <c r="AF482" s="243"/>
      <c r="AG482" s="243"/>
      <c r="AH482" s="243"/>
      <c r="AI482" s="243"/>
      <c r="AJ482" s="243"/>
      <c r="AK482" s="244"/>
      <c r="AL482" s="241"/>
      <c r="AM482" s="242"/>
    </row>
    <row r="483" spans="2:39" ht="15" customHeight="1" x14ac:dyDescent="0.3">
      <c r="B483" s="235"/>
      <c r="C483" s="281"/>
      <c r="D483" s="281"/>
      <c r="E483" s="269"/>
      <c r="F483" s="269"/>
      <c r="G483" s="196"/>
      <c r="H483" s="248"/>
      <c r="I483" s="248"/>
      <c r="J483" s="248"/>
      <c r="K483" s="248"/>
      <c r="L483" s="248"/>
      <c r="M483" s="248"/>
      <c r="N483" s="248"/>
      <c r="O483" s="248"/>
      <c r="P483" s="248"/>
      <c r="Q483" s="248"/>
      <c r="R483" s="248"/>
      <c r="S483" s="286"/>
      <c r="T483" s="275"/>
      <c r="U483" s="272"/>
      <c r="V483" s="272"/>
      <c r="W483" s="276"/>
      <c r="X483" s="277"/>
      <c r="Y483" s="245"/>
      <c r="Z483" s="271"/>
      <c r="AA483" s="271"/>
      <c r="AB483" s="243"/>
      <c r="AC483" s="243"/>
      <c r="AD483" s="243"/>
      <c r="AE483" s="243"/>
      <c r="AF483" s="243"/>
      <c r="AG483" s="243"/>
      <c r="AH483" s="243"/>
      <c r="AI483" s="243"/>
      <c r="AJ483" s="243"/>
      <c r="AK483" s="244"/>
      <c r="AL483" s="241"/>
      <c r="AM483" s="242"/>
    </row>
    <row r="484" spans="2:39" ht="15" customHeight="1" x14ac:dyDescent="0.3">
      <c r="B484" s="235"/>
      <c r="C484" s="281"/>
      <c r="D484" s="281"/>
      <c r="E484" s="269"/>
      <c r="F484" s="269"/>
      <c r="G484" s="196"/>
      <c r="H484" s="248"/>
      <c r="I484" s="248"/>
      <c r="J484" s="248"/>
      <c r="K484" s="248"/>
      <c r="L484" s="248"/>
      <c r="M484" s="248"/>
      <c r="N484" s="248"/>
      <c r="O484" s="248"/>
      <c r="P484" s="248"/>
      <c r="Q484" s="248"/>
      <c r="R484" s="248"/>
      <c r="S484" s="286"/>
      <c r="T484" s="275"/>
      <c r="U484" s="272"/>
      <c r="V484" s="272"/>
      <c r="W484" s="276"/>
      <c r="X484" s="277"/>
      <c r="Y484" s="245"/>
      <c r="Z484" s="271"/>
      <c r="AA484" s="271"/>
      <c r="AB484" s="243"/>
      <c r="AC484" s="243"/>
      <c r="AD484" s="243"/>
      <c r="AE484" s="243"/>
      <c r="AF484" s="243"/>
      <c r="AG484" s="243"/>
      <c r="AH484" s="243"/>
      <c r="AI484" s="243"/>
      <c r="AJ484" s="243"/>
      <c r="AK484" s="244"/>
      <c r="AL484" s="241"/>
      <c r="AM484" s="242"/>
    </row>
    <row r="485" spans="2:39" ht="15" customHeight="1" x14ac:dyDescent="0.3">
      <c r="B485" s="235"/>
      <c r="C485" s="281"/>
      <c r="D485" s="281"/>
      <c r="E485" s="269"/>
      <c r="F485" s="269"/>
      <c r="G485" s="269"/>
      <c r="H485" s="269"/>
      <c r="I485" s="269"/>
      <c r="J485" s="269"/>
      <c r="K485" s="269"/>
      <c r="L485" s="269"/>
      <c r="M485" s="269"/>
      <c r="N485" s="269"/>
      <c r="O485" s="269"/>
      <c r="P485" s="269"/>
      <c r="Q485" s="269"/>
      <c r="R485" s="269"/>
      <c r="S485" s="286"/>
      <c r="T485" s="275"/>
      <c r="U485" s="272"/>
      <c r="V485" s="272"/>
      <c r="W485" s="276"/>
      <c r="X485" s="277"/>
      <c r="Y485" s="245"/>
      <c r="Z485" s="271"/>
      <c r="AA485" s="271"/>
      <c r="AB485" s="243"/>
      <c r="AC485" s="243"/>
      <c r="AD485" s="243"/>
      <c r="AE485" s="243"/>
      <c r="AF485" s="243"/>
      <c r="AG485" s="243"/>
      <c r="AH485" s="243"/>
      <c r="AI485" s="243"/>
      <c r="AJ485" s="243"/>
      <c r="AK485" s="244"/>
      <c r="AL485" s="241"/>
      <c r="AM485" s="242"/>
    </row>
    <row r="486" spans="2:39" ht="15" customHeight="1" x14ac:dyDescent="0.3">
      <c r="B486" s="235"/>
      <c r="C486" s="281"/>
      <c r="D486" s="281"/>
      <c r="E486" s="269"/>
      <c r="F486" s="269"/>
      <c r="G486" s="269"/>
      <c r="H486" s="269"/>
      <c r="I486" s="269"/>
      <c r="J486" s="269"/>
      <c r="K486" s="269"/>
      <c r="L486" s="269"/>
      <c r="M486" s="269"/>
      <c r="N486" s="269"/>
      <c r="O486" s="269"/>
      <c r="P486" s="269"/>
      <c r="Q486" s="269"/>
      <c r="R486" s="269"/>
      <c r="S486" s="286"/>
      <c r="T486" s="275"/>
      <c r="U486" s="272"/>
      <c r="V486" s="272"/>
      <c r="W486" s="276"/>
      <c r="X486" s="277"/>
      <c r="Y486" s="245"/>
      <c r="Z486" s="271"/>
      <c r="AA486" s="271"/>
      <c r="AB486" s="243"/>
      <c r="AC486" s="243"/>
      <c r="AD486" s="243"/>
      <c r="AE486" s="243"/>
      <c r="AF486" s="243"/>
      <c r="AG486" s="243"/>
      <c r="AH486" s="243"/>
      <c r="AI486" s="243"/>
      <c r="AJ486" s="243"/>
      <c r="AK486" s="244"/>
      <c r="AL486" s="241"/>
      <c r="AM486" s="242"/>
    </row>
    <row r="487" spans="2:39" ht="15" customHeight="1" x14ac:dyDescent="0.3">
      <c r="B487" s="281"/>
      <c r="C487" s="247"/>
      <c r="D487" s="247"/>
      <c r="E487" s="273"/>
      <c r="F487" s="273"/>
      <c r="G487" s="273"/>
      <c r="H487" s="273"/>
      <c r="I487" s="273"/>
      <c r="J487" s="273"/>
      <c r="K487" s="273"/>
      <c r="L487" s="273"/>
      <c r="M487" s="273"/>
      <c r="N487" s="273"/>
      <c r="O487" s="273"/>
      <c r="P487" s="273"/>
      <c r="Q487" s="273"/>
      <c r="R487" s="273"/>
      <c r="S487" s="274"/>
      <c r="T487" s="275"/>
      <c r="U487" s="273"/>
      <c r="V487" s="273"/>
      <c r="W487" s="276"/>
      <c r="X487" s="277"/>
      <c r="Y487" s="26"/>
      <c r="Z487" s="236"/>
      <c r="AA487" s="236"/>
      <c r="AB487" s="278"/>
      <c r="AC487" s="278"/>
      <c r="AD487" s="278"/>
      <c r="AE487" s="278"/>
      <c r="AF487" s="278"/>
      <c r="AG487" s="278"/>
      <c r="AH487" s="278"/>
      <c r="AI487" s="278"/>
      <c r="AJ487" s="278"/>
      <c r="AK487" s="279"/>
      <c r="AL487" s="33"/>
      <c r="AM487" s="1"/>
    </row>
    <row r="488" spans="2:39" ht="15" customHeight="1" x14ac:dyDescent="0.3">
      <c r="B488" s="240"/>
      <c r="C488" s="240"/>
      <c r="D488" s="240"/>
      <c r="E488" s="240"/>
      <c r="F488" s="240"/>
      <c r="G488" s="240"/>
      <c r="H488" s="240"/>
      <c r="I488" s="240"/>
      <c r="J488" s="240"/>
      <c r="K488" s="240"/>
      <c r="L488" s="240"/>
      <c r="M488" s="240"/>
      <c r="N488" s="240"/>
      <c r="O488" s="240"/>
      <c r="P488" s="240"/>
      <c r="Q488" s="240"/>
      <c r="R488" s="240"/>
      <c r="S488" s="239"/>
      <c r="T488" s="239"/>
      <c r="U488" s="237"/>
      <c r="V488" s="198"/>
      <c r="W488" s="231"/>
      <c r="X488" s="231"/>
      <c r="Y488" s="191"/>
      <c r="Z488" s="238"/>
      <c r="AA488" s="238"/>
      <c r="AB488" s="190"/>
      <c r="AC488" s="190"/>
      <c r="AD488" s="190"/>
      <c r="AE488" s="190"/>
      <c r="AF488" s="190"/>
      <c r="AG488" s="190"/>
      <c r="AH488" s="190"/>
      <c r="AI488" s="190"/>
      <c r="AJ488" s="190"/>
      <c r="AK488" s="192"/>
      <c r="AL488" s="241"/>
      <c r="AM488" s="242"/>
    </row>
    <row r="489" spans="2:39" ht="15" customHeight="1" x14ac:dyDescent="0.3">
      <c r="B489" s="240"/>
      <c r="C489" s="240"/>
      <c r="D489" s="240"/>
      <c r="E489" s="240"/>
      <c r="F489" s="240"/>
      <c r="G489" s="240"/>
      <c r="H489" s="240"/>
      <c r="I489" s="240"/>
      <c r="J489" s="240"/>
      <c r="K489" s="240"/>
      <c r="L489" s="240"/>
      <c r="M489" s="240"/>
      <c r="N489" s="240"/>
      <c r="O489" s="240"/>
      <c r="P489" s="240"/>
      <c r="Q489" s="240"/>
      <c r="R489" s="240"/>
      <c r="S489" s="239"/>
      <c r="T489" s="239"/>
      <c r="U489" s="237"/>
      <c r="V489" s="198"/>
      <c r="W489" s="231"/>
      <c r="X489" s="231"/>
      <c r="Y489" s="191"/>
      <c r="Z489" s="238"/>
      <c r="AA489" s="238"/>
      <c r="AB489" s="190"/>
      <c r="AC489" s="190"/>
      <c r="AD489" s="190"/>
      <c r="AE489" s="190"/>
      <c r="AF489" s="190"/>
      <c r="AG489" s="190"/>
      <c r="AH489" s="190"/>
      <c r="AI489" s="190"/>
      <c r="AJ489" s="190"/>
      <c r="AK489" s="192"/>
      <c r="AL489" s="241"/>
      <c r="AM489" s="242"/>
    </row>
    <row r="490" spans="2:39" ht="15" customHeight="1" x14ac:dyDescent="0.3">
      <c r="B490" s="235"/>
      <c r="C490" s="235"/>
      <c r="D490" s="235"/>
      <c r="E490" s="235"/>
      <c r="F490" s="235"/>
      <c r="G490" s="235"/>
      <c r="H490" s="235"/>
      <c r="I490" s="235"/>
      <c r="J490" s="235"/>
      <c r="K490" s="235"/>
      <c r="L490" s="235"/>
      <c r="M490" s="235"/>
      <c r="N490" s="235"/>
      <c r="O490" s="235"/>
      <c r="P490" s="235"/>
      <c r="Q490" s="235"/>
      <c r="R490" s="235"/>
      <c r="S490" s="234"/>
      <c r="T490" s="234"/>
      <c r="U490" s="233"/>
      <c r="V490" s="198"/>
      <c r="W490" s="231"/>
      <c r="X490" s="231"/>
      <c r="Y490" s="215"/>
      <c r="Z490" s="193"/>
      <c r="AA490" s="193"/>
      <c r="AB490" s="190"/>
      <c r="AC490" s="190"/>
      <c r="AD490" s="190"/>
      <c r="AE490" s="190"/>
      <c r="AF490" s="190"/>
      <c r="AG490" s="190"/>
      <c r="AH490" s="190"/>
      <c r="AI490" s="190"/>
      <c r="AJ490" s="190"/>
      <c r="AK490" s="192"/>
      <c r="AL490" s="241"/>
      <c r="AM490" s="241"/>
    </row>
    <row r="491" spans="2:39" ht="15" customHeight="1" x14ac:dyDescent="0.3">
      <c r="B491" s="235"/>
      <c r="C491" s="235"/>
      <c r="D491" s="235"/>
      <c r="E491" s="235"/>
      <c r="F491" s="235"/>
      <c r="G491" s="235"/>
      <c r="H491" s="235"/>
      <c r="I491" s="235"/>
      <c r="J491" s="235"/>
      <c r="K491" s="235"/>
      <c r="L491" s="235"/>
      <c r="M491" s="235"/>
      <c r="N491" s="235"/>
      <c r="O491" s="235"/>
      <c r="P491" s="235"/>
      <c r="Q491" s="235"/>
      <c r="R491" s="235"/>
      <c r="S491" s="234"/>
      <c r="T491" s="234"/>
      <c r="U491" s="233"/>
      <c r="V491" s="198"/>
      <c r="W491" s="231"/>
      <c r="X491" s="231"/>
      <c r="Y491" s="215"/>
      <c r="Z491" s="193"/>
      <c r="AA491" s="193"/>
      <c r="AB491" s="190"/>
      <c r="AC491" s="190"/>
      <c r="AD491" s="190"/>
      <c r="AE491" s="190"/>
      <c r="AF491" s="190"/>
      <c r="AG491" s="190"/>
      <c r="AH491" s="190"/>
      <c r="AI491" s="190"/>
      <c r="AJ491" s="190"/>
      <c r="AK491" s="192"/>
      <c r="AL491" s="241"/>
      <c r="AM491" s="241"/>
    </row>
    <row r="492" spans="2:39" ht="15" customHeight="1" x14ac:dyDescent="0.3"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30"/>
      <c r="S492" s="234"/>
      <c r="T492" s="234"/>
      <c r="U492" s="40"/>
      <c r="V492" s="40"/>
      <c r="W492" s="231"/>
      <c r="X492" s="231"/>
      <c r="Y492" s="193"/>
      <c r="Z492" s="193"/>
      <c r="AA492" s="193"/>
      <c r="AB492" s="190"/>
      <c r="AC492" s="190"/>
      <c r="AD492" s="190"/>
      <c r="AE492" s="190"/>
      <c r="AF492" s="190"/>
      <c r="AG492" s="190"/>
      <c r="AH492" s="190"/>
      <c r="AI492" s="190"/>
      <c r="AJ492" s="190"/>
      <c r="AK492" s="192"/>
      <c r="AL492" s="241"/>
      <c r="AM492" s="241"/>
    </row>
  </sheetData>
  <autoFilter ref="B2:AM466" xr:uid="{00000000-0009-0000-0000-000004000000}"/>
  <printOptions horizontalCentered="1"/>
  <pageMargins left="0.19685039370078741" right="0" top="0.39370078740157483" bottom="0.39370078740157483" header="0.19685039370078741" footer="0.19685039370078741"/>
  <pageSetup paperSize="9" scale="65" orientation="landscape" horizontalDpi="120" verticalDpi="72" r:id="rId1"/>
  <headerFooter>
    <oddHeader>&amp;R&amp;P</oddHeader>
  </headerFooter>
  <rowBreaks count="2" manualBreakCount="2">
    <brk id="482" min="1" max="26" man="1"/>
    <brk id="488" min="1" max="26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pageSetUpPr fitToPage="1"/>
  </sheetPr>
  <dimension ref="A2:AY21"/>
  <sheetViews>
    <sheetView zoomScale="85" zoomScaleNormal="85" workbookViewId="0">
      <pane xSplit="19" ySplit="2" topLeftCell="T3" activePane="bottomRight" state="frozen"/>
      <selection activeCell="D27" sqref="D27"/>
      <selection pane="topRight" activeCell="D27" sqref="D27"/>
      <selection pane="bottomLeft" activeCell="D27" sqref="D27"/>
      <selection pane="bottomRight" activeCell="D27" sqref="D27"/>
    </sheetView>
  </sheetViews>
  <sheetFormatPr baseColWidth="10" defaultColWidth="11.44140625" defaultRowHeight="14.4" x14ac:dyDescent="0.3"/>
  <cols>
    <col min="1" max="1" width="11.88671875" style="30" customWidth="1"/>
    <col min="2" max="2" width="8.44140625" style="32" hidden="1" customWidth="1"/>
    <col min="3" max="3" width="28.5546875" style="31" customWidth="1"/>
    <col min="4" max="4" width="39.109375" style="31" customWidth="1"/>
    <col min="5" max="6" width="9.33203125" style="32" customWidth="1"/>
    <col min="7" max="7" width="13.44140625" style="30" customWidth="1"/>
    <col min="8" max="8" width="12.88671875" style="2" customWidth="1"/>
    <col min="9" max="9" width="32.44140625" style="32" customWidth="1"/>
    <col min="10" max="14" width="6.109375" style="32" customWidth="1"/>
    <col min="15" max="15" width="6.33203125" style="32" customWidth="1"/>
    <col min="16" max="16" width="5.6640625" style="32" customWidth="1"/>
    <col min="17" max="17" width="5.88671875" style="32" customWidth="1"/>
    <col min="18" max="18" width="6.33203125" style="32" customWidth="1"/>
    <col min="19" max="19" width="14.44140625" style="32" customWidth="1"/>
    <col min="20" max="20" width="35.33203125" style="33" customWidth="1"/>
    <col min="21" max="44" width="3.6640625" style="30" customWidth="1"/>
    <col min="45" max="55" width="4.33203125" style="30" customWidth="1"/>
    <col min="56" max="16384" width="11.44140625" style="30"/>
  </cols>
  <sheetData>
    <row r="2" spans="1:51" s="80" customFormat="1" ht="65.25" customHeight="1" thickBot="1" x14ac:dyDescent="0.35">
      <c r="A2" s="146" t="s">
        <v>73</v>
      </c>
      <c r="B2" s="147" t="s">
        <v>26</v>
      </c>
      <c r="C2" s="148" t="s">
        <v>27</v>
      </c>
      <c r="D2" s="148" t="s">
        <v>463</v>
      </c>
      <c r="E2" s="149" t="s">
        <v>302</v>
      </c>
      <c r="F2" s="149" t="s">
        <v>301</v>
      </c>
      <c r="G2" s="150" t="s">
        <v>29</v>
      </c>
      <c r="H2" s="151" t="s">
        <v>70</v>
      </c>
      <c r="I2" s="150" t="s">
        <v>71</v>
      </c>
      <c r="J2" s="152" t="s">
        <v>418</v>
      </c>
      <c r="K2" s="152" t="s">
        <v>448</v>
      </c>
      <c r="L2" s="152" t="s">
        <v>392</v>
      </c>
      <c r="M2" s="152" t="s">
        <v>464</v>
      </c>
      <c r="N2" s="152" t="s">
        <v>450</v>
      </c>
      <c r="O2" s="152" t="s">
        <v>85</v>
      </c>
      <c r="P2" s="152" t="s">
        <v>452</v>
      </c>
      <c r="Q2" s="152" t="s">
        <v>420</v>
      </c>
      <c r="R2" s="152" t="s">
        <v>421</v>
      </c>
      <c r="S2" s="153" t="s">
        <v>137</v>
      </c>
      <c r="T2" s="53" t="s">
        <v>257</v>
      </c>
    </row>
    <row r="3" spans="1:51" s="33" customFormat="1" x14ac:dyDescent="0.3">
      <c r="A3" s="418" t="s">
        <v>472</v>
      </c>
      <c r="B3" s="126"/>
      <c r="C3" s="88" t="s">
        <v>451</v>
      </c>
      <c r="D3" s="88" t="s">
        <v>465</v>
      </c>
      <c r="E3" s="82">
        <v>9</v>
      </c>
      <c r="F3" s="82"/>
      <c r="G3" s="154">
        <v>43199</v>
      </c>
      <c r="H3" s="90" t="s">
        <v>83</v>
      </c>
      <c r="I3" s="155"/>
      <c r="J3" s="126" t="s">
        <v>422</v>
      </c>
      <c r="K3" s="126" t="s">
        <v>422</v>
      </c>
      <c r="L3" s="126" t="s">
        <v>422</v>
      </c>
      <c r="M3" s="126" t="s">
        <v>423</v>
      </c>
      <c r="N3" s="126" t="s">
        <v>422</v>
      </c>
      <c r="O3" s="126" t="s">
        <v>422</v>
      </c>
      <c r="P3" s="126" t="s">
        <v>422</v>
      </c>
      <c r="Q3" s="126" t="s">
        <v>422</v>
      </c>
      <c r="R3" s="126" t="s">
        <v>423</v>
      </c>
      <c r="S3" s="156"/>
      <c r="T3" s="162" t="s">
        <v>609</v>
      </c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</row>
    <row r="4" spans="1:51" s="33" customFormat="1" x14ac:dyDescent="0.3">
      <c r="A4" s="419"/>
      <c r="B4" s="40"/>
      <c r="C4" s="17" t="s">
        <v>453</v>
      </c>
      <c r="D4" s="17" t="s">
        <v>466</v>
      </c>
      <c r="E4" s="40">
        <v>2</v>
      </c>
      <c r="F4" s="40"/>
      <c r="G4" s="3">
        <v>43199</v>
      </c>
      <c r="H4" s="5" t="s">
        <v>83</v>
      </c>
      <c r="I4" s="137"/>
      <c r="J4" s="21" t="s">
        <v>422</v>
      </c>
      <c r="K4" s="21" t="s">
        <v>422</v>
      </c>
      <c r="L4" s="21" t="s">
        <v>422</v>
      </c>
      <c r="M4" s="21" t="s">
        <v>423</v>
      </c>
      <c r="N4" s="21" t="s">
        <v>422</v>
      </c>
      <c r="O4" s="21" t="s">
        <v>422</v>
      </c>
      <c r="P4" s="21" t="s">
        <v>422</v>
      </c>
      <c r="Q4" s="21" t="s">
        <v>422</v>
      </c>
      <c r="R4" s="21" t="s">
        <v>423</v>
      </c>
      <c r="S4" s="157"/>
      <c r="T4" s="162" t="s">
        <v>609</v>
      </c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</row>
    <row r="5" spans="1:51" s="33" customFormat="1" x14ac:dyDescent="0.3">
      <c r="A5" s="419"/>
      <c r="B5" s="40"/>
      <c r="C5" s="17" t="s">
        <v>455</v>
      </c>
      <c r="D5" s="17" t="s">
        <v>467</v>
      </c>
      <c r="E5" s="40">
        <v>2</v>
      </c>
      <c r="F5" s="40"/>
      <c r="G5" s="3">
        <v>43199</v>
      </c>
      <c r="H5" s="3" t="s">
        <v>83</v>
      </c>
      <c r="I5" s="40"/>
      <c r="J5" s="21" t="s">
        <v>422</v>
      </c>
      <c r="K5" s="21" t="s">
        <v>422</v>
      </c>
      <c r="L5" s="21" t="s">
        <v>422</v>
      </c>
      <c r="M5" s="21" t="s">
        <v>423</v>
      </c>
      <c r="N5" s="21" t="s">
        <v>422</v>
      </c>
      <c r="O5" s="21" t="s">
        <v>422</v>
      </c>
      <c r="P5" s="21" t="s">
        <v>422</v>
      </c>
      <c r="Q5" s="21" t="s">
        <v>422</v>
      </c>
      <c r="R5" s="21" t="s">
        <v>423</v>
      </c>
      <c r="S5" s="157"/>
      <c r="T5" s="162" t="s">
        <v>609</v>
      </c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</row>
    <row r="6" spans="1:51" s="33" customFormat="1" x14ac:dyDescent="0.3">
      <c r="A6" s="419"/>
      <c r="B6" s="40"/>
      <c r="C6" s="17" t="s">
        <v>456</v>
      </c>
      <c r="D6" s="17" t="s">
        <v>468</v>
      </c>
      <c r="E6" s="40">
        <v>2</v>
      </c>
      <c r="F6" s="40"/>
      <c r="G6" s="3">
        <v>43199</v>
      </c>
      <c r="H6" s="3" t="s">
        <v>83</v>
      </c>
      <c r="I6" s="40"/>
      <c r="J6" s="21" t="s">
        <v>422</v>
      </c>
      <c r="K6" s="21" t="s">
        <v>422</v>
      </c>
      <c r="L6" s="21" t="s">
        <v>422</v>
      </c>
      <c r="M6" s="21" t="s">
        <v>423</v>
      </c>
      <c r="N6" s="21" t="s">
        <v>422</v>
      </c>
      <c r="O6" s="21" t="s">
        <v>422</v>
      </c>
      <c r="P6" s="21" t="s">
        <v>422</v>
      </c>
      <c r="Q6" s="21" t="s">
        <v>422</v>
      </c>
      <c r="R6" s="21" t="s">
        <v>423</v>
      </c>
      <c r="S6" s="157"/>
      <c r="T6" s="162" t="s">
        <v>609</v>
      </c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</row>
    <row r="7" spans="1:51" s="33" customFormat="1" x14ac:dyDescent="0.3">
      <c r="A7" s="419"/>
      <c r="B7" s="40"/>
      <c r="C7" s="17" t="s">
        <v>457</v>
      </c>
      <c r="D7" s="17" t="s">
        <v>469</v>
      </c>
      <c r="E7" s="40">
        <v>9</v>
      </c>
      <c r="F7" s="40"/>
      <c r="G7" s="3">
        <v>43199</v>
      </c>
      <c r="H7" s="3" t="s">
        <v>83</v>
      </c>
      <c r="I7" s="40"/>
      <c r="J7" s="21" t="s">
        <v>422</v>
      </c>
      <c r="K7" s="21" t="s">
        <v>422</v>
      </c>
      <c r="L7" s="21" t="s">
        <v>422</v>
      </c>
      <c r="M7" s="21" t="s">
        <v>422</v>
      </c>
      <c r="N7" s="21" t="s">
        <v>422</v>
      </c>
      <c r="O7" s="21" t="s">
        <v>422</v>
      </c>
      <c r="P7" s="21" t="s">
        <v>423</v>
      </c>
      <c r="Q7" s="21" t="s">
        <v>423</v>
      </c>
      <c r="R7" s="21" t="s">
        <v>423</v>
      </c>
      <c r="S7" s="157"/>
      <c r="T7" s="162" t="s">
        <v>609</v>
      </c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</row>
    <row r="8" spans="1:51" s="33" customFormat="1" x14ac:dyDescent="0.3">
      <c r="A8" s="419"/>
      <c r="B8" s="40"/>
      <c r="C8" s="17" t="s">
        <v>458</v>
      </c>
      <c r="D8" s="17" t="s">
        <v>353</v>
      </c>
      <c r="E8" s="40">
        <v>2</v>
      </c>
      <c r="F8" s="40"/>
      <c r="G8" s="3">
        <v>43199</v>
      </c>
      <c r="H8" s="3" t="s">
        <v>83</v>
      </c>
      <c r="I8" s="40"/>
      <c r="J8" s="21" t="s">
        <v>422</v>
      </c>
      <c r="K8" s="21" t="s">
        <v>422</v>
      </c>
      <c r="L8" s="21" t="s">
        <v>422</v>
      </c>
      <c r="M8" s="21" t="s">
        <v>423</v>
      </c>
      <c r="N8" s="21" t="s">
        <v>422</v>
      </c>
      <c r="O8" s="21" t="s">
        <v>422</v>
      </c>
      <c r="P8" s="21" t="s">
        <v>422</v>
      </c>
      <c r="Q8" s="21" t="s">
        <v>422</v>
      </c>
      <c r="R8" s="21" t="s">
        <v>423</v>
      </c>
      <c r="S8" s="157"/>
      <c r="T8" s="162" t="s">
        <v>609</v>
      </c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</row>
    <row r="9" spans="1:51" s="33" customFormat="1" x14ac:dyDescent="0.3">
      <c r="A9" s="419"/>
      <c r="B9" s="40"/>
      <c r="C9" s="17" t="s">
        <v>459</v>
      </c>
      <c r="D9" s="17" t="s">
        <v>470</v>
      </c>
      <c r="E9" s="40">
        <v>5</v>
      </c>
      <c r="F9" s="40"/>
      <c r="G9" s="3">
        <v>43199</v>
      </c>
      <c r="H9" s="3" t="s">
        <v>83</v>
      </c>
      <c r="I9" s="40"/>
      <c r="J9" s="21" t="s">
        <v>422</v>
      </c>
      <c r="K9" s="21" t="s">
        <v>422</v>
      </c>
      <c r="L9" s="21" t="s">
        <v>422</v>
      </c>
      <c r="M9" s="21" t="s">
        <v>422</v>
      </c>
      <c r="N9" s="21" t="s">
        <v>422</v>
      </c>
      <c r="O9" s="21" t="s">
        <v>423</v>
      </c>
      <c r="P9" s="21" t="s">
        <v>422</v>
      </c>
      <c r="Q9" s="21" t="s">
        <v>423</v>
      </c>
      <c r="R9" s="21" t="s">
        <v>423</v>
      </c>
      <c r="S9" s="157"/>
      <c r="T9" s="162" t="s">
        <v>609</v>
      </c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</row>
    <row r="10" spans="1:51" s="33" customFormat="1" x14ac:dyDescent="0.3">
      <c r="A10" s="419"/>
      <c r="B10" s="40"/>
      <c r="C10" s="17" t="s">
        <v>460</v>
      </c>
      <c r="D10" s="17" t="s">
        <v>469</v>
      </c>
      <c r="E10" s="40">
        <v>6</v>
      </c>
      <c r="F10" s="40"/>
      <c r="G10" s="3">
        <v>43199</v>
      </c>
      <c r="H10" s="3" t="s">
        <v>83</v>
      </c>
      <c r="I10" s="40"/>
      <c r="J10" s="21" t="s">
        <v>422</v>
      </c>
      <c r="K10" s="21" t="s">
        <v>422</v>
      </c>
      <c r="L10" s="21" t="s">
        <v>422</v>
      </c>
      <c r="M10" s="21" t="s">
        <v>422</v>
      </c>
      <c r="N10" s="21" t="s">
        <v>423</v>
      </c>
      <c r="O10" s="21" t="s">
        <v>423</v>
      </c>
      <c r="P10" s="21" t="s">
        <v>423</v>
      </c>
      <c r="Q10" s="21" t="s">
        <v>423</v>
      </c>
      <c r="R10" s="21" t="s">
        <v>423</v>
      </c>
      <c r="S10" s="157"/>
      <c r="T10" s="162" t="s">
        <v>609</v>
      </c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</row>
    <row r="11" spans="1:51" x14ac:dyDescent="0.3">
      <c r="A11" s="419"/>
      <c r="B11" s="40"/>
      <c r="C11" s="17" t="s">
        <v>461</v>
      </c>
      <c r="D11" s="17" t="s">
        <v>467</v>
      </c>
      <c r="E11" s="40">
        <v>2</v>
      </c>
      <c r="F11" s="40"/>
      <c r="G11" s="3">
        <v>43199</v>
      </c>
      <c r="H11" s="3" t="s">
        <v>83</v>
      </c>
      <c r="I11" s="40"/>
      <c r="J11" s="21" t="s">
        <v>422</v>
      </c>
      <c r="K11" s="21" t="s">
        <v>422</v>
      </c>
      <c r="L11" s="21" t="s">
        <v>422</v>
      </c>
      <c r="M11" s="21" t="s">
        <v>423</v>
      </c>
      <c r="N11" s="21" t="s">
        <v>423</v>
      </c>
      <c r="O11" s="21" t="s">
        <v>423</v>
      </c>
      <c r="P11" s="21" t="s">
        <v>423</v>
      </c>
      <c r="Q11" s="21" t="s">
        <v>423</v>
      </c>
      <c r="R11" s="21" t="s">
        <v>423</v>
      </c>
      <c r="S11" s="157"/>
      <c r="T11" s="162" t="s">
        <v>609</v>
      </c>
    </row>
    <row r="12" spans="1:51" ht="15" thickBot="1" x14ac:dyDescent="0.35">
      <c r="A12" s="420"/>
      <c r="B12" s="96"/>
      <c r="C12" s="83" t="s">
        <v>462</v>
      </c>
      <c r="D12" s="83" t="s">
        <v>471</v>
      </c>
      <c r="E12" s="96">
        <v>3</v>
      </c>
      <c r="F12" s="96"/>
      <c r="G12" s="3">
        <v>43199</v>
      </c>
      <c r="H12" s="158" t="s">
        <v>83</v>
      </c>
      <c r="I12" s="96"/>
      <c r="J12" s="128" t="s">
        <v>422</v>
      </c>
      <c r="K12" s="128" t="s">
        <v>422</v>
      </c>
      <c r="L12" s="128" t="s">
        <v>422</v>
      </c>
      <c r="M12" s="128" t="s">
        <v>423</v>
      </c>
      <c r="N12" s="128" t="s">
        <v>422</v>
      </c>
      <c r="O12" s="128" t="s">
        <v>449</v>
      </c>
      <c r="P12" s="128" t="s">
        <v>422</v>
      </c>
      <c r="Q12" s="128" t="s">
        <v>422</v>
      </c>
      <c r="R12" s="128" t="s">
        <v>422</v>
      </c>
      <c r="S12" s="159"/>
      <c r="T12" s="162" t="s">
        <v>609</v>
      </c>
    </row>
    <row r="13" spans="1:51" x14ac:dyDescent="0.3">
      <c r="A13" s="421" t="s">
        <v>485</v>
      </c>
      <c r="B13" s="82"/>
      <c r="C13" s="88" t="s">
        <v>473</v>
      </c>
      <c r="D13" s="88" t="s">
        <v>474</v>
      </c>
      <c r="E13" s="82">
        <v>2</v>
      </c>
      <c r="F13" s="82"/>
      <c r="G13" s="3">
        <v>43199</v>
      </c>
      <c r="H13" s="154" t="s">
        <v>83</v>
      </c>
      <c r="I13" s="82"/>
      <c r="J13" s="126" t="s">
        <v>422</v>
      </c>
      <c r="K13" s="126" t="s">
        <v>422</v>
      </c>
      <c r="L13" s="126" t="s">
        <v>422</v>
      </c>
      <c r="M13" s="126" t="s">
        <v>423</v>
      </c>
      <c r="N13" s="126" t="s">
        <v>422</v>
      </c>
      <c r="O13" s="126" t="s">
        <v>449</v>
      </c>
      <c r="P13" s="126" t="s">
        <v>422</v>
      </c>
      <c r="Q13" s="126" t="s">
        <v>422</v>
      </c>
      <c r="R13" s="126" t="s">
        <v>423</v>
      </c>
      <c r="S13" s="156"/>
      <c r="T13" s="162" t="s">
        <v>609</v>
      </c>
    </row>
    <row r="14" spans="1:51" x14ac:dyDescent="0.3">
      <c r="A14" s="422"/>
      <c r="B14" s="40"/>
      <c r="C14" s="136" t="s">
        <v>475</v>
      </c>
      <c r="D14" s="17" t="s">
        <v>476</v>
      </c>
      <c r="E14" s="40">
        <v>4</v>
      </c>
      <c r="F14" s="40"/>
      <c r="G14" s="3">
        <v>43199</v>
      </c>
      <c r="H14" s="3" t="s">
        <v>83</v>
      </c>
      <c r="I14" s="40"/>
      <c r="J14" s="21" t="s">
        <v>422</v>
      </c>
      <c r="K14" s="21" t="s">
        <v>422</v>
      </c>
      <c r="L14" s="21" t="s">
        <v>422</v>
      </c>
      <c r="M14" s="21" t="s">
        <v>423</v>
      </c>
      <c r="N14" s="21" t="s">
        <v>422</v>
      </c>
      <c r="O14" s="21" t="s">
        <v>422</v>
      </c>
      <c r="P14" s="21" t="s">
        <v>423</v>
      </c>
      <c r="Q14" s="21" t="s">
        <v>422</v>
      </c>
      <c r="R14" s="21" t="s">
        <v>423</v>
      </c>
      <c r="S14" s="157"/>
      <c r="T14" s="162" t="s">
        <v>609</v>
      </c>
    </row>
    <row r="15" spans="1:51" x14ac:dyDescent="0.3">
      <c r="A15" s="422"/>
      <c r="B15" s="40"/>
      <c r="C15" s="17" t="s">
        <v>477</v>
      </c>
      <c r="D15" s="17" t="s">
        <v>478</v>
      </c>
      <c r="E15" s="40">
        <v>2</v>
      </c>
      <c r="F15" s="40"/>
      <c r="G15" s="3">
        <v>43199</v>
      </c>
      <c r="H15" s="3" t="s">
        <v>83</v>
      </c>
      <c r="I15" s="40"/>
      <c r="J15" s="21" t="s">
        <v>422</v>
      </c>
      <c r="K15" s="21" t="s">
        <v>422</v>
      </c>
      <c r="L15" s="21" t="s">
        <v>422</v>
      </c>
      <c r="M15" s="21" t="s">
        <v>423</v>
      </c>
      <c r="N15" s="21" t="s">
        <v>422</v>
      </c>
      <c r="O15" s="21" t="s">
        <v>422</v>
      </c>
      <c r="P15" s="21" t="s">
        <v>422</v>
      </c>
      <c r="Q15" s="21" t="s">
        <v>422</v>
      </c>
      <c r="R15" s="21" t="s">
        <v>423</v>
      </c>
      <c r="S15" s="157"/>
      <c r="T15" s="162" t="s">
        <v>609</v>
      </c>
    </row>
    <row r="16" spans="1:51" x14ac:dyDescent="0.3">
      <c r="A16" s="422"/>
      <c r="B16" s="40"/>
      <c r="C16" s="17" t="s">
        <v>479</v>
      </c>
      <c r="D16" s="17" t="s">
        <v>466</v>
      </c>
      <c r="E16" s="40">
        <v>2</v>
      </c>
      <c r="F16" s="40"/>
      <c r="G16" s="3">
        <v>43199</v>
      </c>
      <c r="H16" s="3" t="s">
        <v>83</v>
      </c>
      <c r="I16" s="40"/>
      <c r="J16" s="21" t="s">
        <v>422</v>
      </c>
      <c r="K16" s="21" t="s">
        <v>422</v>
      </c>
      <c r="L16" s="21" t="s">
        <v>422</v>
      </c>
      <c r="M16" s="21" t="s">
        <v>423</v>
      </c>
      <c r="N16" s="21" t="s">
        <v>422</v>
      </c>
      <c r="O16" s="21" t="s">
        <v>422</v>
      </c>
      <c r="P16" s="21" t="s">
        <v>422</v>
      </c>
      <c r="Q16" s="21" t="s">
        <v>422</v>
      </c>
      <c r="R16" s="21" t="s">
        <v>423</v>
      </c>
      <c r="S16" s="157"/>
      <c r="T16" s="162" t="s">
        <v>609</v>
      </c>
    </row>
    <row r="17" spans="1:20" x14ac:dyDescent="0.3">
      <c r="A17" s="422"/>
      <c r="B17" s="40"/>
      <c r="C17" s="136" t="s">
        <v>480</v>
      </c>
      <c r="D17" s="39"/>
      <c r="E17" s="40">
        <v>2</v>
      </c>
      <c r="F17" s="40"/>
      <c r="G17" s="3">
        <v>43199</v>
      </c>
      <c r="H17" s="3" t="s">
        <v>83</v>
      </c>
      <c r="I17" s="40"/>
      <c r="J17" s="21" t="s">
        <v>422</v>
      </c>
      <c r="K17" s="21" t="s">
        <v>422</v>
      </c>
      <c r="L17" s="21" t="s">
        <v>422</v>
      </c>
      <c r="M17" s="21" t="s">
        <v>423</v>
      </c>
      <c r="N17" s="21" t="s">
        <v>422</v>
      </c>
      <c r="O17" s="21" t="s">
        <v>422</v>
      </c>
      <c r="P17" s="21" t="s">
        <v>422</v>
      </c>
      <c r="Q17" s="21" t="s">
        <v>422</v>
      </c>
      <c r="R17" s="21" t="s">
        <v>423</v>
      </c>
      <c r="S17" s="157"/>
      <c r="T17" s="162" t="s">
        <v>609</v>
      </c>
    </row>
    <row r="18" spans="1:20" x14ac:dyDescent="0.3">
      <c r="A18" s="422"/>
      <c r="B18" s="40"/>
      <c r="C18" s="17" t="s">
        <v>481</v>
      </c>
      <c r="D18" s="17" t="s">
        <v>482</v>
      </c>
      <c r="E18" s="40">
        <v>2</v>
      </c>
      <c r="F18" s="40"/>
      <c r="G18" s="3">
        <v>43199</v>
      </c>
      <c r="H18" s="3" t="s">
        <v>83</v>
      </c>
      <c r="I18" s="40"/>
      <c r="J18" s="21" t="s">
        <v>422</v>
      </c>
      <c r="K18" s="21" t="s">
        <v>422</v>
      </c>
      <c r="L18" s="21" t="s">
        <v>422</v>
      </c>
      <c r="M18" s="21" t="s">
        <v>422</v>
      </c>
      <c r="N18" s="21" t="s">
        <v>422</v>
      </c>
      <c r="O18" s="21" t="s">
        <v>422</v>
      </c>
      <c r="P18" s="21" t="s">
        <v>422</v>
      </c>
      <c r="Q18" s="21" t="s">
        <v>422</v>
      </c>
      <c r="R18" s="21" t="s">
        <v>423</v>
      </c>
      <c r="S18" s="157"/>
      <c r="T18" s="162" t="s">
        <v>609</v>
      </c>
    </row>
    <row r="19" spans="1:20" ht="15" thickBot="1" x14ac:dyDescent="0.35">
      <c r="A19" s="423"/>
      <c r="B19" s="96"/>
      <c r="C19" s="83" t="s">
        <v>483</v>
      </c>
      <c r="D19" s="83" t="s">
        <v>484</v>
      </c>
      <c r="E19" s="96">
        <v>2</v>
      </c>
      <c r="F19" s="96"/>
      <c r="G19" s="3">
        <v>43199</v>
      </c>
      <c r="H19" s="158" t="s">
        <v>83</v>
      </c>
      <c r="I19" s="96"/>
      <c r="J19" s="128" t="s">
        <v>422</v>
      </c>
      <c r="K19" s="128" t="s">
        <v>422</v>
      </c>
      <c r="L19" s="128" t="s">
        <v>422</v>
      </c>
      <c r="M19" s="128" t="s">
        <v>423</v>
      </c>
      <c r="N19" s="128" t="s">
        <v>422</v>
      </c>
      <c r="O19" s="128" t="s">
        <v>422</v>
      </c>
      <c r="P19" s="128" t="s">
        <v>422</v>
      </c>
      <c r="Q19" s="128" t="s">
        <v>422</v>
      </c>
      <c r="R19" s="128" t="s">
        <v>423</v>
      </c>
      <c r="S19" s="159"/>
      <c r="T19" s="162" t="s">
        <v>609</v>
      </c>
    </row>
    <row r="20" spans="1:20" x14ac:dyDescent="0.3">
      <c r="A20" s="421" t="s">
        <v>488</v>
      </c>
      <c r="B20" s="82"/>
      <c r="C20" s="88" t="s">
        <v>486</v>
      </c>
      <c r="D20" s="88" t="s">
        <v>489</v>
      </c>
      <c r="E20" s="82">
        <v>2</v>
      </c>
      <c r="F20" s="82"/>
      <c r="G20" s="3">
        <v>43199</v>
      </c>
      <c r="H20" s="127" t="s">
        <v>83</v>
      </c>
      <c r="I20" s="82"/>
      <c r="J20" s="126" t="s">
        <v>422</v>
      </c>
      <c r="K20" s="126" t="s">
        <v>422</v>
      </c>
      <c r="L20" s="126" t="s">
        <v>422</v>
      </c>
      <c r="M20" s="126" t="s">
        <v>422</v>
      </c>
      <c r="N20" s="126" t="s">
        <v>423</v>
      </c>
      <c r="O20" s="126" t="s">
        <v>422</v>
      </c>
      <c r="P20" s="126" t="s">
        <v>423</v>
      </c>
      <c r="Q20" s="126" t="s">
        <v>423</v>
      </c>
      <c r="R20" s="126" t="s">
        <v>423</v>
      </c>
      <c r="S20" s="156"/>
      <c r="T20" s="162" t="s">
        <v>609</v>
      </c>
    </row>
    <row r="21" spans="1:20" ht="15" thickBot="1" x14ac:dyDescent="0.35">
      <c r="A21" s="423"/>
      <c r="B21" s="96"/>
      <c r="C21" s="83" t="s">
        <v>487</v>
      </c>
      <c r="D21" s="83" t="s">
        <v>489</v>
      </c>
      <c r="E21" s="96">
        <v>2</v>
      </c>
      <c r="F21" s="96"/>
      <c r="G21" s="3">
        <v>43199</v>
      </c>
      <c r="H21" s="129" t="s">
        <v>83</v>
      </c>
      <c r="I21" s="96"/>
      <c r="J21" s="128" t="s">
        <v>422</v>
      </c>
      <c r="K21" s="128" t="s">
        <v>422</v>
      </c>
      <c r="L21" s="128" t="s">
        <v>422</v>
      </c>
      <c r="M21" s="128" t="s">
        <v>422</v>
      </c>
      <c r="N21" s="128" t="s">
        <v>423</v>
      </c>
      <c r="O21" s="128" t="s">
        <v>423</v>
      </c>
      <c r="P21" s="128" t="s">
        <v>423</v>
      </c>
      <c r="Q21" s="128" t="s">
        <v>423</v>
      </c>
      <c r="R21" s="128" t="s">
        <v>423</v>
      </c>
      <c r="S21" s="159"/>
      <c r="T21" s="162" t="s">
        <v>609</v>
      </c>
    </row>
  </sheetData>
  <autoFilter ref="A2:S2" xr:uid="{00000000-0009-0000-0000-000005000000}"/>
  <mergeCells count="3">
    <mergeCell ref="A3:A12"/>
    <mergeCell ref="A13:A19"/>
    <mergeCell ref="A20:A21"/>
  </mergeCells>
  <pageMargins left="0.70866141732283472" right="0.70866141732283472" top="0.74803149606299213" bottom="0.74803149606299213" header="0.31496062992125984" footer="0.31496062992125984"/>
  <pageSetup paperSize="9" scale="10" orientation="landscape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pageSetUpPr fitToPage="1"/>
  </sheetPr>
  <dimension ref="A2:AV38"/>
  <sheetViews>
    <sheetView zoomScale="85" zoomScaleNormal="85" workbookViewId="0">
      <pane xSplit="16" ySplit="2" topLeftCell="Q11" activePane="bottomRight" state="frozen"/>
      <selection activeCell="D27" sqref="D27"/>
      <selection pane="topRight" activeCell="D27" sqref="D27"/>
      <selection pane="bottomLeft" activeCell="D27" sqref="D27"/>
      <selection pane="bottomRight" activeCell="D27" sqref="D27"/>
    </sheetView>
  </sheetViews>
  <sheetFormatPr baseColWidth="10" defaultColWidth="11.44140625" defaultRowHeight="14.4" x14ac:dyDescent="0.3"/>
  <cols>
    <col min="1" max="1" width="8.44140625" style="32" hidden="1" customWidth="1"/>
    <col min="2" max="2" width="17.33203125" style="32" customWidth="1"/>
    <col min="3" max="3" width="39.109375" style="31" customWidth="1"/>
    <col min="4" max="5" width="9.33203125" style="32" customWidth="1"/>
    <col min="6" max="6" width="32.44140625" style="32" customWidth="1"/>
    <col min="7" max="11" width="6.109375" style="32" hidden="1" customWidth="1"/>
    <col min="12" max="12" width="6.33203125" style="32" hidden="1" customWidth="1"/>
    <col min="13" max="13" width="5.6640625" style="32" hidden="1" customWidth="1"/>
    <col min="14" max="14" width="5.88671875" style="32" hidden="1" customWidth="1"/>
    <col min="15" max="15" width="6.44140625" style="32" hidden="1" customWidth="1"/>
    <col min="16" max="16" width="14.44140625" style="32" customWidth="1"/>
    <col min="17" max="17" width="35.33203125" style="33" customWidth="1"/>
    <col min="18" max="41" width="3.6640625" style="30" customWidth="1"/>
    <col min="42" max="52" width="4.33203125" style="30" customWidth="1"/>
    <col min="53" max="16384" width="11.44140625" style="30"/>
  </cols>
  <sheetData>
    <row r="2" spans="1:48" s="80" customFormat="1" ht="65.25" customHeight="1" x14ac:dyDescent="0.3">
      <c r="A2" s="147" t="s">
        <v>26</v>
      </c>
      <c r="B2" s="147"/>
      <c r="C2" s="148" t="s">
        <v>463</v>
      </c>
      <c r="D2" s="149" t="s">
        <v>302</v>
      </c>
      <c r="E2" s="149" t="s">
        <v>301</v>
      </c>
      <c r="F2" s="150" t="s">
        <v>71</v>
      </c>
      <c r="G2" s="152" t="s">
        <v>418</v>
      </c>
      <c r="H2" s="152" t="s">
        <v>448</v>
      </c>
      <c r="I2" s="152" t="s">
        <v>392</v>
      </c>
      <c r="J2" s="152" t="s">
        <v>464</v>
      </c>
      <c r="K2" s="152" t="s">
        <v>450</v>
      </c>
      <c r="L2" s="152" t="s">
        <v>85</v>
      </c>
      <c r="M2" s="152" t="s">
        <v>452</v>
      </c>
      <c r="N2" s="152" t="s">
        <v>420</v>
      </c>
      <c r="O2" s="152" t="s">
        <v>676</v>
      </c>
      <c r="P2" s="153" t="s">
        <v>137</v>
      </c>
      <c r="Q2" s="53" t="s">
        <v>257</v>
      </c>
    </row>
    <row r="3" spans="1:48" s="33" customFormat="1" x14ac:dyDescent="0.3">
      <c r="A3" s="40"/>
      <c r="B3" s="425" t="s">
        <v>655</v>
      </c>
      <c r="C3" s="179" t="s">
        <v>656</v>
      </c>
      <c r="D3" s="180">
        <v>1</v>
      </c>
      <c r="E3" s="180">
        <v>1</v>
      </c>
      <c r="F3" s="181" t="s">
        <v>141</v>
      </c>
      <c r="G3" s="181" t="s">
        <v>422</v>
      </c>
      <c r="H3" s="181" t="s">
        <v>422</v>
      </c>
      <c r="I3" s="181" t="s">
        <v>422</v>
      </c>
      <c r="J3" s="181" t="s">
        <v>423</v>
      </c>
      <c r="K3" s="181" t="s">
        <v>422</v>
      </c>
      <c r="L3" s="181" t="s">
        <v>423</v>
      </c>
      <c r="M3" s="181" t="s">
        <v>422</v>
      </c>
      <c r="N3" s="181" t="s">
        <v>422</v>
      </c>
      <c r="O3" s="181" t="s">
        <v>422</v>
      </c>
      <c r="P3" s="181" t="s">
        <v>108</v>
      </c>
      <c r="Q3" s="182" t="s">
        <v>679</v>
      </c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</row>
    <row r="4" spans="1:48" x14ac:dyDescent="0.3">
      <c r="A4" s="40"/>
      <c r="B4" s="426"/>
      <c r="C4" s="179" t="s">
        <v>657</v>
      </c>
      <c r="D4" s="180">
        <v>1</v>
      </c>
      <c r="E4" s="180">
        <v>1</v>
      </c>
      <c r="F4" s="181" t="s">
        <v>141</v>
      </c>
      <c r="G4" s="181" t="s">
        <v>422</v>
      </c>
      <c r="H4" s="181" t="s">
        <v>422</v>
      </c>
      <c r="I4" s="181" t="s">
        <v>422</v>
      </c>
      <c r="J4" s="181" t="s">
        <v>423</v>
      </c>
      <c r="K4" s="181" t="s">
        <v>422</v>
      </c>
      <c r="L4" s="181" t="s">
        <v>423</v>
      </c>
      <c r="M4" s="181" t="s">
        <v>422</v>
      </c>
      <c r="N4" s="181" t="s">
        <v>422</v>
      </c>
      <c r="O4" s="181" t="s">
        <v>422</v>
      </c>
      <c r="P4" s="181" t="s">
        <v>108</v>
      </c>
      <c r="Q4" s="182" t="s">
        <v>679</v>
      </c>
    </row>
    <row r="5" spans="1:48" x14ac:dyDescent="0.3">
      <c r="A5" s="40"/>
      <c r="B5" s="427"/>
      <c r="C5" s="179" t="s">
        <v>658</v>
      </c>
      <c r="D5" s="180">
        <v>1</v>
      </c>
      <c r="E5" s="180">
        <v>1</v>
      </c>
      <c r="F5" s="181" t="s">
        <v>141</v>
      </c>
      <c r="G5" s="181" t="s">
        <v>422</v>
      </c>
      <c r="H5" s="181" t="s">
        <v>422</v>
      </c>
      <c r="I5" s="181" t="s">
        <v>422</v>
      </c>
      <c r="J5" s="181" t="s">
        <v>423</v>
      </c>
      <c r="K5" s="181" t="s">
        <v>422</v>
      </c>
      <c r="L5" s="181" t="s">
        <v>423</v>
      </c>
      <c r="M5" s="181" t="s">
        <v>422</v>
      </c>
      <c r="N5" s="181" t="s">
        <v>422</v>
      </c>
      <c r="O5" s="181" t="s">
        <v>422</v>
      </c>
      <c r="P5" s="181" t="s">
        <v>108</v>
      </c>
      <c r="Q5" s="182" t="s">
        <v>679</v>
      </c>
    </row>
    <row r="6" spans="1:48" x14ac:dyDescent="0.3">
      <c r="A6" s="40"/>
      <c r="B6" s="425" t="s">
        <v>659</v>
      </c>
      <c r="C6" s="179" t="s">
        <v>656</v>
      </c>
      <c r="D6" s="180">
        <v>1</v>
      </c>
      <c r="E6" s="180">
        <v>1</v>
      </c>
      <c r="F6" s="181" t="s">
        <v>141</v>
      </c>
      <c r="G6" s="181" t="s">
        <v>422</v>
      </c>
      <c r="H6" s="181" t="s">
        <v>422</v>
      </c>
      <c r="I6" s="181" t="s">
        <v>449</v>
      </c>
      <c r="J6" s="181" t="s">
        <v>423</v>
      </c>
      <c r="K6" s="181" t="s">
        <v>449</v>
      </c>
      <c r="L6" s="181" t="s">
        <v>423</v>
      </c>
      <c r="M6" s="181" t="s">
        <v>422</v>
      </c>
      <c r="N6" s="181" t="s">
        <v>422</v>
      </c>
      <c r="O6" s="181" t="s">
        <v>422</v>
      </c>
      <c r="P6" s="181" t="s">
        <v>108</v>
      </c>
      <c r="Q6" s="182" t="s">
        <v>679</v>
      </c>
    </row>
    <row r="7" spans="1:48" x14ac:dyDescent="0.3">
      <c r="A7" s="40"/>
      <c r="B7" s="426"/>
      <c r="C7" s="173" t="s">
        <v>657</v>
      </c>
      <c r="D7" s="174">
        <v>1</v>
      </c>
      <c r="E7" s="174">
        <v>1</v>
      </c>
      <c r="F7" s="172" t="s">
        <v>141</v>
      </c>
      <c r="G7" s="172" t="s">
        <v>422</v>
      </c>
      <c r="H7" s="172" t="s">
        <v>422</v>
      </c>
      <c r="I7" s="172" t="s">
        <v>449</v>
      </c>
      <c r="J7" s="172" t="s">
        <v>423</v>
      </c>
      <c r="K7" s="172" t="s">
        <v>449</v>
      </c>
      <c r="L7" s="172" t="s">
        <v>423</v>
      </c>
      <c r="M7" s="172" t="s">
        <v>422</v>
      </c>
      <c r="N7" s="172" t="s">
        <v>422</v>
      </c>
      <c r="O7" s="172" t="s">
        <v>422</v>
      </c>
      <c r="P7" s="172" t="s">
        <v>108</v>
      </c>
      <c r="Q7" s="184"/>
    </row>
    <row r="8" spans="1:48" x14ac:dyDescent="0.3">
      <c r="A8" s="40"/>
      <c r="B8" s="427"/>
      <c r="C8" s="173" t="s">
        <v>658</v>
      </c>
      <c r="D8" s="174">
        <v>1</v>
      </c>
      <c r="E8" s="174">
        <v>1</v>
      </c>
      <c r="F8" s="172" t="s">
        <v>141</v>
      </c>
      <c r="G8" s="172" t="s">
        <v>422</v>
      </c>
      <c r="H8" s="172" t="s">
        <v>422</v>
      </c>
      <c r="I8" s="172" t="s">
        <v>449</v>
      </c>
      <c r="J8" s="172" t="s">
        <v>423</v>
      </c>
      <c r="K8" s="172" t="s">
        <v>449</v>
      </c>
      <c r="L8" s="172" t="s">
        <v>423</v>
      </c>
      <c r="M8" s="172" t="s">
        <v>422</v>
      </c>
      <c r="N8" s="172" t="s">
        <v>422</v>
      </c>
      <c r="O8" s="172" t="s">
        <v>422</v>
      </c>
      <c r="P8" s="172" t="s">
        <v>108</v>
      </c>
      <c r="Q8" s="184"/>
    </row>
    <row r="9" spans="1:48" x14ac:dyDescent="0.3">
      <c r="A9" s="40"/>
      <c r="B9" s="425" t="s">
        <v>678</v>
      </c>
      <c r="C9" s="179" t="s">
        <v>658</v>
      </c>
      <c r="D9" s="180">
        <v>1</v>
      </c>
      <c r="E9" s="180">
        <v>1</v>
      </c>
      <c r="F9" s="181" t="s">
        <v>141</v>
      </c>
      <c r="G9" s="181"/>
      <c r="H9" s="181"/>
      <c r="I9" s="181"/>
      <c r="J9" s="181"/>
      <c r="K9" s="181"/>
      <c r="L9" s="181"/>
      <c r="M9" s="181"/>
      <c r="N9" s="181"/>
      <c r="O9" s="181"/>
      <c r="P9" s="181" t="s">
        <v>108</v>
      </c>
      <c r="Q9" s="182" t="s">
        <v>679</v>
      </c>
    </row>
    <row r="10" spans="1:48" x14ac:dyDescent="0.3">
      <c r="A10" s="40"/>
      <c r="B10" s="427"/>
      <c r="C10" s="179" t="s">
        <v>657</v>
      </c>
      <c r="D10" s="180">
        <v>1</v>
      </c>
      <c r="E10" s="180">
        <v>1</v>
      </c>
      <c r="F10" s="181" t="s">
        <v>141</v>
      </c>
      <c r="G10" s="181"/>
      <c r="H10" s="181"/>
      <c r="I10" s="181"/>
      <c r="J10" s="181"/>
      <c r="K10" s="181"/>
      <c r="L10" s="181"/>
      <c r="M10" s="181"/>
      <c r="N10" s="181"/>
      <c r="O10" s="181"/>
      <c r="P10" s="181" t="s">
        <v>108</v>
      </c>
      <c r="Q10" s="182" t="s">
        <v>679</v>
      </c>
    </row>
    <row r="11" spans="1:48" x14ac:dyDescent="0.3">
      <c r="A11" s="40"/>
      <c r="B11" s="425" t="s">
        <v>660</v>
      </c>
      <c r="C11" s="17" t="s">
        <v>656</v>
      </c>
      <c r="D11" s="40">
        <v>1</v>
      </c>
      <c r="E11" s="40">
        <v>1</v>
      </c>
      <c r="F11" s="21" t="s">
        <v>677</v>
      </c>
      <c r="G11" s="21" t="s">
        <v>422</v>
      </c>
      <c r="H11" s="21" t="s">
        <v>422</v>
      </c>
      <c r="I11" s="21" t="s">
        <v>422</v>
      </c>
      <c r="J11" s="21" t="s">
        <v>423</v>
      </c>
      <c r="K11" s="21" t="s">
        <v>422</v>
      </c>
      <c r="L11" s="21" t="s">
        <v>423</v>
      </c>
      <c r="M11" s="21" t="s">
        <v>422</v>
      </c>
      <c r="N11" s="21" t="s">
        <v>422</v>
      </c>
      <c r="O11" s="21" t="s">
        <v>422</v>
      </c>
      <c r="P11" s="21" t="s">
        <v>108</v>
      </c>
      <c r="Q11" s="1"/>
    </row>
    <row r="12" spans="1:48" x14ac:dyDescent="0.3">
      <c r="A12" s="40"/>
      <c r="B12" s="426"/>
      <c r="C12" s="179" t="s">
        <v>657</v>
      </c>
      <c r="D12" s="180">
        <v>1</v>
      </c>
      <c r="E12" s="180">
        <v>1</v>
      </c>
      <c r="F12" s="181" t="s">
        <v>141</v>
      </c>
      <c r="G12" s="181" t="s">
        <v>422</v>
      </c>
      <c r="H12" s="181" t="s">
        <v>422</v>
      </c>
      <c r="I12" s="181" t="s">
        <v>422</v>
      </c>
      <c r="J12" s="181" t="s">
        <v>423</v>
      </c>
      <c r="K12" s="181" t="s">
        <v>422</v>
      </c>
      <c r="L12" s="181" t="s">
        <v>423</v>
      </c>
      <c r="M12" s="181" t="s">
        <v>422</v>
      </c>
      <c r="N12" s="181" t="s">
        <v>422</v>
      </c>
      <c r="O12" s="181" t="s">
        <v>422</v>
      </c>
      <c r="P12" s="181" t="s">
        <v>108</v>
      </c>
      <c r="Q12" s="182" t="s">
        <v>679</v>
      </c>
    </row>
    <row r="13" spans="1:48" x14ac:dyDescent="0.3">
      <c r="A13" s="40"/>
      <c r="B13" s="427"/>
      <c r="C13" s="179" t="s">
        <v>658</v>
      </c>
      <c r="D13" s="180">
        <v>1</v>
      </c>
      <c r="E13" s="180">
        <v>1</v>
      </c>
      <c r="F13" s="181" t="s">
        <v>141</v>
      </c>
      <c r="G13" s="181" t="s">
        <v>422</v>
      </c>
      <c r="H13" s="181" t="s">
        <v>422</v>
      </c>
      <c r="I13" s="181" t="s">
        <v>422</v>
      </c>
      <c r="J13" s="181" t="s">
        <v>423</v>
      </c>
      <c r="K13" s="181" t="s">
        <v>422</v>
      </c>
      <c r="L13" s="181" t="s">
        <v>423</v>
      </c>
      <c r="M13" s="181" t="s">
        <v>422</v>
      </c>
      <c r="N13" s="181" t="s">
        <v>422</v>
      </c>
      <c r="O13" s="181" t="s">
        <v>422</v>
      </c>
      <c r="P13" s="181" t="s">
        <v>108</v>
      </c>
      <c r="Q13" s="182" t="s">
        <v>679</v>
      </c>
    </row>
    <row r="14" spans="1:48" x14ac:dyDescent="0.3">
      <c r="A14" s="40"/>
      <c r="B14" s="428" t="s">
        <v>661</v>
      </c>
      <c r="C14" s="176" t="s">
        <v>656</v>
      </c>
      <c r="D14" s="177">
        <v>2</v>
      </c>
      <c r="E14" s="177">
        <v>1</v>
      </c>
      <c r="F14" s="175" t="s">
        <v>141</v>
      </c>
      <c r="G14" s="175" t="s">
        <v>422</v>
      </c>
      <c r="H14" s="175" t="s">
        <v>449</v>
      </c>
      <c r="I14" s="175" t="s">
        <v>449</v>
      </c>
      <c r="J14" s="175" t="s">
        <v>423</v>
      </c>
      <c r="K14" s="175" t="s">
        <v>449</v>
      </c>
      <c r="L14" s="175" t="s">
        <v>423</v>
      </c>
      <c r="M14" s="175" t="s">
        <v>422</v>
      </c>
      <c r="N14" s="175" t="s">
        <v>422</v>
      </c>
      <c r="O14" s="175" t="s">
        <v>422</v>
      </c>
      <c r="P14" s="175" t="s">
        <v>108</v>
      </c>
      <c r="Q14" s="183" t="s">
        <v>691</v>
      </c>
    </row>
    <row r="15" spans="1:48" x14ac:dyDescent="0.3">
      <c r="A15" s="40"/>
      <c r="B15" s="429"/>
      <c r="C15" s="179" t="s">
        <v>657</v>
      </c>
      <c r="D15" s="180">
        <v>2</v>
      </c>
      <c r="E15" s="180">
        <v>2</v>
      </c>
      <c r="F15" s="181" t="s">
        <v>141</v>
      </c>
      <c r="G15" s="181" t="s">
        <v>422</v>
      </c>
      <c r="H15" s="181" t="s">
        <v>449</v>
      </c>
      <c r="I15" s="181" t="s">
        <v>449</v>
      </c>
      <c r="J15" s="181" t="s">
        <v>423</v>
      </c>
      <c r="K15" s="181" t="s">
        <v>449</v>
      </c>
      <c r="L15" s="181" t="s">
        <v>423</v>
      </c>
      <c r="M15" s="181" t="s">
        <v>422</v>
      </c>
      <c r="N15" s="181" t="s">
        <v>422</v>
      </c>
      <c r="O15" s="181" t="s">
        <v>422</v>
      </c>
      <c r="P15" s="181" t="s">
        <v>108</v>
      </c>
      <c r="Q15" s="182" t="s">
        <v>690</v>
      </c>
    </row>
    <row r="16" spans="1:48" x14ac:dyDescent="0.3">
      <c r="A16" s="40"/>
      <c r="B16" s="430"/>
      <c r="C16" s="179" t="s">
        <v>658</v>
      </c>
      <c r="D16" s="180">
        <v>2</v>
      </c>
      <c r="E16" s="180">
        <v>1</v>
      </c>
      <c r="F16" s="181" t="s">
        <v>141</v>
      </c>
      <c r="G16" s="181" t="s">
        <v>422</v>
      </c>
      <c r="H16" s="181" t="s">
        <v>449</v>
      </c>
      <c r="I16" s="181" t="s">
        <v>449</v>
      </c>
      <c r="J16" s="181" t="s">
        <v>423</v>
      </c>
      <c r="K16" s="181" t="s">
        <v>449</v>
      </c>
      <c r="L16" s="181" t="s">
        <v>423</v>
      </c>
      <c r="M16" s="181" t="s">
        <v>422</v>
      </c>
      <c r="N16" s="181" t="s">
        <v>422</v>
      </c>
      <c r="O16" s="181" t="s">
        <v>422</v>
      </c>
      <c r="P16" s="181" t="s">
        <v>108</v>
      </c>
      <c r="Q16" s="182" t="s">
        <v>680</v>
      </c>
    </row>
    <row r="17" spans="2:17" x14ac:dyDescent="0.3">
      <c r="B17" s="428" t="s">
        <v>662</v>
      </c>
      <c r="C17" s="179" t="s">
        <v>663</v>
      </c>
      <c r="D17" s="180">
        <v>1</v>
      </c>
      <c r="E17" s="180">
        <v>1</v>
      </c>
      <c r="F17" s="181" t="s">
        <v>141</v>
      </c>
      <c r="G17" s="181" t="s">
        <v>422</v>
      </c>
      <c r="H17" s="181" t="s">
        <v>449</v>
      </c>
      <c r="I17" s="181" t="s">
        <v>449</v>
      </c>
      <c r="J17" s="181" t="s">
        <v>423</v>
      </c>
      <c r="K17" s="181" t="s">
        <v>449</v>
      </c>
      <c r="L17" s="181" t="s">
        <v>423</v>
      </c>
      <c r="M17" s="181" t="s">
        <v>422</v>
      </c>
      <c r="N17" s="181" t="s">
        <v>422</v>
      </c>
      <c r="O17" s="181" t="s">
        <v>422</v>
      </c>
      <c r="P17" s="181" t="s">
        <v>108</v>
      </c>
      <c r="Q17" s="182" t="s">
        <v>679</v>
      </c>
    </row>
    <row r="18" spans="2:17" x14ac:dyDescent="0.3">
      <c r="B18" s="429"/>
      <c r="C18" s="179" t="s">
        <v>664</v>
      </c>
      <c r="D18" s="180">
        <v>1</v>
      </c>
      <c r="E18" s="180">
        <v>1</v>
      </c>
      <c r="F18" s="181" t="s">
        <v>141</v>
      </c>
      <c r="G18" s="181" t="s">
        <v>422</v>
      </c>
      <c r="H18" s="181" t="s">
        <v>449</v>
      </c>
      <c r="I18" s="181" t="s">
        <v>449</v>
      </c>
      <c r="J18" s="181" t="s">
        <v>423</v>
      </c>
      <c r="K18" s="181" t="s">
        <v>449</v>
      </c>
      <c r="L18" s="181" t="s">
        <v>423</v>
      </c>
      <c r="M18" s="181" t="s">
        <v>422</v>
      </c>
      <c r="N18" s="181" t="s">
        <v>422</v>
      </c>
      <c r="O18" s="181" t="s">
        <v>422</v>
      </c>
      <c r="P18" s="181" t="s">
        <v>108</v>
      </c>
      <c r="Q18" s="182" t="s">
        <v>679</v>
      </c>
    </row>
    <row r="19" spans="2:17" x14ac:dyDescent="0.3">
      <c r="B19" s="430"/>
      <c r="C19" s="179" t="s">
        <v>658</v>
      </c>
      <c r="D19" s="180">
        <v>1</v>
      </c>
      <c r="E19" s="180">
        <v>1</v>
      </c>
      <c r="F19" s="181" t="s">
        <v>141</v>
      </c>
      <c r="G19" s="181" t="s">
        <v>422</v>
      </c>
      <c r="H19" s="181" t="s">
        <v>449</v>
      </c>
      <c r="I19" s="181" t="s">
        <v>449</v>
      </c>
      <c r="J19" s="181" t="s">
        <v>423</v>
      </c>
      <c r="K19" s="181" t="s">
        <v>449</v>
      </c>
      <c r="L19" s="181" t="s">
        <v>423</v>
      </c>
      <c r="M19" s="181" t="s">
        <v>422</v>
      </c>
      <c r="N19" s="181" t="s">
        <v>422</v>
      </c>
      <c r="O19" s="181" t="s">
        <v>422</v>
      </c>
      <c r="P19" s="181" t="s">
        <v>108</v>
      </c>
      <c r="Q19" s="182" t="s">
        <v>688</v>
      </c>
    </row>
    <row r="20" spans="2:17" x14ac:dyDescent="0.3">
      <c r="B20" s="428" t="s">
        <v>665</v>
      </c>
      <c r="C20" s="17" t="s">
        <v>664</v>
      </c>
      <c r="D20" s="40">
        <v>1</v>
      </c>
      <c r="E20" s="40"/>
      <c r="F20" s="21" t="s">
        <v>654</v>
      </c>
      <c r="G20" s="21" t="s">
        <v>422</v>
      </c>
      <c r="H20" s="21" t="s">
        <v>449</v>
      </c>
      <c r="I20" s="21" t="s">
        <v>449</v>
      </c>
      <c r="J20" s="21" t="s">
        <v>423</v>
      </c>
      <c r="K20" s="21" t="s">
        <v>449</v>
      </c>
      <c r="L20" s="21" t="s">
        <v>423</v>
      </c>
      <c r="M20" s="21" t="s">
        <v>422</v>
      </c>
      <c r="N20" s="21" t="s">
        <v>422</v>
      </c>
      <c r="O20" s="21" t="s">
        <v>422</v>
      </c>
      <c r="P20" s="40"/>
    </row>
    <row r="21" spans="2:17" x14ac:dyDescent="0.3">
      <c r="B21" s="429"/>
      <c r="C21" s="179" t="s">
        <v>657</v>
      </c>
      <c r="D21" s="180">
        <v>1</v>
      </c>
      <c r="E21" s="180">
        <v>1</v>
      </c>
      <c r="F21" s="181" t="s">
        <v>141</v>
      </c>
      <c r="G21" s="181" t="s">
        <v>422</v>
      </c>
      <c r="H21" s="181" t="s">
        <v>449</v>
      </c>
      <c r="I21" s="181" t="s">
        <v>449</v>
      </c>
      <c r="J21" s="181" t="s">
        <v>423</v>
      </c>
      <c r="K21" s="181" t="s">
        <v>449</v>
      </c>
      <c r="L21" s="181" t="s">
        <v>423</v>
      </c>
      <c r="M21" s="181" t="s">
        <v>422</v>
      </c>
      <c r="N21" s="181" t="s">
        <v>422</v>
      </c>
      <c r="O21" s="181" t="s">
        <v>422</v>
      </c>
      <c r="P21" s="181" t="s">
        <v>108</v>
      </c>
      <c r="Q21" s="182" t="s">
        <v>688</v>
      </c>
    </row>
    <row r="22" spans="2:17" x14ac:dyDescent="0.3">
      <c r="B22" s="429"/>
      <c r="C22" s="179" t="s">
        <v>663</v>
      </c>
      <c r="D22" s="180">
        <v>1</v>
      </c>
      <c r="E22" s="180">
        <v>1</v>
      </c>
      <c r="F22" s="181" t="s">
        <v>141</v>
      </c>
      <c r="G22" s="181" t="s">
        <v>422</v>
      </c>
      <c r="H22" s="181" t="s">
        <v>449</v>
      </c>
      <c r="I22" s="181" t="s">
        <v>449</v>
      </c>
      <c r="J22" s="181" t="s">
        <v>423</v>
      </c>
      <c r="K22" s="181" t="s">
        <v>449</v>
      </c>
      <c r="L22" s="181" t="s">
        <v>423</v>
      </c>
      <c r="M22" s="181" t="s">
        <v>422</v>
      </c>
      <c r="N22" s="181" t="s">
        <v>422</v>
      </c>
      <c r="O22" s="181" t="s">
        <v>422</v>
      </c>
      <c r="P22" s="181" t="s">
        <v>108</v>
      </c>
      <c r="Q22" s="182" t="s">
        <v>688</v>
      </c>
    </row>
    <row r="23" spans="2:17" x14ac:dyDescent="0.3">
      <c r="B23" s="430"/>
      <c r="C23" s="179" t="s">
        <v>658</v>
      </c>
      <c r="D23" s="180">
        <v>1</v>
      </c>
      <c r="E23" s="180">
        <v>1</v>
      </c>
      <c r="F23" s="181" t="s">
        <v>141</v>
      </c>
      <c r="G23" s="181" t="s">
        <v>422</v>
      </c>
      <c r="H23" s="181" t="s">
        <v>422</v>
      </c>
      <c r="I23" s="181" t="s">
        <v>422</v>
      </c>
      <c r="J23" s="181" t="s">
        <v>423</v>
      </c>
      <c r="K23" s="181" t="s">
        <v>422</v>
      </c>
      <c r="L23" s="181" t="s">
        <v>423</v>
      </c>
      <c r="M23" s="181" t="s">
        <v>422</v>
      </c>
      <c r="N23" s="181" t="s">
        <v>422</v>
      </c>
      <c r="O23" s="181" t="s">
        <v>422</v>
      </c>
      <c r="P23" s="181" t="s">
        <v>108</v>
      </c>
      <c r="Q23" s="182" t="s">
        <v>679</v>
      </c>
    </row>
    <row r="24" spans="2:17" x14ac:dyDescent="0.3">
      <c r="B24" s="428" t="s">
        <v>666</v>
      </c>
      <c r="C24" s="176" t="s">
        <v>664</v>
      </c>
      <c r="D24" s="177">
        <v>1</v>
      </c>
      <c r="E24" s="177"/>
      <c r="F24" s="175" t="s">
        <v>141</v>
      </c>
      <c r="G24" s="175" t="s">
        <v>422</v>
      </c>
      <c r="H24" s="175" t="s">
        <v>449</v>
      </c>
      <c r="I24" s="175" t="s">
        <v>449</v>
      </c>
      <c r="J24" s="175" t="s">
        <v>423</v>
      </c>
      <c r="K24" s="175" t="s">
        <v>449</v>
      </c>
      <c r="L24" s="175" t="s">
        <v>423</v>
      </c>
      <c r="M24" s="175" t="s">
        <v>422</v>
      </c>
      <c r="N24" s="175" t="s">
        <v>422</v>
      </c>
      <c r="O24" s="175" t="s">
        <v>422</v>
      </c>
      <c r="P24" s="175" t="s">
        <v>108</v>
      </c>
      <c r="Q24" s="183" t="s">
        <v>692</v>
      </c>
    </row>
    <row r="25" spans="2:17" x14ac:dyDescent="0.3">
      <c r="B25" s="429"/>
      <c r="C25" s="179" t="s">
        <v>657</v>
      </c>
      <c r="D25" s="180">
        <v>1</v>
      </c>
      <c r="E25" s="180">
        <v>1</v>
      </c>
      <c r="F25" s="181" t="s">
        <v>141</v>
      </c>
      <c r="G25" s="181" t="s">
        <v>422</v>
      </c>
      <c r="H25" s="181" t="s">
        <v>449</v>
      </c>
      <c r="I25" s="181" t="s">
        <v>449</v>
      </c>
      <c r="J25" s="181" t="s">
        <v>423</v>
      </c>
      <c r="K25" s="181" t="s">
        <v>449</v>
      </c>
      <c r="L25" s="181" t="s">
        <v>423</v>
      </c>
      <c r="M25" s="181" t="s">
        <v>422</v>
      </c>
      <c r="N25" s="181" t="s">
        <v>422</v>
      </c>
      <c r="O25" s="181" t="s">
        <v>422</v>
      </c>
      <c r="P25" s="181" t="s">
        <v>108</v>
      </c>
      <c r="Q25" s="182" t="s">
        <v>688</v>
      </c>
    </row>
    <row r="26" spans="2:17" x14ac:dyDescent="0.3">
      <c r="B26" s="429"/>
      <c r="C26" s="176" t="s">
        <v>663</v>
      </c>
      <c r="D26" s="177">
        <v>1</v>
      </c>
      <c r="E26" s="177">
        <v>1</v>
      </c>
      <c r="F26" s="175" t="s">
        <v>141</v>
      </c>
      <c r="G26" s="175" t="s">
        <v>422</v>
      </c>
      <c r="H26" s="175" t="s">
        <v>449</v>
      </c>
      <c r="I26" s="175" t="s">
        <v>449</v>
      </c>
      <c r="J26" s="175" t="s">
        <v>423</v>
      </c>
      <c r="K26" s="175" t="s">
        <v>449</v>
      </c>
      <c r="L26" s="175" t="s">
        <v>423</v>
      </c>
      <c r="M26" s="175" t="s">
        <v>422</v>
      </c>
      <c r="N26" s="175" t="s">
        <v>422</v>
      </c>
      <c r="O26" s="175" t="s">
        <v>422</v>
      </c>
      <c r="P26" s="175" t="s">
        <v>108</v>
      </c>
      <c r="Q26" s="183" t="s">
        <v>692</v>
      </c>
    </row>
    <row r="27" spans="2:17" x14ac:dyDescent="0.3">
      <c r="B27" s="430"/>
      <c r="C27" s="179" t="s">
        <v>658</v>
      </c>
      <c r="D27" s="180">
        <v>1</v>
      </c>
      <c r="E27" s="180">
        <v>1</v>
      </c>
      <c r="F27" s="181" t="s">
        <v>141</v>
      </c>
      <c r="G27" s="181" t="s">
        <v>422</v>
      </c>
      <c r="H27" s="181" t="s">
        <v>422</v>
      </c>
      <c r="I27" s="181" t="s">
        <v>422</v>
      </c>
      <c r="J27" s="181" t="s">
        <v>423</v>
      </c>
      <c r="K27" s="181" t="s">
        <v>422</v>
      </c>
      <c r="L27" s="181" t="s">
        <v>423</v>
      </c>
      <c r="M27" s="181" t="s">
        <v>422</v>
      </c>
      <c r="N27" s="181" t="s">
        <v>422</v>
      </c>
      <c r="O27" s="181" t="s">
        <v>422</v>
      </c>
      <c r="P27" s="181" t="s">
        <v>108</v>
      </c>
      <c r="Q27" s="182" t="s">
        <v>679</v>
      </c>
    </row>
    <row r="28" spans="2:17" x14ac:dyDescent="0.3">
      <c r="B28" s="21" t="s">
        <v>85</v>
      </c>
      <c r="C28" s="17" t="s">
        <v>667</v>
      </c>
      <c r="D28" s="40">
        <v>1</v>
      </c>
      <c r="E28" s="40"/>
      <c r="F28" s="21" t="s">
        <v>686</v>
      </c>
      <c r="G28" s="21" t="s">
        <v>422</v>
      </c>
      <c r="H28" s="21" t="s">
        <v>449</v>
      </c>
      <c r="I28" s="21" t="s">
        <v>449</v>
      </c>
      <c r="J28" s="21" t="s">
        <v>449</v>
      </c>
      <c r="K28" s="21" t="s">
        <v>449</v>
      </c>
      <c r="L28" s="21" t="s">
        <v>449</v>
      </c>
      <c r="M28" s="21" t="s">
        <v>422</v>
      </c>
      <c r="N28" s="21" t="s">
        <v>422</v>
      </c>
      <c r="O28" s="21" t="s">
        <v>422</v>
      </c>
      <c r="P28" s="40"/>
    </row>
    <row r="29" spans="2:17" x14ac:dyDescent="0.3">
      <c r="B29" s="431" t="s">
        <v>668</v>
      </c>
      <c r="C29" s="176" t="s">
        <v>664</v>
      </c>
      <c r="D29" s="177">
        <v>3</v>
      </c>
      <c r="E29" s="177">
        <v>1</v>
      </c>
      <c r="F29" s="175" t="s">
        <v>687</v>
      </c>
      <c r="G29" s="175" t="s">
        <v>422</v>
      </c>
      <c r="H29" s="175" t="s">
        <v>449</v>
      </c>
      <c r="I29" s="175" t="s">
        <v>449</v>
      </c>
      <c r="J29" s="175" t="s">
        <v>423</v>
      </c>
      <c r="K29" s="175" t="s">
        <v>449</v>
      </c>
      <c r="L29" s="175" t="s">
        <v>423</v>
      </c>
      <c r="M29" s="175" t="s">
        <v>422</v>
      </c>
      <c r="N29" s="175" t="s">
        <v>422</v>
      </c>
      <c r="O29" s="175" t="s">
        <v>422</v>
      </c>
      <c r="P29" s="175" t="s">
        <v>108</v>
      </c>
      <c r="Q29" s="178"/>
    </row>
    <row r="30" spans="2:17" x14ac:dyDescent="0.3">
      <c r="B30" s="431"/>
      <c r="C30" s="179" t="s">
        <v>669</v>
      </c>
      <c r="D30" s="180">
        <v>3</v>
      </c>
      <c r="E30" s="180">
        <v>2</v>
      </c>
      <c r="F30" s="181" t="s">
        <v>141</v>
      </c>
      <c r="G30" s="181" t="s">
        <v>422</v>
      </c>
      <c r="H30" s="181" t="s">
        <v>422</v>
      </c>
      <c r="I30" s="181" t="s">
        <v>422</v>
      </c>
      <c r="J30" s="181" t="s">
        <v>423</v>
      </c>
      <c r="K30" s="181" t="s">
        <v>422</v>
      </c>
      <c r="L30" s="181" t="s">
        <v>423</v>
      </c>
      <c r="M30" s="181" t="s">
        <v>422</v>
      </c>
      <c r="N30" s="181" t="s">
        <v>422</v>
      </c>
      <c r="O30" s="181" t="s">
        <v>422</v>
      </c>
      <c r="P30" s="181" t="s">
        <v>108</v>
      </c>
      <c r="Q30" s="182" t="s">
        <v>681</v>
      </c>
    </row>
    <row r="31" spans="2:17" x14ac:dyDescent="0.3">
      <c r="B31" s="431"/>
      <c r="C31" s="179" t="s">
        <v>658</v>
      </c>
      <c r="D31" s="180">
        <v>3</v>
      </c>
      <c r="E31" s="180">
        <v>3</v>
      </c>
      <c r="F31" s="181" t="s">
        <v>141</v>
      </c>
      <c r="G31" s="181" t="s">
        <v>422</v>
      </c>
      <c r="H31" s="181" t="s">
        <v>449</v>
      </c>
      <c r="I31" s="181" t="s">
        <v>449</v>
      </c>
      <c r="J31" s="181" t="s">
        <v>423</v>
      </c>
      <c r="K31" s="181" t="s">
        <v>449</v>
      </c>
      <c r="L31" s="181" t="s">
        <v>423</v>
      </c>
      <c r="M31" s="181" t="s">
        <v>422</v>
      </c>
      <c r="N31" s="181" t="s">
        <v>422</v>
      </c>
      <c r="O31" s="181" t="s">
        <v>422</v>
      </c>
      <c r="P31" s="181" t="s">
        <v>108</v>
      </c>
      <c r="Q31" s="182" t="s">
        <v>693</v>
      </c>
    </row>
    <row r="32" spans="2:17" x14ac:dyDescent="0.3">
      <c r="B32" s="431" t="s">
        <v>670</v>
      </c>
      <c r="C32" s="179" t="s">
        <v>669</v>
      </c>
      <c r="D32" s="180">
        <v>3</v>
      </c>
      <c r="E32" s="180">
        <v>1</v>
      </c>
      <c r="F32" s="181" t="s">
        <v>141</v>
      </c>
      <c r="G32" s="181" t="s">
        <v>422</v>
      </c>
      <c r="H32" s="181" t="s">
        <v>422</v>
      </c>
      <c r="I32" s="181" t="s">
        <v>422</v>
      </c>
      <c r="J32" s="181" t="s">
        <v>423</v>
      </c>
      <c r="K32" s="181" t="s">
        <v>422</v>
      </c>
      <c r="L32" s="181" t="s">
        <v>423</v>
      </c>
      <c r="M32" s="181" t="s">
        <v>422</v>
      </c>
      <c r="N32" s="181" t="s">
        <v>422</v>
      </c>
      <c r="O32" s="181" t="s">
        <v>422</v>
      </c>
      <c r="P32" s="181" t="s">
        <v>108</v>
      </c>
      <c r="Q32" s="182" t="s">
        <v>688</v>
      </c>
    </row>
    <row r="33" spans="2:17" x14ac:dyDescent="0.3">
      <c r="B33" s="431"/>
      <c r="C33" s="179" t="s">
        <v>682</v>
      </c>
      <c r="D33" s="180">
        <v>3</v>
      </c>
      <c r="E33" s="180">
        <v>2</v>
      </c>
      <c r="F33" s="181" t="s">
        <v>141</v>
      </c>
      <c r="G33" s="181" t="s">
        <v>422</v>
      </c>
      <c r="H33" s="181" t="s">
        <v>422</v>
      </c>
      <c r="I33" s="181" t="s">
        <v>422</v>
      </c>
      <c r="J33" s="181" t="s">
        <v>423</v>
      </c>
      <c r="K33" s="181" t="s">
        <v>449</v>
      </c>
      <c r="L33" s="181" t="s">
        <v>423</v>
      </c>
      <c r="M33" s="181" t="s">
        <v>422</v>
      </c>
      <c r="N33" s="181" t="s">
        <v>422</v>
      </c>
      <c r="O33" s="181" t="s">
        <v>422</v>
      </c>
      <c r="P33" s="181" t="s">
        <v>108</v>
      </c>
      <c r="Q33" s="182" t="s">
        <v>683</v>
      </c>
    </row>
    <row r="34" spans="2:17" x14ac:dyDescent="0.3">
      <c r="B34" s="431"/>
      <c r="C34" s="179" t="s">
        <v>658</v>
      </c>
      <c r="D34" s="180">
        <v>3</v>
      </c>
      <c r="E34" s="180">
        <v>1</v>
      </c>
      <c r="F34" s="181" t="s">
        <v>141</v>
      </c>
      <c r="G34" s="181" t="s">
        <v>422</v>
      </c>
      <c r="H34" s="181" t="s">
        <v>449</v>
      </c>
      <c r="I34" s="181" t="s">
        <v>449</v>
      </c>
      <c r="J34" s="181" t="s">
        <v>423</v>
      </c>
      <c r="K34" s="181" t="s">
        <v>449</v>
      </c>
      <c r="L34" s="181" t="s">
        <v>423</v>
      </c>
      <c r="M34" s="181" t="s">
        <v>422</v>
      </c>
      <c r="N34" s="181" t="s">
        <v>422</v>
      </c>
      <c r="O34" s="181" t="s">
        <v>422</v>
      </c>
      <c r="P34" s="181" t="s">
        <v>108</v>
      </c>
      <c r="Q34" s="182" t="s">
        <v>684</v>
      </c>
    </row>
    <row r="35" spans="2:17" x14ac:dyDescent="0.3">
      <c r="B35" s="424" t="s">
        <v>671</v>
      </c>
      <c r="C35" s="179" t="s">
        <v>672</v>
      </c>
      <c r="D35" s="180">
        <v>3</v>
      </c>
      <c r="E35" s="180">
        <v>3</v>
      </c>
      <c r="F35" s="181" t="s">
        <v>141</v>
      </c>
      <c r="G35" s="181" t="s">
        <v>422</v>
      </c>
      <c r="H35" s="181" t="s">
        <v>449</v>
      </c>
      <c r="I35" s="181" t="s">
        <v>449</v>
      </c>
      <c r="J35" s="181" t="s">
        <v>423</v>
      </c>
      <c r="K35" s="181" t="s">
        <v>449</v>
      </c>
      <c r="L35" s="181" t="s">
        <v>423</v>
      </c>
      <c r="M35" s="181" t="s">
        <v>422</v>
      </c>
      <c r="N35" s="181" t="s">
        <v>422</v>
      </c>
      <c r="O35" s="181" t="s">
        <v>422</v>
      </c>
      <c r="P35" s="181" t="s">
        <v>108</v>
      </c>
      <c r="Q35" s="182" t="s">
        <v>688</v>
      </c>
    </row>
    <row r="36" spans="2:17" x14ac:dyDescent="0.3">
      <c r="B36" s="424"/>
      <c r="C36" s="179" t="s">
        <v>673</v>
      </c>
      <c r="D36" s="180">
        <v>2</v>
      </c>
      <c r="E36" s="180">
        <v>2</v>
      </c>
      <c r="F36" s="181" t="s">
        <v>141</v>
      </c>
      <c r="G36" s="181" t="s">
        <v>422</v>
      </c>
      <c r="H36" s="181" t="s">
        <v>449</v>
      </c>
      <c r="I36" s="181" t="s">
        <v>449</v>
      </c>
      <c r="J36" s="181" t="s">
        <v>423</v>
      </c>
      <c r="K36" s="181" t="s">
        <v>449</v>
      </c>
      <c r="L36" s="181" t="s">
        <v>423</v>
      </c>
      <c r="M36" s="181" t="s">
        <v>422</v>
      </c>
      <c r="N36" s="181" t="s">
        <v>422</v>
      </c>
      <c r="O36" s="181" t="s">
        <v>422</v>
      </c>
      <c r="P36" s="181" t="s">
        <v>108</v>
      </c>
      <c r="Q36" s="182" t="s">
        <v>688</v>
      </c>
    </row>
    <row r="37" spans="2:17" x14ac:dyDescent="0.3">
      <c r="B37" s="424"/>
      <c r="C37" s="179" t="s">
        <v>674</v>
      </c>
      <c r="D37" s="180">
        <v>3</v>
      </c>
      <c r="E37" s="180">
        <v>2</v>
      </c>
      <c r="F37" s="181" t="s">
        <v>141</v>
      </c>
      <c r="G37" s="181" t="s">
        <v>422</v>
      </c>
      <c r="H37" s="181" t="s">
        <v>449</v>
      </c>
      <c r="I37" s="181" t="s">
        <v>449</v>
      </c>
      <c r="J37" s="181" t="s">
        <v>423</v>
      </c>
      <c r="K37" s="181" t="s">
        <v>449</v>
      </c>
      <c r="L37" s="181" t="s">
        <v>423</v>
      </c>
      <c r="M37" s="181" t="s">
        <v>422</v>
      </c>
      <c r="N37" s="181" t="s">
        <v>422</v>
      </c>
      <c r="O37" s="181" t="s">
        <v>422</v>
      </c>
      <c r="P37" s="181" t="s">
        <v>108</v>
      </c>
      <c r="Q37" s="182" t="s">
        <v>689</v>
      </c>
    </row>
    <row r="38" spans="2:17" x14ac:dyDescent="0.3">
      <c r="B38" s="424"/>
      <c r="C38" s="179" t="s">
        <v>675</v>
      </c>
      <c r="D38" s="180">
        <v>2</v>
      </c>
      <c r="E38" s="180">
        <v>2</v>
      </c>
      <c r="F38" s="181" t="s">
        <v>141</v>
      </c>
      <c r="G38" s="181" t="s">
        <v>422</v>
      </c>
      <c r="H38" s="181" t="s">
        <v>422</v>
      </c>
      <c r="I38" s="181" t="s">
        <v>422</v>
      </c>
      <c r="J38" s="181" t="s">
        <v>423</v>
      </c>
      <c r="K38" s="181" t="s">
        <v>422</v>
      </c>
      <c r="L38" s="181" t="s">
        <v>423</v>
      </c>
      <c r="M38" s="181" t="s">
        <v>422</v>
      </c>
      <c r="N38" s="181" t="s">
        <v>422</v>
      </c>
      <c r="O38" s="181" t="s">
        <v>422</v>
      </c>
      <c r="P38" s="181" t="s">
        <v>108</v>
      </c>
      <c r="Q38" s="182" t="s">
        <v>685</v>
      </c>
    </row>
  </sheetData>
  <autoFilter ref="A2:P2" xr:uid="{00000000-0009-0000-0000-000006000000}"/>
  <mergeCells count="11">
    <mergeCell ref="B35:B38"/>
    <mergeCell ref="B3:B5"/>
    <mergeCell ref="B6:B8"/>
    <mergeCell ref="B11:B13"/>
    <mergeCell ref="B14:B16"/>
    <mergeCell ref="B9:B10"/>
    <mergeCell ref="B17:B19"/>
    <mergeCell ref="B20:B23"/>
    <mergeCell ref="B24:B27"/>
    <mergeCell ref="B29:B31"/>
    <mergeCell ref="B32:B34"/>
  </mergeCells>
  <pageMargins left="0.70866141732283472" right="0.70866141732283472" top="0.74803149606299213" bottom="0.74803149606299213" header="0.31496062992125984" footer="0.31496062992125984"/>
  <pageSetup paperSize="9" scale="10" orientation="landscape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>
    <pageSetUpPr fitToPage="1"/>
  </sheetPr>
  <dimension ref="A2:J59"/>
  <sheetViews>
    <sheetView view="pageBreakPreview" zoomScaleNormal="98" zoomScaleSheetLayoutView="100" workbookViewId="0">
      <pane xSplit="8" ySplit="2" topLeftCell="I3" activePane="bottomRight" state="frozen"/>
      <selection pane="topRight" activeCell="H1" sqref="H1"/>
      <selection pane="bottomLeft" activeCell="A3" sqref="A3"/>
      <selection pane="bottomRight"/>
    </sheetView>
  </sheetViews>
  <sheetFormatPr baseColWidth="10" defaultColWidth="11.44140625" defaultRowHeight="14.4" x14ac:dyDescent="0.3"/>
  <cols>
    <col min="1" max="1" width="15.33203125" style="30" customWidth="1"/>
    <col min="2" max="2" width="10.88671875" style="32" customWidth="1"/>
    <col min="3" max="3" width="47.88671875" style="31" customWidth="1"/>
    <col min="4" max="5" width="9.33203125" style="32" customWidth="1"/>
    <col min="6" max="6" width="12.109375" style="30" customWidth="1"/>
    <col min="7" max="7" width="15.5546875" style="2" bestFit="1" customWidth="1"/>
    <col min="8" max="8" width="16.109375" style="32" customWidth="1"/>
    <col min="9" max="9" width="17" style="33" customWidth="1"/>
    <col min="10" max="10" width="35.6640625" style="30" customWidth="1"/>
    <col min="11" max="34" width="3.6640625" style="30" customWidth="1"/>
    <col min="35" max="45" width="4.33203125" style="30" customWidth="1"/>
    <col min="46" max="16384" width="11.44140625" style="30"/>
  </cols>
  <sheetData>
    <row r="2" spans="1:10" s="80" customFormat="1" ht="65.25" customHeight="1" x14ac:dyDescent="0.3">
      <c r="A2" s="50" t="s">
        <v>73</v>
      </c>
      <c r="B2" s="51" t="s">
        <v>26</v>
      </c>
      <c r="C2" s="52" t="s">
        <v>27</v>
      </c>
      <c r="D2" s="52" t="s">
        <v>302</v>
      </c>
      <c r="E2" s="52" t="s">
        <v>515</v>
      </c>
      <c r="F2" s="52" t="s">
        <v>239</v>
      </c>
      <c r="G2" s="52" t="s">
        <v>651</v>
      </c>
      <c r="H2" s="55" t="s">
        <v>137</v>
      </c>
      <c r="I2" s="165" t="s">
        <v>514</v>
      </c>
      <c r="J2" s="53" t="s">
        <v>69</v>
      </c>
    </row>
    <row r="3" spans="1:10" x14ac:dyDescent="0.3">
      <c r="A3" s="4" t="s">
        <v>400</v>
      </c>
      <c r="B3" s="40"/>
      <c r="C3" s="17" t="s">
        <v>401</v>
      </c>
      <c r="D3" s="40">
        <v>66</v>
      </c>
      <c r="E3" s="40"/>
      <c r="F3" s="41">
        <v>43171</v>
      </c>
      <c r="G3" s="26">
        <v>43206</v>
      </c>
      <c r="H3" s="40"/>
      <c r="I3" s="166"/>
      <c r="J3" s="1" t="s">
        <v>608</v>
      </c>
    </row>
    <row r="4" spans="1:10" x14ac:dyDescent="0.3">
      <c r="A4" s="4" t="s">
        <v>402</v>
      </c>
      <c r="B4" s="40"/>
      <c r="C4" s="17" t="s">
        <v>403</v>
      </c>
      <c r="D4" s="40">
        <v>66</v>
      </c>
      <c r="E4" s="40"/>
      <c r="F4" s="41">
        <v>43171</v>
      </c>
      <c r="G4" s="26">
        <v>43206</v>
      </c>
      <c r="H4" s="40"/>
      <c r="I4" s="166"/>
      <c r="J4" s="1" t="s">
        <v>608</v>
      </c>
    </row>
    <row r="5" spans="1:10" x14ac:dyDescent="0.3">
      <c r="A5" s="4" t="s">
        <v>404</v>
      </c>
      <c r="B5" s="40"/>
      <c r="C5" s="17" t="s">
        <v>405</v>
      </c>
      <c r="D5" s="40">
        <v>114</v>
      </c>
      <c r="E5" s="40"/>
      <c r="F5" s="41">
        <v>43171</v>
      </c>
      <c r="G5" s="26">
        <v>43206</v>
      </c>
      <c r="H5" s="40"/>
      <c r="I5" s="166"/>
      <c r="J5" s="1" t="s">
        <v>608</v>
      </c>
    </row>
    <row r="6" spans="1:10" x14ac:dyDescent="0.3">
      <c r="A6" s="4" t="s">
        <v>406</v>
      </c>
      <c r="B6" s="40"/>
      <c r="C6" s="17" t="s">
        <v>407</v>
      </c>
      <c r="D6" s="40">
        <v>114</v>
      </c>
      <c r="E6" s="40"/>
      <c r="F6" s="41">
        <v>43171</v>
      </c>
      <c r="G6" s="26">
        <v>43206</v>
      </c>
      <c r="H6" s="40"/>
      <c r="I6" s="166"/>
      <c r="J6" s="1" t="s">
        <v>608</v>
      </c>
    </row>
    <row r="7" spans="1:10" x14ac:dyDescent="0.3">
      <c r="A7" s="4" t="s">
        <v>408</v>
      </c>
      <c r="B7" s="40"/>
      <c r="C7" s="17" t="s">
        <v>409</v>
      </c>
      <c r="D7" s="40">
        <v>114</v>
      </c>
      <c r="E7" s="40"/>
      <c r="F7" s="41">
        <v>43171</v>
      </c>
      <c r="G7" s="26">
        <v>43206</v>
      </c>
      <c r="H7" s="40"/>
      <c r="I7" s="166"/>
      <c r="J7" s="1" t="s">
        <v>608</v>
      </c>
    </row>
    <row r="8" spans="1:10" x14ac:dyDescent="0.3">
      <c r="A8" s="4" t="s">
        <v>410</v>
      </c>
      <c r="B8" s="40"/>
      <c r="C8" s="17" t="s">
        <v>411</v>
      </c>
      <c r="D8" s="40">
        <v>114</v>
      </c>
      <c r="E8" s="40"/>
      <c r="F8" s="41">
        <v>43171</v>
      </c>
      <c r="G8" s="26">
        <v>43206</v>
      </c>
      <c r="H8" s="40"/>
      <c r="I8" s="166"/>
      <c r="J8" s="1" t="s">
        <v>608</v>
      </c>
    </row>
    <row r="9" spans="1:10" x14ac:dyDescent="0.3">
      <c r="A9" s="4" t="s">
        <v>412</v>
      </c>
      <c r="B9" s="40"/>
      <c r="C9" s="17" t="s">
        <v>413</v>
      </c>
      <c r="D9" s="40">
        <v>138</v>
      </c>
      <c r="E9" s="40"/>
      <c r="F9" s="41">
        <v>43171</v>
      </c>
      <c r="G9" s="26">
        <v>43206</v>
      </c>
      <c r="H9" s="40"/>
      <c r="I9" s="166"/>
      <c r="J9" s="1" t="s">
        <v>608</v>
      </c>
    </row>
    <row r="10" spans="1:10" x14ac:dyDescent="0.3">
      <c r="A10" s="4" t="s">
        <v>414</v>
      </c>
      <c r="B10" s="40"/>
      <c r="C10" s="17" t="s">
        <v>415</v>
      </c>
      <c r="D10" s="40">
        <v>138</v>
      </c>
      <c r="E10" s="40"/>
      <c r="F10" s="41">
        <v>43171</v>
      </c>
      <c r="G10" s="26">
        <v>43206</v>
      </c>
      <c r="H10" s="40"/>
      <c r="I10" s="166"/>
      <c r="J10" s="1" t="s">
        <v>608</v>
      </c>
    </row>
    <row r="11" spans="1:10" x14ac:dyDescent="0.3">
      <c r="A11" s="4" t="s">
        <v>518</v>
      </c>
      <c r="B11" s="40"/>
      <c r="C11" s="17" t="s">
        <v>526</v>
      </c>
      <c r="D11" s="40">
        <v>100</v>
      </c>
      <c r="E11" s="40">
        <v>100</v>
      </c>
      <c r="F11" s="41">
        <v>43221</v>
      </c>
      <c r="G11" s="26">
        <v>43327</v>
      </c>
      <c r="H11" s="40"/>
      <c r="I11" s="166"/>
      <c r="J11" s="33"/>
    </row>
    <row r="12" spans="1:10" x14ac:dyDescent="0.3">
      <c r="A12" s="4" t="s">
        <v>519</v>
      </c>
      <c r="B12" s="40"/>
      <c r="C12" s="17" t="s">
        <v>527</v>
      </c>
      <c r="D12" s="40">
        <v>190</v>
      </c>
      <c r="E12" s="40"/>
      <c r="F12" s="41">
        <v>43221</v>
      </c>
      <c r="G12" s="26">
        <v>43327</v>
      </c>
      <c r="H12" s="40"/>
      <c r="I12" s="166"/>
      <c r="J12" s="33"/>
    </row>
    <row r="13" spans="1:10" x14ac:dyDescent="0.3">
      <c r="A13" s="4" t="s">
        <v>520</v>
      </c>
      <c r="B13" s="40"/>
      <c r="C13" s="17" t="s">
        <v>528</v>
      </c>
      <c r="D13" s="40">
        <v>100</v>
      </c>
      <c r="E13" s="40"/>
      <c r="F13" s="41">
        <v>43221</v>
      </c>
      <c r="G13" s="26">
        <v>43327</v>
      </c>
      <c r="H13" s="40"/>
      <c r="I13" s="166"/>
      <c r="J13" s="33"/>
    </row>
    <row r="14" spans="1:10" x14ac:dyDescent="0.3">
      <c r="A14" s="4" t="s">
        <v>521</v>
      </c>
      <c r="B14" s="40"/>
      <c r="C14" s="17" t="s">
        <v>529</v>
      </c>
      <c r="D14" s="40">
        <v>100</v>
      </c>
      <c r="E14" s="113"/>
      <c r="F14" s="41">
        <v>43221</v>
      </c>
      <c r="G14" s="26">
        <v>43327</v>
      </c>
      <c r="H14" s="40"/>
      <c r="I14" s="166"/>
      <c r="J14" s="33"/>
    </row>
    <row r="15" spans="1:10" x14ac:dyDescent="0.3">
      <c r="A15" s="4" t="s">
        <v>522</v>
      </c>
      <c r="B15" s="40"/>
      <c r="C15" s="17" t="s">
        <v>530</v>
      </c>
      <c r="D15" s="40">
        <v>72</v>
      </c>
      <c r="E15" s="40">
        <v>75</v>
      </c>
      <c r="F15" s="41">
        <v>43221</v>
      </c>
      <c r="G15" s="26">
        <v>43327</v>
      </c>
      <c r="H15" s="40"/>
      <c r="I15" s="166"/>
      <c r="J15" s="33"/>
    </row>
    <row r="16" spans="1:10" x14ac:dyDescent="0.3">
      <c r="A16" s="4" t="s">
        <v>523</v>
      </c>
      <c r="B16" s="40"/>
      <c r="C16" s="17" t="s">
        <v>531</v>
      </c>
      <c r="D16" s="40">
        <v>94</v>
      </c>
      <c r="E16" s="40">
        <v>100</v>
      </c>
      <c r="F16" s="41">
        <v>43221</v>
      </c>
      <c r="G16" s="26">
        <v>43327</v>
      </c>
      <c r="H16" s="40"/>
      <c r="I16" s="166"/>
      <c r="J16" s="33"/>
    </row>
    <row r="17" spans="1:10" x14ac:dyDescent="0.3">
      <c r="A17" s="4" t="s">
        <v>524</v>
      </c>
      <c r="B17" s="40"/>
      <c r="C17" s="17" t="s">
        <v>532</v>
      </c>
      <c r="D17" s="40">
        <v>72</v>
      </c>
      <c r="E17" s="40">
        <v>75</v>
      </c>
      <c r="F17" s="41">
        <v>43221</v>
      </c>
      <c r="G17" s="26">
        <v>43327</v>
      </c>
      <c r="H17" s="40"/>
      <c r="I17" s="166"/>
      <c r="J17" s="33"/>
    </row>
    <row r="18" spans="1:10" x14ac:dyDescent="0.3">
      <c r="A18" s="4" t="s">
        <v>525</v>
      </c>
      <c r="B18" s="40"/>
      <c r="C18" s="17" t="s">
        <v>533</v>
      </c>
      <c r="D18" s="40">
        <v>72</v>
      </c>
      <c r="E18" s="40"/>
      <c r="F18" s="41">
        <v>43221</v>
      </c>
      <c r="G18" s="26">
        <v>43327</v>
      </c>
      <c r="H18" s="40"/>
      <c r="I18" s="166"/>
      <c r="J18" s="33"/>
    </row>
    <row r="19" spans="1:10" x14ac:dyDescent="0.3">
      <c r="A19" s="4" t="s">
        <v>568</v>
      </c>
      <c r="B19" s="21" t="s">
        <v>581</v>
      </c>
      <c r="C19" s="17" t="s">
        <v>592</v>
      </c>
      <c r="D19" s="40">
        <v>143</v>
      </c>
      <c r="E19" s="40"/>
      <c r="F19" s="41">
        <v>43228</v>
      </c>
      <c r="G19" s="26">
        <v>43327</v>
      </c>
      <c r="H19" s="40"/>
      <c r="I19" s="166"/>
      <c r="J19" s="1" t="s">
        <v>652</v>
      </c>
    </row>
    <row r="20" spans="1:10" x14ac:dyDescent="0.3">
      <c r="A20" s="4" t="s">
        <v>569</v>
      </c>
      <c r="B20" s="21" t="s">
        <v>582</v>
      </c>
      <c r="C20" s="17" t="s">
        <v>593</v>
      </c>
      <c r="D20" s="40">
        <v>26</v>
      </c>
      <c r="E20" s="40"/>
      <c r="F20" s="41">
        <v>43228</v>
      </c>
      <c r="G20" s="26">
        <v>43327</v>
      </c>
      <c r="H20" s="40"/>
      <c r="I20" s="166"/>
      <c r="J20" s="1" t="s">
        <v>652</v>
      </c>
    </row>
    <row r="21" spans="1:10" x14ac:dyDescent="0.3">
      <c r="A21" s="4" t="s">
        <v>570</v>
      </c>
      <c r="B21" s="21" t="s">
        <v>583</v>
      </c>
      <c r="C21" s="17" t="s">
        <v>594</v>
      </c>
      <c r="D21" s="40">
        <v>16</v>
      </c>
      <c r="E21" s="40"/>
      <c r="F21" s="41">
        <v>43228</v>
      </c>
      <c r="G21" s="26">
        <v>43327</v>
      </c>
      <c r="H21" s="40"/>
      <c r="I21" s="166"/>
      <c r="J21" s="1" t="s">
        <v>652</v>
      </c>
    </row>
    <row r="22" spans="1:10" x14ac:dyDescent="0.3">
      <c r="A22" s="4" t="s">
        <v>571</v>
      </c>
      <c r="B22" s="21" t="s">
        <v>584</v>
      </c>
      <c r="C22" s="17" t="s">
        <v>595</v>
      </c>
      <c r="D22" s="40">
        <v>16</v>
      </c>
      <c r="E22" s="40"/>
      <c r="F22" s="41">
        <v>43228</v>
      </c>
      <c r="G22" s="26">
        <v>43327</v>
      </c>
      <c r="H22" s="40"/>
      <c r="I22" s="166"/>
      <c r="J22" s="1" t="s">
        <v>652</v>
      </c>
    </row>
    <row r="23" spans="1:10" x14ac:dyDescent="0.3">
      <c r="A23" s="4" t="s">
        <v>572</v>
      </c>
      <c r="B23" s="21" t="s">
        <v>585</v>
      </c>
      <c r="C23" s="17" t="s">
        <v>605</v>
      </c>
      <c r="D23" s="40">
        <v>143</v>
      </c>
      <c r="E23" s="40"/>
      <c r="F23" s="41">
        <v>43228</v>
      </c>
      <c r="G23" s="26">
        <v>43327</v>
      </c>
      <c r="H23" s="40"/>
      <c r="I23" s="166"/>
      <c r="J23" s="1" t="s">
        <v>652</v>
      </c>
    </row>
    <row r="24" spans="1:10" x14ac:dyDescent="0.3">
      <c r="A24" s="4" t="s">
        <v>573</v>
      </c>
      <c r="B24" s="21" t="s">
        <v>586</v>
      </c>
      <c r="C24" s="17" t="s">
        <v>596</v>
      </c>
      <c r="D24" s="40">
        <v>61</v>
      </c>
      <c r="E24" s="40"/>
      <c r="F24" s="41">
        <v>43228</v>
      </c>
      <c r="G24" s="26">
        <v>43327</v>
      </c>
      <c r="H24" s="40"/>
      <c r="I24" s="166"/>
      <c r="J24" s="1" t="s">
        <v>652</v>
      </c>
    </row>
    <row r="25" spans="1:10" x14ac:dyDescent="0.3">
      <c r="A25" s="4" t="s">
        <v>574</v>
      </c>
      <c r="B25" s="21" t="s">
        <v>587</v>
      </c>
      <c r="C25" s="17" t="s">
        <v>597</v>
      </c>
      <c r="D25" s="40">
        <v>61</v>
      </c>
      <c r="E25" s="40"/>
      <c r="F25" s="41">
        <v>43228</v>
      </c>
      <c r="G25" s="26">
        <v>43327</v>
      </c>
      <c r="H25" s="40"/>
      <c r="I25" s="166"/>
      <c r="J25" s="1" t="s">
        <v>652</v>
      </c>
    </row>
    <row r="26" spans="1:10" x14ac:dyDescent="0.3">
      <c r="A26" s="4" t="s">
        <v>575</v>
      </c>
      <c r="B26" s="21" t="s">
        <v>588</v>
      </c>
      <c r="C26" s="17" t="s">
        <v>598</v>
      </c>
      <c r="D26" s="40">
        <v>55</v>
      </c>
      <c r="E26" s="40"/>
      <c r="F26" s="41">
        <v>43228</v>
      </c>
      <c r="G26" s="26">
        <v>43358</v>
      </c>
      <c r="H26" s="40"/>
      <c r="I26" s="166"/>
      <c r="J26" s="1" t="s">
        <v>652</v>
      </c>
    </row>
    <row r="27" spans="1:10" x14ac:dyDescent="0.3">
      <c r="A27" s="4" t="s">
        <v>576</v>
      </c>
      <c r="B27" s="21" t="s">
        <v>589</v>
      </c>
      <c r="C27" s="17" t="s">
        <v>599</v>
      </c>
      <c r="D27" s="40">
        <v>80</v>
      </c>
      <c r="E27" s="40"/>
      <c r="F27" s="41">
        <v>43228</v>
      </c>
      <c r="G27" s="26">
        <v>43358</v>
      </c>
      <c r="H27" s="40"/>
      <c r="I27" s="166"/>
      <c r="J27" s="1" t="s">
        <v>652</v>
      </c>
    </row>
    <row r="28" spans="1:10" x14ac:dyDescent="0.3">
      <c r="A28" s="4" t="s">
        <v>577</v>
      </c>
      <c r="B28" s="21" t="s">
        <v>590</v>
      </c>
      <c r="C28" s="17" t="s">
        <v>600</v>
      </c>
      <c r="D28" s="40">
        <v>80</v>
      </c>
      <c r="E28" s="40"/>
      <c r="F28" s="41">
        <v>43228</v>
      </c>
      <c r="G28" s="26">
        <v>43358</v>
      </c>
      <c r="H28" s="40"/>
      <c r="I28" s="166"/>
      <c r="J28" s="1" t="s">
        <v>652</v>
      </c>
    </row>
    <row r="29" spans="1:10" x14ac:dyDescent="0.3">
      <c r="A29" s="4" t="s">
        <v>578</v>
      </c>
      <c r="B29" s="21" t="s">
        <v>591</v>
      </c>
      <c r="C29" s="17" t="s">
        <v>601</v>
      </c>
      <c r="D29" s="40">
        <v>61</v>
      </c>
      <c r="E29" s="40"/>
      <c r="F29" s="41">
        <v>43228</v>
      </c>
      <c r="G29" s="26">
        <v>43358</v>
      </c>
      <c r="H29" s="40"/>
      <c r="I29" s="166"/>
      <c r="J29" s="1" t="s">
        <v>652</v>
      </c>
    </row>
    <row r="30" spans="1:10" x14ac:dyDescent="0.3">
      <c r="A30" s="4" t="s">
        <v>548</v>
      </c>
      <c r="B30" s="21" t="s">
        <v>557</v>
      </c>
      <c r="C30" s="17" t="s">
        <v>602</v>
      </c>
      <c r="D30" s="40">
        <v>9</v>
      </c>
      <c r="E30" s="40"/>
      <c r="F30" s="41">
        <v>43234</v>
      </c>
      <c r="G30" s="26">
        <v>43296</v>
      </c>
      <c r="H30" s="40"/>
      <c r="I30" s="166"/>
      <c r="J30" s="1"/>
    </row>
    <row r="31" spans="1:10" x14ac:dyDescent="0.3">
      <c r="A31" s="4" t="s">
        <v>549</v>
      </c>
      <c r="B31" s="21" t="s">
        <v>558</v>
      </c>
      <c r="C31" s="17" t="s">
        <v>603</v>
      </c>
      <c r="D31" s="40">
        <v>8</v>
      </c>
      <c r="E31" s="40"/>
      <c r="F31" s="41">
        <v>43234</v>
      </c>
      <c r="G31" s="26">
        <v>43282</v>
      </c>
      <c r="H31" s="40"/>
      <c r="I31" s="166"/>
      <c r="J31" s="33"/>
    </row>
    <row r="32" spans="1:10" x14ac:dyDescent="0.3">
      <c r="A32" s="4" t="s">
        <v>550</v>
      </c>
      <c r="B32" s="21" t="s">
        <v>559</v>
      </c>
      <c r="C32" s="17" t="s">
        <v>604</v>
      </c>
      <c r="D32" s="40">
        <v>143</v>
      </c>
      <c r="E32" s="40"/>
      <c r="F32" s="25">
        <v>43243</v>
      </c>
      <c r="G32" s="26">
        <v>43311</v>
      </c>
      <c r="H32" s="40"/>
      <c r="I32" s="166"/>
      <c r="J32" s="1" t="s">
        <v>652</v>
      </c>
    </row>
    <row r="33" spans="1:10" x14ac:dyDescent="0.3">
      <c r="A33" s="4" t="s">
        <v>551</v>
      </c>
      <c r="B33" s="21" t="s">
        <v>560</v>
      </c>
      <c r="C33" s="17" t="s">
        <v>118</v>
      </c>
      <c r="D33" s="40">
        <v>84</v>
      </c>
      <c r="E33" s="40"/>
      <c r="F33" s="41">
        <v>43243</v>
      </c>
      <c r="G33" s="26">
        <v>43311</v>
      </c>
      <c r="H33" s="40"/>
      <c r="I33" s="166"/>
      <c r="J33" s="1" t="s">
        <v>652</v>
      </c>
    </row>
    <row r="34" spans="1:10" x14ac:dyDescent="0.3">
      <c r="A34" s="4" t="s">
        <v>552</v>
      </c>
      <c r="B34" s="21" t="s">
        <v>561</v>
      </c>
      <c r="C34" s="17" t="s">
        <v>389</v>
      </c>
      <c r="D34" s="40">
        <v>84</v>
      </c>
      <c r="E34" s="40"/>
      <c r="F34" s="41">
        <v>43243</v>
      </c>
      <c r="G34" s="26">
        <v>43311</v>
      </c>
      <c r="H34" s="40"/>
      <c r="I34" s="166"/>
      <c r="J34" s="1" t="s">
        <v>652</v>
      </c>
    </row>
    <row r="35" spans="1:10" x14ac:dyDescent="0.3">
      <c r="A35" s="4" t="s">
        <v>553</v>
      </c>
      <c r="B35" s="21" t="s">
        <v>562</v>
      </c>
      <c r="C35" s="17" t="s">
        <v>385</v>
      </c>
      <c r="D35" s="40">
        <v>52</v>
      </c>
      <c r="E35" s="40"/>
      <c r="F35" s="41">
        <v>43243</v>
      </c>
      <c r="G35" s="26">
        <v>43311</v>
      </c>
      <c r="H35" s="40"/>
      <c r="I35" s="166"/>
      <c r="J35" s="1" t="s">
        <v>652</v>
      </c>
    </row>
    <row r="36" spans="1:10" x14ac:dyDescent="0.3">
      <c r="A36" s="4" t="s">
        <v>554</v>
      </c>
      <c r="B36" s="21" t="s">
        <v>563</v>
      </c>
      <c r="C36" s="17" t="s">
        <v>104</v>
      </c>
      <c r="D36" s="40">
        <v>48</v>
      </c>
      <c r="E36" s="40"/>
      <c r="F36" s="41">
        <v>43249</v>
      </c>
      <c r="G36" s="26">
        <v>43296</v>
      </c>
      <c r="H36" s="40"/>
      <c r="I36" s="166"/>
      <c r="J36" s="33"/>
    </row>
    <row r="37" spans="1:10" x14ac:dyDescent="0.3">
      <c r="A37" s="4" t="s">
        <v>555</v>
      </c>
      <c r="B37" s="21" t="s">
        <v>564</v>
      </c>
      <c r="C37" s="17" t="s">
        <v>606</v>
      </c>
      <c r="D37" s="40">
        <v>60</v>
      </c>
      <c r="E37" s="40"/>
      <c r="F37" s="41">
        <v>43249</v>
      </c>
      <c r="G37" s="26">
        <v>43374</v>
      </c>
      <c r="H37" s="40"/>
      <c r="I37" s="166"/>
      <c r="J37" s="33"/>
    </row>
    <row r="38" spans="1:10" x14ac:dyDescent="0.3">
      <c r="A38" s="4" t="s">
        <v>556</v>
      </c>
      <c r="B38" s="21" t="s">
        <v>565</v>
      </c>
      <c r="C38" s="17" t="s">
        <v>607</v>
      </c>
      <c r="D38" s="40">
        <v>60</v>
      </c>
      <c r="E38" s="40"/>
      <c r="F38" s="41">
        <v>43249</v>
      </c>
      <c r="G38" s="26">
        <v>43374</v>
      </c>
      <c r="H38" s="40"/>
      <c r="I38" s="166"/>
      <c r="J38" s="33"/>
    </row>
    <row r="39" spans="1:10" x14ac:dyDescent="0.3">
      <c r="A39" s="4" t="s">
        <v>613</v>
      </c>
      <c r="B39" s="21" t="s">
        <v>617</v>
      </c>
      <c r="C39" s="17" t="s">
        <v>42</v>
      </c>
      <c r="D39" s="40">
        <v>100</v>
      </c>
      <c r="E39" s="40"/>
      <c r="F39" s="41">
        <v>43251</v>
      </c>
      <c r="G39" s="26">
        <v>43296</v>
      </c>
      <c r="H39" s="40"/>
      <c r="I39" s="166"/>
      <c r="J39" s="33"/>
    </row>
    <row r="40" spans="1:10" x14ac:dyDescent="0.3">
      <c r="A40" s="4" t="s">
        <v>618</v>
      </c>
      <c r="B40" s="21"/>
      <c r="C40" s="17" t="s">
        <v>634</v>
      </c>
      <c r="D40" s="40">
        <v>9</v>
      </c>
      <c r="E40" s="40"/>
      <c r="F40" s="41">
        <v>43221</v>
      </c>
      <c r="G40" s="26">
        <v>43327</v>
      </c>
      <c r="H40" s="40"/>
      <c r="I40" s="166"/>
      <c r="J40" s="33"/>
    </row>
    <row r="41" spans="1:10" x14ac:dyDescent="0.3">
      <c r="A41" s="4" t="s">
        <v>619</v>
      </c>
      <c r="B41" s="21"/>
      <c r="C41" s="17" t="s">
        <v>635</v>
      </c>
      <c r="D41" s="40">
        <v>9</v>
      </c>
      <c r="E41" s="40"/>
      <c r="F41" s="41"/>
      <c r="G41" s="26"/>
      <c r="H41" s="40"/>
      <c r="I41" s="166"/>
      <c r="J41" s="33"/>
    </row>
    <row r="42" spans="1:10" x14ac:dyDescent="0.3">
      <c r="A42" s="4" t="s">
        <v>620</v>
      </c>
      <c r="B42" s="21"/>
      <c r="C42" s="17" t="s">
        <v>636</v>
      </c>
      <c r="D42" s="40">
        <v>27</v>
      </c>
      <c r="E42" s="40"/>
      <c r="F42" s="41"/>
      <c r="G42" s="26"/>
      <c r="H42" s="40"/>
      <c r="I42" s="166"/>
      <c r="J42" s="33"/>
    </row>
    <row r="43" spans="1:10" x14ac:dyDescent="0.3">
      <c r="A43" s="4" t="s">
        <v>621</v>
      </c>
      <c r="B43" s="21"/>
      <c r="C43" s="17" t="s">
        <v>637</v>
      </c>
      <c r="D43" s="40">
        <v>18</v>
      </c>
      <c r="E43" s="40"/>
      <c r="F43" s="41"/>
      <c r="G43" s="26"/>
      <c r="H43" s="40"/>
      <c r="I43" s="166"/>
      <c r="J43" s="33"/>
    </row>
    <row r="44" spans="1:10" x14ac:dyDescent="0.3">
      <c r="A44" s="4" t="s">
        <v>622</v>
      </c>
      <c r="B44" s="21"/>
      <c r="C44" s="17" t="s">
        <v>638</v>
      </c>
      <c r="D44" s="40">
        <v>18</v>
      </c>
      <c r="E44" s="40"/>
      <c r="F44" s="41"/>
      <c r="G44" s="26"/>
      <c r="H44" s="40"/>
      <c r="I44" s="166"/>
      <c r="J44" s="33"/>
    </row>
    <row r="45" spans="1:10" x14ac:dyDescent="0.3">
      <c r="A45" s="4" t="s">
        <v>623</v>
      </c>
      <c r="B45" s="21"/>
      <c r="C45" s="17" t="s">
        <v>639</v>
      </c>
      <c r="D45" s="40">
        <v>18</v>
      </c>
      <c r="E45" s="40"/>
      <c r="F45" s="41"/>
      <c r="G45" s="26"/>
      <c r="H45" s="40"/>
      <c r="I45" s="166"/>
      <c r="J45" s="33"/>
    </row>
    <row r="46" spans="1:10" x14ac:dyDescent="0.3">
      <c r="A46" s="4" t="s">
        <v>624</v>
      </c>
      <c r="B46" s="21"/>
      <c r="C46" s="17" t="s">
        <v>640</v>
      </c>
      <c r="D46" s="40">
        <v>18</v>
      </c>
      <c r="E46" s="40"/>
      <c r="F46" s="41"/>
      <c r="G46" s="26"/>
      <c r="H46" s="40"/>
      <c r="I46" s="166"/>
      <c r="J46" s="33"/>
    </row>
    <row r="47" spans="1:10" x14ac:dyDescent="0.3">
      <c r="A47" s="4" t="s">
        <v>625</v>
      </c>
      <c r="B47" s="21"/>
      <c r="C47" s="17" t="s">
        <v>641</v>
      </c>
      <c r="D47" s="40">
        <v>18</v>
      </c>
      <c r="E47" s="40"/>
      <c r="F47" s="41"/>
      <c r="G47" s="26"/>
      <c r="H47" s="40"/>
      <c r="I47" s="166"/>
      <c r="J47" s="33"/>
    </row>
    <row r="48" spans="1:10" x14ac:dyDescent="0.3">
      <c r="A48" s="4" t="s">
        <v>626</v>
      </c>
      <c r="B48" s="21"/>
      <c r="C48" s="17" t="s">
        <v>642</v>
      </c>
      <c r="D48" s="40">
        <v>18</v>
      </c>
      <c r="E48" s="40"/>
      <c r="F48" s="41"/>
      <c r="G48" s="26"/>
      <c r="H48" s="40"/>
      <c r="I48" s="166"/>
      <c r="J48" s="33"/>
    </row>
    <row r="49" spans="1:10" x14ac:dyDescent="0.3">
      <c r="A49" s="4" t="s">
        <v>627</v>
      </c>
      <c r="B49" s="21"/>
      <c r="C49" s="17" t="s">
        <v>643</v>
      </c>
      <c r="D49" s="40">
        <v>66</v>
      </c>
      <c r="E49" s="40"/>
      <c r="F49" s="41"/>
      <c r="G49" s="26"/>
      <c r="H49" s="40"/>
      <c r="I49" s="166"/>
      <c r="J49" s="33"/>
    </row>
    <row r="50" spans="1:10" x14ac:dyDescent="0.3">
      <c r="A50" s="4" t="s">
        <v>628</v>
      </c>
      <c r="B50" s="21"/>
      <c r="C50" s="17" t="s">
        <v>644</v>
      </c>
      <c r="D50" s="40">
        <v>48</v>
      </c>
      <c r="E50" s="40"/>
      <c r="F50" s="41"/>
      <c r="G50" s="26"/>
      <c r="H50" s="40"/>
      <c r="I50" s="166"/>
      <c r="J50" s="33"/>
    </row>
    <row r="51" spans="1:10" x14ac:dyDescent="0.3">
      <c r="A51" s="4" t="s">
        <v>629</v>
      </c>
      <c r="B51" s="21"/>
      <c r="C51" s="17" t="s">
        <v>645</v>
      </c>
      <c r="D51" s="40">
        <v>18</v>
      </c>
      <c r="E51" s="40"/>
      <c r="F51" s="41"/>
      <c r="G51" s="26"/>
      <c r="H51" s="40"/>
      <c r="I51" s="166"/>
      <c r="J51" s="33"/>
    </row>
    <row r="52" spans="1:10" x14ac:dyDescent="0.3">
      <c r="A52" s="4" t="s">
        <v>630</v>
      </c>
      <c r="B52" s="21"/>
      <c r="C52" s="17" t="s">
        <v>646</v>
      </c>
      <c r="D52" s="40">
        <v>36</v>
      </c>
      <c r="E52" s="40"/>
      <c r="F52" s="41"/>
      <c r="G52" s="26"/>
      <c r="H52" s="40"/>
      <c r="I52" s="166"/>
      <c r="J52" s="33"/>
    </row>
    <row r="53" spans="1:10" x14ac:dyDescent="0.3">
      <c r="A53" s="4" t="s">
        <v>631</v>
      </c>
      <c r="B53" s="21" t="s">
        <v>647</v>
      </c>
      <c r="C53" s="17" t="s">
        <v>648</v>
      </c>
      <c r="D53" s="40">
        <v>153</v>
      </c>
      <c r="E53" s="40"/>
      <c r="F53" s="41">
        <v>43263</v>
      </c>
      <c r="G53" s="26">
        <v>43313</v>
      </c>
      <c r="H53" s="40"/>
      <c r="I53" s="166"/>
      <c r="J53" s="33"/>
    </row>
    <row r="54" spans="1:10" x14ac:dyDescent="0.3">
      <c r="A54" s="4" t="s">
        <v>632</v>
      </c>
      <c r="B54" s="21" t="s">
        <v>92</v>
      </c>
      <c r="C54" s="17" t="s">
        <v>649</v>
      </c>
      <c r="D54" s="40">
        <v>143</v>
      </c>
      <c r="E54" s="40"/>
      <c r="F54" s="41"/>
      <c r="G54" s="26"/>
      <c r="H54" s="40"/>
      <c r="I54" s="166"/>
      <c r="J54" s="33"/>
    </row>
    <row r="55" spans="1:10" x14ac:dyDescent="0.3">
      <c r="A55" s="4" t="s">
        <v>633</v>
      </c>
      <c r="B55" s="21" t="s">
        <v>93</v>
      </c>
      <c r="C55" s="17" t="s">
        <v>650</v>
      </c>
      <c r="D55" s="40">
        <v>155</v>
      </c>
      <c r="E55" s="40"/>
      <c r="F55" s="41"/>
      <c r="G55" s="26"/>
      <c r="H55" s="40"/>
      <c r="I55" s="166"/>
      <c r="J55" s="33"/>
    </row>
    <row r="56" spans="1:10" x14ac:dyDescent="0.3">
      <c r="A56" s="4"/>
      <c r="B56" s="21"/>
      <c r="C56" s="17"/>
      <c r="D56" s="40"/>
      <c r="E56" s="40"/>
      <c r="F56" s="41"/>
      <c r="G56" s="26"/>
      <c r="H56" s="40"/>
      <c r="I56" s="166"/>
      <c r="J56" s="33"/>
    </row>
    <row r="57" spans="1:10" x14ac:dyDescent="0.3">
      <c r="A57" s="4"/>
      <c r="B57" s="40"/>
      <c r="C57" s="39"/>
      <c r="D57" s="40"/>
      <c r="E57" s="40"/>
      <c r="F57" s="33"/>
      <c r="G57" s="26"/>
      <c r="H57" s="40"/>
      <c r="I57" s="166"/>
      <c r="J57" s="33"/>
    </row>
    <row r="58" spans="1:10" x14ac:dyDescent="0.3">
      <c r="A58" s="4"/>
      <c r="B58" s="40"/>
      <c r="C58" s="39"/>
      <c r="D58" s="40"/>
      <c r="E58" s="40"/>
      <c r="F58" s="33"/>
      <c r="G58" s="5"/>
      <c r="H58" s="40"/>
      <c r="I58" s="166"/>
      <c r="J58" s="33"/>
    </row>
    <row r="59" spans="1:10" x14ac:dyDescent="0.3">
      <c r="A59" s="4"/>
      <c r="B59" s="40"/>
      <c r="C59" s="39"/>
      <c r="D59" s="40"/>
      <c r="E59" s="40"/>
      <c r="F59" s="33"/>
      <c r="G59" s="5"/>
      <c r="H59" s="40"/>
      <c r="I59" s="166"/>
      <c r="J59" s="33"/>
    </row>
  </sheetData>
  <autoFilter ref="A2:J10" xr:uid="{00000000-0009-0000-0000-000007000000}"/>
  <pageMargins left="0.70866141732283472" right="0.70866141732283472" top="0.74803149606299213" bottom="0.74803149606299213" header="0.31496062992125984" footer="0.31496062992125984"/>
  <pageSetup paperSize="9" scale="53" orientation="landscape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>
    <pageSetUpPr fitToPage="1"/>
  </sheetPr>
  <dimension ref="A2:J82"/>
  <sheetViews>
    <sheetView zoomScale="80" zoomScaleNormal="80" workbookViewId="0">
      <pane xSplit="9" ySplit="2" topLeftCell="J3" activePane="bottomRight" state="frozen"/>
      <selection pane="topRight" activeCell="H1" sqref="H1"/>
      <selection pane="bottomLeft" activeCell="A3" sqref="A3"/>
      <selection pane="bottomRight" activeCell="H39" sqref="H39"/>
    </sheetView>
  </sheetViews>
  <sheetFormatPr baseColWidth="10" defaultColWidth="11.44140625" defaultRowHeight="14.4" x14ac:dyDescent="0.3"/>
  <cols>
    <col min="1" max="1" width="17.5546875" style="62" bestFit="1" customWidth="1"/>
    <col min="2" max="2" width="15.6640625" style="63" bestFit="1" customWidth="1"/>
    <col min="3" max="3" width="55.5546875" style="64" bestFit="1" customWidth="1"/>
    <col min="4" max="4" width="17.109375" style="132" customWidth="1"/>
    <col min="5" max="5" width="19" style="64" customWidth="1"/>
    <col min="6" max="6" width="13" style="65" bestFit="1" customWidth="1"/>
    <col min="7" max="7" width="14.109375" style="65" customWidth="1"/>
    <col min="8" max="8" width="15" style="65" customWidth="1"/>
    <col min="9" max="9" width="24.44140625" style="66" bestFit="1" customWidth="1"/>
    <col min="10" max="10" width="27.88671875" style="62" bestFit="1" customWidth="1"/>
    <col min="11" max="16384" width="11.44140625" style="62"/>
  </cols>
  <sheetData>
    <row r="2" spans="1:10" ht="65.25" customHeight="1" x14ac:dyDescent="0.3">
      <c r="A2" s="9" t="s">
        <v>353</v>
      </c>
      <c r="B2" s="48" t="s">
        <v>232</v>
      </c>
      <c r="C2" s="72" t="s">
        <v>27</v>
      </c>
      <c r="D2" s="78" t="s">
        <v>29</v>
      </c>
      <c r="E2" s="79" t="s">
        <v>70</v>
      </c>
      <c r="F2" s="7" t="s">
        <v>28</v>
      </c>
      <c r="G2" s="7" t="s">
        <v>276</v>
      </c>
      <c r="H2" s="7" t="s">
        <v>277</v>
      </c>
      <c r="I2" s="19" t="s">
        <v>250</v>
      </c>
      <c r="J2" s="61" t="s">
        <v>69</v>
      </c>
    </row>
    <row r="3" spans="1:10" s="30" customFormat="1" hidden="1" x14ac:dyDescent="0.3">
      <c r="A3" s="107" t="s">
        <v>146</v>
      </c>
      <c r="B3" s="108" t="s">
        <v>5</v>
      </c>
      <c r="C3" s="109" t="s">
        <v>147</v>
      </c>
      <c r="D3" s="131"/>
      <c r="E3" s="109"/>
      <c r="F3" s="110">
        <v>48</v>
      </c>
      <c r="G3" s="108"/>
      <c r="H3" s="130"/>
      <c r="I3" s="111" t="s">
        <v>354</v>
      </c>
      <c r="J3" s="108"/>
    </row>
    <row r="4" spans="1:10" s="30" customFormat="1" hidden="1" x14ac:dyDescent="0.3">
      <c r="A4" s="107" t="s">
        <v>148</v>
      </c>
      <c r="B4" s="108" t="s">
        <v>6</v>
      </c>
      <c r="C4" s="109" t="s">
        <v>149</v>
      </c>
      <c r="D4" s="131"/>
      <c r="E4" s="109"/>
      <c r="F4" s="110">
        <v>48</v>
      </c>
      <c r="G4" s="110"/>
      <c r="H4" s="130"/>
      <c r="I4" s="111" t="s">
        <v>354</v>
      </c>
      <c r="J4" s="108"/>
    </row>
    <row r="5" spans="1:10" s="30" customFormat="1" hidden="1" x14ac:dyDescent="0.3">
      <c r="A5" s="107" t="s">
        <v>150</v>
      </c>
      <c r="B5" s="108" t="s">
        <v>7</v>
      </c>
      <c r="C5" s="109" t="s">
        <v>151</v>
      </c>
      <c r="D5" s="131"/>
      <c r="E5" s="109"/>
      <c r="F5" s="110">
        <v>60</v>
      </c>
      <c r="G5" s="110"/>
      <c r="H5" s="130"/>
      <c r="I5" s="111" t="s">
        <v>354</v>
      </c>
      <c r="J5" s="108"/>
    </row>
    <row r="6" spans="1:10" s="30" customFormat="1" x14ac:dyDescent="0.3">
      <c r="A6" s="107" t="s">
        <v>152</v>
      </c>
      <c r="B6" s="108" t="s">
        <v>8</v>
      </c>
      <c r="C6" s="109" t="s">
        <v>153</v>
      </c>
      <c r="D6" s="131"/>
      <c r="E6" s="109"/>
      <c r="F6" s="110">
        <v>60</v>
      </c>
      <c r="G6" s="110"/>
      <c r="H6" s="130"/>
      <c r="I6" s="111" t="s">
        <v>354</v>
      </c>
      <c r="J6" s="108" t="s">
        <v>310</v>
      </c>
    </row>
    <row r="7" spans="1:10" s="30" customFormat="1" hidden="1" x14ac:dyDescent="0.3">
      <c r="A7" s="107" t="s">
        <v>154</v>
      </c>
      <c r="B7" s="108" t="s">
        <v>9</v>
      </c>
      <c r="C7" s="109" t="s">
        <v>155</v>
      </c>
      <c r="D7" s="131"/>
      <c r="E7" s="109"/>
      <c r="F7" s="110">
        <v>60</v>
      </c>
      <c r="G7" s="110"/>
      <c r="H7" s="130"/>
      <c r="I7" s="111" t="s">
        <v>354</v>
      </c>
      <c r="J7" s="108"/>
    </row>
    <row r="8" spans="1:10" s="30" customFormat="1" x14ac:dyDescent="0.3">
      <c r="A8" s="107" t="s">
        <v>156</v>
      </c>
      <c r="B8" s="108" t="s">
        <v>10</v>
      </c>
      <c r="C8" s="109" t="s">
        <v>157</v>
      </c>
      <c r="D8" s="131"/>
      <c r="E8" s="109"/>
      <c r="F8" s="110">
        <v>42</v>
      </c>
      <c r="G8" s="110"/>
      <c r="H8" s="130"/>
      <c r="I8" s="111" t="s">
        <v>354</v>
      </c>
      <c r="J8" s="108" t="s">
        <v>310</v>
      </c>
    </row>
    <row r="9" spans="1:10" s="30" customFormat="1" x14ac:dyDescent="0.3">
      <c r="A9" s="107" t="s">
        <v>178</v>
      </c>
      <c r="B9" s="108" t="s">
        <v>19</v>
      </c>
      <c r="C9" s="109" t="s">
        <v>179</v>
      </c>
      <c r="D9" s="110"/>
      <c r="E9" s="109"/>
      <c r="F9" s="110">
        <v>61</v>
      </c>
      <c r="G9" s="130">
        <v>43174</v>
      </c>
      <c r="H9" s="130">
        <v>43174</v>
      </c>
      <c r="I9" s="111" t="s">
        <v>108</v>
      </c>
      <c r="J9" s="108" t="s">
        <v>310</v>
      </c>
    </row>
    <row r="10" spans="1:10" s="30" customFormat="1" x14ac:dyDescent="0.3">
      <c r="A10" s="107" t="s">
        <v>180</v>
      </c>
      <c r="B10" s="108" t="s">
        <v>20</v>
      </c>
      <c r="C10" s="109" t="s">
        <v>181</v>
      </c>
      <c r="D10" s="110"/>
      <c r="E10" s="109"/>
      <c r="F10" s="110">
        <v>61</v>
      </c>
      <c r="G10" s="116">
        <v>43174</v>
      </c>
      <c r="H10" s="130">
        <v>43174</v>
      </c>
      <c r="I10" s="111" t="s">
        <v>108</v>
      </c>
      <c r="J10" s="108" t="s">
        <v>310</v>
      </c>
    </row>
    <row r="11" spans="1:10" s="30" customFormat="1" x14ac:dyDescent="0.3">
      <c r="A11" s="107" t="s">
        <v>184</v>
      </c>
      <c r="B11" s="108" t="s">
        <v>23</v>
      </c>
      <c r="C11" s="109" t="s">
        <v>185</v>
      </c>
      <c r="D11" s="130">
        <v>43018</v>
      </c>
      <c r="E11" s="111">
        <v>43132</v>
      </c>
      <c r="F11" s="110">
        <v>162</v>
      </c>
      <c r="G11" s="130">
        <v>43152</v>
      </c>
      <c r="H11" s="130">
        <v>43158</v>
      </c>
      <c r="I11" s="111" t="s">
        <v>108</v>
      </c>
      <c r="J11" s="108" t="s">
        <v>310</v>
      </c>
    </row>
    <row r="12" spans="1:10" s="30" customFormat="1" x14ac:dyDescent="0.3">
      <c r="A12" s="4" t="s">
        <v>212</v>
      </c>
      <c r="B12" s="21" t="s">
        <v>48</v>
      </c>
      <c r="C12" s="17" t="s">
        <v>213</v>
      </c>
      <c r="D12" s="113">
        <v>43018</v>
      </c>
      <c r="E12" s="26">
        <v>43132</v>
      </c>
      <c r="F12" s="40">
        <v>104</v>
      </c>
      <c r="G12" s="113">
        <v>43178</v>
      </c>
      <c r="H12" s="3" t="s">
        <v>434</v>
      </c>
      <c r="I12" s="26" t="s">
        <v>108</v>
      </c>
      <c r="J12" s="40"/>
    </row>
    <row r="13" spans="1:10" s="30" customFormat="1" x14ac:dyDescent="0.3">
      <c r="A13" s="107" t="s">
        <v>214</v>
      </c>
      <c r="B13" s="108" t="s">
        <v>49</v>
      </c>
      <c r="C13" s="109" t="s">
        <v>215</v>
      </c>
      <c r="D13" s="130">
        <v>43018</v>
      </c>
      <c r="E13" s="111">
        <v>43160</v>
      </c>
      <c r="F13" s="110">
        <v>104</v>
      </c>
      <c r="G13" s="130">
        <v>43179</v>
      </c>
      <c r="H13" s="130">
        <v>43179</v>
      </c>
      <c r="I13" s="111" t="s">
        <v>108</v>
      </c>
      <c r="J13" s="108" t="s">
        <v>436</v>
      </c>
    </row>
    <row r="14" spans="1:10" s="30" customFormat="1" x14ac:dyDescent="0.3">
      <c r="A14" s="107" t="s">
        <v>216</v>
      </c>
      <c r="B14" s="108" t="s">
        <v>50</v>
      </c>
      <c r="C14" s="109" t="s">
        <v>217</v>
      </c>
      <c r="D14" s="130">
        <v>43018</v>
      </c>
      <c r="E14" s="111">
        <v>43160</v>
      </c>
      <c r="F14" s="110">
        <v>104</v>
      </c>
      <c r="G14" s="130">
        <v>43179</v>
      </c>
      <c r="H14" s="130">
        <v>43179</v>
      </c>
      <c r="I14" s="111" t="s">
        <v>108</v>
      </c>
      <c r="J14" s="108" t="s">
        <v>436</v>
      </c>
    </row>
    <row r="15" spans="1:10" s="30" customFormat="1" x14ac:dyDescent="0.3">
      <c r="A15" s="4" t="s">
        <v>218</v>
      </c>
      <c r="B15" s="21" t="s">
        <v>51</v>
      </c>
      <c r="C15" s="17" t="s">
        <v>219</v>
      </c>
      <c r="D15" s="113">
        <v>43018</v>
      </c>
      <c r="E15" s="26">
        <v>43160</v>
      </c>
      <c r="F15" s="40">
        <v>72</v>
      </c>
      <c r="G15" s="113"/>
      <c r="H15" s="113"/>
      <c r="I15" s="26"/>
      <c r="J15" s="40"/>
    </row>
    <row r="16" spans="1:10" s="30" customFormat="1" x14ac:dyDescent="0.3">
      <c r="A16" s="107" t="s">
        <v>186</v>
      </c>
      <c r="B16" s="108" t="s">
        <v>25</v>
      </c>
      <c r="C16" s="109" t="s">
        <v>187</v>
      </c>
      <c r="D16" s="130">
        <v>43018</v>
      </c>
      <c r="E16" s="111">
        <v>43132</v>
      </c>
      <c r="F16" s="110">
        <v>40</v>
      </c>
      <c r="G16" s="130">
        <v>43180</v>
      </c>
      <c r="H16" s="130">
        <v>43180</v>
      </c>
      <c r="I16" s="111" t="s">
        <v>108</v>
      </c>
      <c r="J16" s="108" t="s">
        <v>310</v>
      </c>
    </row>
    <row r="17" spans="1:10" s="30" customFormat="1" x14ac:dyDescent="0.3">
      <c r="A17" s="107" t="s">
        <v>188</v>
      </c>
      <c r="B17" s="108" t="s">
        <v>32</v>
      </c>
      <c r="C17" s="109" t="s">
        <v>189</v>
      </c>
      <c r="D17" s="130">
        <v>43018</v>
      </c>
      <c r="E17" s="111">
        <v>43132</v>
      </c>
      <c r="F17" s="110">
        <v>60</v>
      </c>
      <c r="G17" s="130">
        <v>43140</v>
      </c>
      <c r="H17" s="130">
        <v>43142</v>
      </c>
      <c r="I17" s="111" t="s">
        <v>108</v>
      </c>
      <c r="J17" s="108" t="s">
        <v>310</v>
      </c>
    </row>
    <row r="18" spans="1:10" s="30" customFormat="1" x14ac:dyDescent="0.3">
      <c r="A18" s="107" t="s">
        <v>190</v>
      </c>
      <c r="B18" s="108" t="s">
        <v>33</v>
      </c>
      <c r="C18" s="109" t="s">
        <v>191</v>
      </c>
      <c r="D18" s="130">
        <v>43018</v>
      </c>
      <c r="E18" s="111">
        <v>43132</v>
      </c>
      <c r="F18" s="110">
        <v>60</v>
      </c>
      <c r="G18" s="110"/>
      <c r="H18" s="130"/>
      <c r="I18" s="111" t="s">
        <v>108</v>
      </c>
      <c r="J18" s="108" t="s">
        <v>310</v>
      </c>
    </row>
    <row r="19" spans="1:10" s="30" customFormat="1" x14ac:dyDescent="0.3">
      <c r="A19" s="107" t="s">
        <v>192</v>
      </c>
      <c r="B19" s="108" t="s">
        <v>30</v>
      </c>
      <c r="C19" s="109" t="s">
        <v>193</v>
      </c>
      <c r="D19" s="130">
        <v>43018</v>
      </c>
      <c r="E19" s="111">
        <v>43132</v>
      </c>
      <c r="F19" s="110">
        <v>60</v>
      </c>
      <c r="G19" s="130">
        <v>43157</v>
      </c>
      <c r="H19" s="130">
        <v>43132</v>
      </c>
      <c r="I19" s="111" t="s">
        <v>108</v>
      </c>
      <c r="J19" s="108" t="s">
        <v>310</v>
      </c>
    </row>
    <row r="20" spans="1:10" s="30" customFormat="1" x14ac:dyDescent="0.3">
      <c r="A20" s="107" t="s">
        <v>194</v>
      </c>
      <c r="B20" s="108" t="s">
        <v>36</v>
      </c>
      <c r="C20" s="109" t="s">
        <v>195</v>
      </c>
      <c r="D20" s="130">
        <v>43018</v>
      </c>
      <c r="E20" s="111">
        <v>43132</v>
      </c>
      <c r="F20" s="110">
        <v>40</v>
      </c>
      <c r="G20" s="130"/>
      <c r="H20" s="130"/>
      <c r="I20" s="111" t="s">
        <v>108</v>
      </c>
      <c r="J20" s="108" t="s">
        <v>310</v>
      </c>
    </row>
    <row r="21" spans="1:10" hidden="1" x14ac:dyDescent="0.3">
      <c r="A21" s="107" t="s">
        <v>220</v>
      </c>
      <c r="B21" s="108" t="s">
        <v>67</v>
      </c>
      <c r="C21" s="109" t="s">
        <v>221</v>
      </c>
      <c r="D21" s="131"/>
      <c r="E21" s="109"/>
      <c r="F21" s="110">
        <v>142</v>
      </c>
      <c r="G21" s="130">
        <v>43132</v>
      </c>
      <c r="H21" s="116">
        <v>43133</v>
      </c>
      <c r="I21" s="111"/>
      <c r="J21" s="110"/>
    </row>
    <row r="22" spans="1:10" hidden="1" x14ac:dyDescent="0.3">
      <c r="A22" s="107" t="s">
        <v>222</v>
      </c>
      <c r="B22" s="108" t="s">
        <v>68</v>
      </c>
      <c r="C22" s="109" t="s">
        <v>223</v>
      </c>
      <c r="D22" s="131"/>
      <c r="E22" s="109"/>
      <c r="F22" s="110">
        <v>118</v>
      </c>
      <c r="G22" s="130">
        <v>43133</v>
      </c>
      <c r="H22" s="116">
        <v>43134</v>
      </c>
      <c r="I22" s="111"/>
      <c r="J22" s="110"/>
    </row>
    <row r="23" spans="1:10" hidden="1" x14ac:dyDescent="0.3">
      <c r="A23" s="107" t="s">
        <v>264</v>
      </c>
      <c r="B23" s="108" t="s">
        <v>62</v>
      </c>
      <c r="C23" s="109" t="s">
        <v>270</v>
      </c>
      <c r="D23" s="131"/>
      <c r="E23" s="109"/>
      <c r="F23" s="110">
        <v>44</v>
      </c>
      <c r="G23" s="130">
        <v>43129</v>
      </c>
      <c r="H23" s="116">
        <v>43131</v>
      </c>
      <c r="I23" s="111"/>
      <c r="J23" s="108"/>
    </row>
    <row r="24" spans="1:10" hidden="1" x14ac:dyDescent="0.3">
      <c r="A24" s="107" t="s">
        <v>265</v>
      </c>
      <c r="B24" s="108" t="s">
        <v>64</v>
      </c>
      <c r="C24" s="109" t="s">
        <v>271</v>
      </c>
      <c r="D24" s="131"/>
      <c r="E24" s="109"/>
      <c r="F24" s="110">
        <v>30</v>
      </c>
      <c r="G24" s="130">
        <v>43129</v>
      </c>
      <c r="H24" s="116">
        <v>43131</v>
      </c>
      <c r="I24" s="111"/>
      <c r="J24" s="108"/>
    </row>
    <row r="25" spans="1:10" hidden="1" x14ac:dyDescent="0.3">
      <c r="A25" s="107" t="s">
        <v>266</v>
      </c>
      <c r="B25" s="108" t="s">
        <v>65</v>
      </c>
      <c r="C25" s="109" t="s">
        <v>272</v>
      </c>
      <c r="D25" s="131"/>
      <c r="E25" s="109"/>
      <c r="F25" s="110">
        <v>69</v>
      </c>
      <c r="G25" s="130">
        <v>43131</v>
      </c>
      <c r="H25" s="116"/>
      <c r="I25" s="111"/>
      <c r="J25" s="108" t="s">
        <v>353</v>
      </c>
    </row>
    <row r="26" spans="1:10" hidden="1" x14ac:dyDescent="0.3">
      <c r="A26" s="107" t="s">
        <v>267</v>
      </c>
      <c r="B26" s="108" t="s">
        <v>55</v>
      </c>
      <c r="C26" s="109" t="s">
        <v>273</v>
      </c>
      <c r="D26" s="131"/>
      <c r="E26" s="109"/>
      <c r="F26" s="110">
        <v>34</v>
      </c>
      <c r="G26" s="130">
        <v>43131</v>
      </c>
      <c r="H26" s="116"/>
      <c r="I26" s="111"/>
      <c r="J26" s="108"/>
    </row>
    <row r="27" spans="1:10" s="30" customFormat="1" hidden="1" x14ac:dyDescent="0.3">
      <c r="A27" s="107" t="s">
        <v>280</v>
      </c>
      <c r="B27" s="108" t="s">
        <v>281</v>
      </c>
      <c r="C27" s="109" t="s">
        <v>282</v>
      </c>
      <c r="D27" s="131"/>
      <c r="E27" s="109"/>
      <c r="F27" s="110">
        <v>96</v>
      </c>
      <c r="G27" s="130">
        <v>43129</v>
      </c>
      <c r="H27" s="116"/>
      <c r="I27" s="111"/>
      <c r="J27" s="108"/>
    </row>
    <row r="28" spans="1:10" s="30" customFormat="1" hidden="1" x14ac:dyDescent="0.3">
      <c r="A28" s="107" t="s">
        <v>283</v>
      </c>
      <c r="B28" s="108" t="s">
        <v>284</v>
      </c>
      <c r="C28" s="109" t="s">
        <v>81</v>
      </c>
      <c r="D28" s="131"/>
      <c r="E28" s="109"/>
      <c r="F28" s="110">
        <v>52</v>
      </c>
      <c r="G28" s="130">
        <v>43130</v>
      </c>
      <c r="H28" s="116"/>
      <c r="I28" s="111"/>
      <c r="J28" s="108"/>
    </row>
    <row r="29" spans="1:10" x14ac:dyDescent="0.3">
      <c r="A29" s="107" t="s">
        <v>292</v>
      </c>
      <c r="B29" s="110"/>
      <c r="C29" s="109" t="s">
        <v>291</v>
      </c>
      <c r="D29" s="108" t="s">
        <v>294</v>
      </c>
      <c r="E29" s="117" t="s">
        <v>295</v>
      </c>
      <c r="F29" s="110">
        <v>250</v>
      </c>
      <c r="G29" s="130">
        <v>43155</v>
      </c>
      <c r="H29" s="116">
        <v>43157</v>
      </c>
      <c r="I29" s="117" t="s">
        <v>354</v>
      </c>
      <c r="J29" s="108" t="s">
        <v>310</v>
      </c>
    </row>
    <row r="30" spans="1:10" x14ac:dyDescent="0.3">
      <c r="A30" s="107" t="s">
        <v>293</v>
      </c>
      <c r="B30" s="110"/>
      <c r="C30" s="109" t="s">
        <v>107</v>
      </c>
      <c r="D30" s="108" t="s">
        <v>294</v>
      </c>
      <c r="E30" s="117" t="s">
        <v>295</v>
      </c>
      <c r="F30" s="110">
        <v>160</v>
      </c>
      <c r="G30" s="130">
        <v>43155</v>
      </c>
      <c r="H30" s="116">
        <v>43157</v>
      </c>
      <c r="I30" s="117" t="s">
        <v>354</v>
      </c>
      <c r="J30" s="108" t="s">
        <v>310</v>
      </c>
    </row>
    <row r="31" spans="1:10" x14ac:dyDescent="0.3">
      <c r="A31" s="107" t="s">
        <v>311</v>
      </c>
      <c r="B31" s="108" t="s">
        <v>314</v>
      </c>
      <c r="C31" s="109" t="s">
        <v>312</v>
      </c>
      <c r="D31" s="130">
        <v>43090</v>
      </c>
      <c r="E31" s="111">
        <v>42755</v>
      </c>
      <c r="F31" s="110">
        <v>37</v>
      </c>
      <c r="G31" s="110"/>
      <c r="H31" s="130"/>
      <c r="I31" s="111" t="s">
        <v>108</v>
      </c>
      <c r="J31" s="108" t="s">
        <v>310</v>
      </c>
    </row>
    <row r="32" spans="1:10" x14ac:dyDescent="0.3">
      <c r="A32" s="107" t="s">
        <v>313</v>
      </c>
      <c r="B32" s="108" t="s">
        <v>317</v>
      </c>
      <c r="C32" s="109" t="s">
        <v>315</v>
      </c>
      <c r="D32" s="130">
        <v>43090</v>
      </c>
      <c r="E32" s="111">
        <v>43132</v>
      </c>
      <c r="F32" s="110">
        <v>22</v>
      </c>
      <c r="G32" s="130">
        <v>43178</v>
      </c>
      <c r="H32" s="130">
        <v>43178</v>
      </c>
      <c r="I32" s="111" t="s">
        <v>108</v>
      </c>
      <c r="J32" s="108" t="s">
        <v>310</v>
      </c>
    </row>
    <row r="33" spans="1:10" x14ac:dyDescent="0.3">
      <c r="A33" s="4" t="s">
        <v>316</v>
      </c>
      <c r="B33" s="21" t="s">
        <v>320</v>
      </c>
      <c r="C33" s="17" t="s">
        <v>318</v>
      </c>
      <c r="D33" s="113">
        <v>43095</v>
      </c>
      <c r="E33" s="26">
        <v>43151</v>
      </c>
      <c r="F33" s="40">
        <v>40</v>
      </c>
      <c r="G33" s="113">
        <v>43207</v>
      </c>
      <c r="H33" s="113">
        <v>43207</v>
      </c>
      <c r="I33" s="26" t="s">
        <v>108</v>
      </c>
      <c r="J33" s="21" t="s">
        <v>289</v>
      </c>
    </row>
    <row r="34" spans="1:10" x14ac:dyDescent="0.3">
      <c r="A34" s="4" t="s">
        <v>319</v>
      </c>
      <c r="B34" s="21" t="s">
        <v>321</v>
      </c>
      <c r="C34" s="17" t="s">
        <v>322</v>
      </c>
      <c r="D34" s="113">
        <v>43095</v>
      </c>
      <c r="E34" s="26">
        <v>43151</v>
      </c>
      <c r="F34" s="40">
        <v>40</v>
      </c>
      <c r="G34" s="113">
        <v>43207</v>
      </c>
      <c r="H34" s="113">
        <v>43207</v>
      </c>
      <c r="I34" s="26" t="s">
        <v>108</v>
      </c>
      <c r="J34" s="21" t="s">
        <v>289</v>
      </c>
    </row>
    <row r="35" spans="1:10" x14ac:dyDescent="0.3">
      <c r="A35" s="107" t="s">
        <v>323</v>
      </c>
      <c r="B35" s="108" t="s">
        <v>324</v>
      </c>
      <c r="C35" s="109" t="s">
        <v>325</v>
      </c>
      <c r="D35" s="130">
        <v>43095</v>
      </c>
      <c r="E35" s="111">
        <v>43160</v>
      </c>
      <c r="F35" s="110">
        <v>120</v>
      </c>
      <c r="G35" s="130">
        <v>43150</v>
      </c>
      <c r="H35" s="130">
        <v>43151</v>
      </c>
      <c r="I35" s="111" t="s">
        <v>108</v>
      </c>
      <c r="J35" s="108" t="s">
        <v>85</v>
      </c>
    </row>
    <row r="36" spans="1:10" x14ac:dyDescent="0.3">
      <c r="A36" s="107" t="s">
        <v>326</v>
      </c>
      <c r="B36" s="108" t="s">
        <v>327</v>
      </c>
      <c r="C36" s="109" t="s">
        <v>35</v>
      </c>
      <c r="D36" s="130">
        <v>43095</v>
      </c>
      <c r="E36" s="111">
        <v>43160</v>
      </c>
      <c r="F36" s="110">
        <v>93</v>
      </c>
      <c r="G36" s="130">
        <v>43173</v>
      </c>
      <c r="H36" s="130">
        <v>43174</v>
      </c>
      <c r="I36" s="117" t="s">
        <v>108</v>
      </c>
      <c r="J36" s="108" t="s">
        <v>310</v>
      </c>
    </row>
    <row r="37" spans="1:10" x14ac:dyDescent="0.3">
      <c r="A37" s="107" t="s">
        <v>328</v>
      </c>
      <c r="B37" s="108" t="s">
        <v>329</v>
      </c>
      <c r="C37" s="109" t="s">
        <v>37</v>
      </c>
      <c r="D37" s="130">
        <v>43095</v>
      </c>
      <c r="E37" s="111">
        <v>42781</v>
      </c>
      <c r="F37" s="110">
        <v>77</v>
      </c>
      <c r="G37" s="130">
        <v>43168</v>
      </c>
      <c r="H37" s="130">
        <v>43168</v>
      </c>
      <c r="I37" s="111" t="s">
        <v>108</v>
      </c>
      <c r="J37" s="108" t="s">
        <v>310</v>
      </c>
    </row>
    <row r="38" spans="1:10" hidden="1" x14ac:dyDescent="0.3">
      <c r="A38" s="107" t="s">
        <v>330</v>
      </c>
      <c r="B38" s="108" t="s">
        <v>331</v>
      </c>
      <c r="C38" s="109" t="s">
        <v>332</v>
      </c>
      <c r="D38" s="130">
        <v>43108</v>
      </c>
      <c r="E38" s="111">
        <v>43167</v>
      </c>
      <c r="F38" s="110">
        <v>194</v>
      </c>
      <c r="G38" s="130">
        <v>43164</v>
      </c>
      <c r="H38" s="130">
        <v>43164</v>
      </c>
      <c r="I38" s="111" t="s">
        <v>108</v>
      </c>
      <c r="J38" s="108" t="s">
        <v>310</v>
      </c>
    </row>
    <row r="39" spans="1:10" x14ac:dyDescent="0.3">
      <c r="A39" s="107" t="s">
        <v>333</v>
      </c>
      <c r="B39" s="108" t="s">
        <v>334</v>
      </c>
      <c r="C39" s="109" t="s">
        <v>63</v>
      </c>
      <c r="D39" s="130">
        <v>42670</v>
      </c>
      <c r="E39" s="111">
        <v>43174</v>
      </c>
      <c r="F39" s="110">
        <v>68</v>
      </c>
      <c r="G39" s="130">
        <v>43169</v>
      </c>
      <c r="H39" s="130">
        <v>43169</v>
      </c>
      <c r="I39" s="111" t="s">
        <v>108</v>
      </c>
      <c r="J39" s="108" t="s">
        <v>289</v>
      </c>
    </row>
    <row r="40" spans="1:10" x14ac:dyDescent="0.3">
      <c r="A40" s="107" t="s">
        <v>335</v>
      </c>
      <c r="B40" s="108" t="s">
        <v>336</v>
      </c>
      <c r="C40" s="109" t="s">
        <v>104</v>
      </c>
      <c r="D40" s="130">
        <v>43123</v>
      </c>
      <c r="E40" s="111">
        <v>43174</v>
      </c>
      <c r="F40" s="110">
        <v>54</v>
      </c>
      <c r="G40" s="110"/>
      <c r="H40" s="130"/>
      <c r="I40" s="111" t="s">
        <v>108</v>
      </c>
      <c r="J40" s="108" t="s">
        <v>454</v>
      </c>
    </row>
    <row r="41" spans="1:10" x14ac:dyDescent="0.3">
      <c r="A41" s="107" t="s">
        <v>337</v>
      </c>
      <c r="B41" s="108" t="s">
        <v>338</v>
      </c>
      <c r="C41" s="109" t="s">
        <v>339</v>
      </c>
      <c r="D41" s="130">
        <v>43123</v>
      </c>
      <c r="E41" s="111">
        <v>43174</v>
      </c>
      <c r="F41" s="110">
        <v>15</v>
      </c>
      <c r="G41" s="110"/>
      <c r="H41" s="130"/>
      <c r="I41" s="111" t="s">
        <v>108</v>
      </c>
      <c r="J41" s="108" t="s">
        <v>454</v>
      </c>
    </row>
    <row r="42" spans="1:10" x14ac:dyDescent="0.3">
      <c r="A42" s="107" t="s">
        <v>340</v>
      </c>
      <c r="B42" s="108" t="s">
        <v>341</v>
      </c>
      <c r="C42" s="109" t="s">
        <v>342</v>
      </c>
      <c r="D42" s="130">
        <v>43123</v>
      </c>
      <c r="E42" s="111">
        <v>43174</v>
      </c>
      <c r="F42" s="110">
        <v>44</v>
      </c>
      <c r="G42" s="110"/>
      <c r="H42" s="130"/>
      <c r="I42" s="111" t="s">
        <v>108</v>
      </c>
      <c r="J42" s="108" t="s">
        <v>454</v>
      </c>
    </row>
    <row r="43" spans="1:10" hidden="1" x14ac:dyDescent="0.3">
      <c r="A43" s="107" t="s">
        <v>343</v>
      </c>
      <c r="B43" s="108" t="s">
        <v>344</v>
      </c>
      <c r="C43" s="109" t="s">
        <v>72</v>
      </c>
      <c r="D43" s="130">
        <v>43130</v>
      </c>
      <c r="E43" s="111">
        <v>43160</v>
      </c>
      <c r="F43" s="110">
        <v>132</v>
      </c>
      <c r="G43" s="130">
        <v>43162</v>
      </c>
      <c r="H43" s="130">
        <v>43162</v>
      </c>
      <c r="I43" s="111" t="s">
        <v>108</v>
      </c>
      <c r="J43" s="108" t="s">
        <v>310</v>
      </c>
    </row>
    <row r="44" spans="1:10" x14ac:dyDescent="0.3">
      <c r="A44" s="107" t="s">
        <v>345</v>
      </c>
      <c r="B44" s="108" t="s">
        <v>77</v>
      </c>
      <c r="C44" s="109" t="s">
        <v>103</v>
      </c>
      <c r="D44" s="130">
        <v>43130</v>
      </c>
      <c r="E44" s="111">
        <v>43160</v>
      </c>
      <c r="F44" s="110">
        <v>132</v>
      </c>
      <c r="G44" s="130">
        <v>43164</v>
      </c>
      <c r="H44" s="130">
        <v>43166</v>
      </c>
      <c r="I44" s="111" t="s">
        <v>108</v>
      </c>
      <c r="J44" s="108" t="s">
        <v>310</v>
      </c>
    </row>
    <row r="45" spans="1:10" x14ac:dyDescent="0.3">
      <c r="A45" s="107" t="s">
        <v>346</v>
      </c>
      <c r="B45" s="108" t="s">
        <v>78</v>
      </c>
      <c r="C45" s="109" t="s">
        <v>347</v>
      </c>
      <c r="D45" s="130">
        <v>43130</v>
      </c>
      <c r="E45" s="111">
        <v>43160</v>
      </c>
      <c r="F45" s="110">
        <v>61</v>
      </c>
      <c r="G45" s="130">
        <v>43166</v>
      </c>
      <c r="H45" s="130">
        <v>43167</v>
      </c>
      <c r="I45" s="111" t="s">
        <v>108</v>
      </c>
      <c r="J45" s="108" t="s">
        <v>310</v>
      </c>
    </row>
    <row r="46" spans="1:10" x14ac:dyDescent="0.3">
      <c r="A46" s="107" t="s">
        <v>348</v>
      </c>
      <c r="B46" s="108" t="s">
        <v>79</v>
      </c>
      <c r="C46" s="109" t="s">
        <v>349</v>
      </c>
      <c r="D46" s="130">
        <v>43130</v>
      </c>
      <c r="E46" s="111">
        <v>43160</v>
      </c>
      <c r="F46" s="110">
        <v>122</v>
      </c>
      <c r="G46" s="110"/>
      <c r="H46" s="130"/>
      <c r="I46" s="111" t="s">
        <v>108</v>
      </c>
      <c r="J46" s="108" t="s">
        <v>310</v>
      </c>
    </row>
    <row r="47" spans="1:10" x14ac:dyDescent="0.3">
      <c r="A47" s="107" t="s">
        <v>350</v>
      </c>
      <c r="B47" s="108" t="s">
        <v>351</v>
      </c>
      <c r="C47" s="109" t="s">
        <v>21</v>
      </c>
      <c r="D47" s="130">
        <v>43130</v>
      </c>
      <c r="E47" s="111">
        <v>43160</v>
      </c>
      <c r="F47" s="110">
        <v>40</v>
      </c>
      <c r="G47" s="110"/>
      <c r="H47" s="130"/>
      <c r="I47" s="111" t="s">
        <v>108</v>
      </c>
      <c r="J47" s="108" t="s">
        <v>310</v>
      </c>
    </row>
    <row r="48" spans="1:10" x14ac:dyDescent="0.3">
      <c r="A48" s="107" t="s">
        <v>352</v>
      </c>
      <c r="B48" s="108" t="s">
        <v>80</v>
      </c>
      <c r="C48" s="109" t="s">
        <v>66</v>
      </c>
      <c r="D48" s="130">
        <v>43130</v>
      </c>
      <c r="E48" s="111">
        <v>43160</v>
      </c>
      <c r="F48" s="110">
        <v>64</v>
      </c>
      <c r="G48" s="110"/>
      <c r="H48" s="130"/>
      <c r="I48" s="111" t="s">
        <v>108</v>
      </c>
      <c r="J48" s="108" t="s">
        <v>310</v>
      </c>
    </row>
    <row r="49" spans="1:10" x14ac:dyDescent="0.3">
      <c r="A49" s="4" t="s">
        <v>376</v>
      </c>
      <c r="B49" s="21" t="s">
        <v>367</v>
      </c>
      <c r="C49" s="17" t="s">
        <v>389</v>
      </c>
      <c r="D49" s="113">
        <v>43133</v>
      </c>
      <c r="E49" s="26">
        <v>43192</v>
      </c>
      <c r="F49" s="40">
        <v>211</v>
      </c>
      <c r="G49" s="133"/>
      <c r="H49" s="133"/>
      <c r="I49" s="135"/>
      <c r="J49" s="134"/>
    </row>
    <row r="50" spans="1:10" x14ac:dyDescent="0.3">
      <c r="A50" s="4" t="s">
        <v>377</v>
      </c>
      <c r="B50" s="21" t="s">
        <v>368</v>
      </c>
      <c r="C50" s="17" t="s">
        <v>388</v>
      </c>
      <c r="D50" s="113">
        <v>43133</v>
      </c>
      <c r="E50" s="26">
        <v>43192</v>
      </c>
      <c r="F50" s="40">
        <v>42</v>
      </c>
      <c r="G50" s="133"/>
      <c r="H50" s="133"/>
      <c r="I50" s="135"/>
      <c r="J50" s="134"/>
    </row>
    <row r="51" spans="1:10" x14ac:dyDescent="0.3">
      <c r="A51" s="4" t="s">
        <v>378</v>
      </c>
      <c r="B51" s="21" t="s">
        <v>369</v>
      </c>
      <c r="C51" s="17" t="s">
        <v>387</v>
      </c>
      <c r="D51" s="113">
        <v>43133</v>
      </c>
      <c r="E51" s="26">
        <v>43222</v>
      </c>
      <c r="F51" s="40">
        <v>72</v>
      </c>
      <c r="G51" s="133"/>
      <c r="H51" s="133"/>
      <c r="I51" s="135"/>
      <c r="J51" s="134"/>
    </row>
    <row r="52" spans="1:10" x14ac:dyDescent="0.3">
      <c r="A52" s="4" t="s">
        <v>379</v>
      </c>
      <c r="B52" s="21" t="s">
        <v>370</v>
      </c>
      <c r="C52" s="17" t="s">
        <v>386</v>
      </c>
      <c r="D52" s="113">
        <v>43133</v>
      </c>
      <c r="E52" s="26">
        <v>43222</v>
      </c>
      <c r="F52" s="40">
        <v>108</v>
      </c>
      <c r="G52" s="133"/>
      <c r="H52" s="133"/>
      <c r="I52" s="135"/>
      <c r="J52" s="134"/>
    </row>
    <row r="53" spans="1:10" x14ac:dyDescent="0.3">
      <c r="A53" s="4" t="s">
        <v>380</v>
      </c>
      <c r="B53" s="21" t="s">
        <v>371</v>
      </c>
      <c r="C53" s="17" t="s">
        <v>385</v>
      </c>
      <c r="D53" s="113">
        <v>43133</v>
      </c>
      <c r="E53" s="26">
        <v>43222</v>
      </c>
      <c r="F53" s="40">
        <v>84</v>
      </c>
      <c r="G53" s="133"/>
      <c r="H53" s="133"/>
      <c r="I53" s="135"/>
      <c r="J53" s="134"/>
    </row>
    <row r="54" spans="1:10" x14ac:dyDescent="0.3">
      <c r="A54" s="107" t="s">
        <v>382</v>
      </c>
      <c r="B54" s="108" t="s">
        <v>373</v>
      </c>
      <c r="C54" s="109" t="s">
        <v>384</v>
      </c>
      <c r="D54" s="130">
        <v>43153</v>
      </c>
      <c r="E54" s="111">
        <v>43179</v>
      </c>
      <c r="F54" s="110">
        <v>136</v>
      </c>
      <c r="G54" s="163">
        <v>39551</v>
      </c>
      <c r="H54" s="163">
        <v>43203</v>
      </c>
      <c r="I54" s="117" t="s">
        <v>108</v>
      </c>
      <c r="J54" s="164"/>
    </row>
    <row r="55" spans="1:10" x14ac:dyDescent="0.3">
      <c r="A55" s="107" t="s">
        <v>383</v>
      </c>
      <c r="B55" s="108" t="s">
        <v>374</v>
      </c>
      <c r="C55" s="109" t="s">
        <v>375</v>
      </c>
      <c r="D55" s="130">
        <v>43153</v>
      </c>
      <c r="E55" s="111">
        <v>43181</v>
      </c>
      <c r="F55" s="110">
        <v>114</v>
      </c>
      <c r="G55" s="163">
        <v>43203</v>
      </c>
      <c r="H55" s="163">
        <v>43204</v>
      </c>
      <c r="I55" s="117" t="s">
        <v>108</v>
      </c>
      <c r="J55" s="164"/>
    </row>
    <row r="56" spans="1:10" x14ac:dyDescent="0.3">
      <c r="A56" s="4" t="s">
        <v>396</v>
      </c>
      <c r="B56" s="40"/>
      <c r="C56" s="17" t="s">
        <v>397</v>
      </c>
      <c r="D56" s="40">
        <v>190</v>
      </c>
      <c r="F56" s="40">
        <v>190</v>
      </c>
    </row>
    <row r="57" spans="1:10" x14ac:dyDescent="0.3">
      <c r="A57" s="4" t="s">
        <v>398</v>
      </c>
      <c r="B57" s="40"/>
      <c r="C57" s="17" t="s">
        <v>399</v>
      </c>
      <c r="D57" s="40">
        <v>130</v>
      </c>
      <c r="F57" s="40">
        <v>130</v>
      </c>
    </row>
    <row r="58" spans="1:10" x14ac:dyDescent="0.3">
      <c r="A58" s="4" t="s">
        <v>400</v>
      </c>
      <c r="B58" s="40"/>
      <c r="C58" s="17" t="s">
        <v>401</v>
      </c>
      <c r="D58" s="40">
        <v>66</v>
      </c>
      <c r="F58" s="40">
        <v>66</v>
      </c>
    </row>
    <row r="59" spans="1:10" x14ac:dyDescent="0.3">
      <c r="A59" s="4" t="s">
        <v>402</v>
      </c>
      <c r="B59" s="40"/>
      <c r="C59" s="17" t="s">
        <v>403</v>
      </c>
      <c r="D59" s="40">
        <v>66</v>
      </c>
      <c r="F59" s="40">
        <v>66</v>
      </c>
    </row>
    <row r="60" spans="1:10" x14ac:dyDescent="0.3">
      <c r="A60" s="4" t="s">
        <v>404</v>
      </c>
      <c r="B60" s="40"/>
      <c r="C60" s="17" t="s">
        <v>405</v>
      </c>
      <c r="D60" s="40">
        <v>114</v>
      </c>
      <c r="F60" s="40">
        <v>114</v>
      </c>
    </row>
    <row r="61" spans="1:10" x14ac:dyDescent="0.3">
      <c r="A61" s="4" t="s">
        <v>406</v>
      </c>
      <c r="B61" s="40"/>
      <c r="C61" s="17" t="s">
        <v>407</v>
      </c>
      <c r="D61" s="40">
        <v>114</v>
      </c>
      <c r="F61" s="40">
        <v>114</v>
      </c>
    </row>
    <row r="62" spans="1:10" x14ac:dyDescent="0.3">
      <c r="A62" s="4" t="s">
        <v>408</v>
      </c>
      <c r="B62" s="40"/>
      <c r="C62" s="17" t="s">
        <v>409</v>
      </c>
      <c r="D62" s="40">
        <v>114</v>
      </c>
      <c r="F62" s="40">
        <v>114</v>
      </c>
    </row>
    <row r="63" spans="1:10" x14ac:dyDescent="0.3">
      <c r="A63" s="4" t="s">
        <v>410</v>
      </c>
      <c r="B63" s="40"/>
      <c r="C63" s="17" t="s">
        <v>411</v>
      </c>
      <c r="D63" s="40">
        <v>114</v>
      </c>
      <c r="F63" s="40">
        <v>114</v>
      </c>
    </row>
    <row r="64" spans="1:10" x14ac:dyDescent="0.3">
      <c r="A64" s="4" t="s">
        <v>412</v>
      </c>
      <c r="B64" s="40"/>
      <c r="C64" s="17" t="s">
        <v>413</v>
      </c>
      <c r="D64" s="40">
        <v>138</v>
      </c>
      <c r="F64" s="40">
        <v>138</v>
      </c>
    </row>
    <row r="65" spans="1:6" x14ac:dyDescent="0.3">
      <c r="A65" s="4" t="s">
        <v>414</v>
      </c>
      <c r="B65" s="40"/>
      <c r="C65" s="17" t="s">
        <v>415</v>
      </c>
      <c r="D65" s="40">
        <v>138</v>
      </c>
      <c r="F65" s="40">
        <v>138</v>
      </c>
    </row>
    <row r="66" spans="1:6" x14ac:dyDescent="0.3">
      <c r="A66" s="142" t="s">
        <v>416</v>
      </c>
      <c r="B66" s="143" t="s">
        <v>417</v>
      </c>
      <c r="C66" s="144" t="s">
        <v>42</v>
      </c>
      <c r="D66" s="145">
        <v>50</v>
      </c>
      <c r="F66" s="145">
        <v>50</v>
      </c>
    </row>
    <row r="67" spans="1:6" x14ac:dyDescent="0.3">
      <c r="A67" s="4" t="s">
        <v>424</v>
      </c>
      <c r="B67" s="21" t="s">
        <v>425</v>
      </c>
      <c r="C67" s="17" t="s">
        <v>426</v>
      </c>
      <c r="D67" s="40">
        <v>273</v>
      </c>
      <c r="F67" s="40">
        <v>273</v>
      </c>
    </row>
    <row r="68" spans="1:6" x14ac:dyDescent="0.3">
      <c r="A68" s="4" t="s">
        <v>427</v>
      </c>
      <c r="B68" s="21" t="s">
        <v>428</v>
      </c>
      <c r="C68" s="17" t="s">
        <v>429</v>
      </c>
      <c r="D68" s="40">
        <v>83</v>
      </c>
      <c r="F68" s="40">
        <v>83</v>
      </c>
    </row>
    <row r="69" spans="1:6" x14ac:dyDescent="0.3">
      <c r="A69" s="4" t="s">
        <v>430</v>
      </c>
      <c r="B69" s="21" t="s">
        <v>431</v>
      </c>
      <c r="C69" s="17" t="s">
        <v>17</v>
      </c>
      <c r="D69" s="40">
        <v>45</v>
      </c>
      <c r="F69" s="40">
        <v>45</v>
      </c>
    </row>
    <row r="70" spans="1:6" x14ac:dyDescent="0.3">
      <c r="A70" s="4" t="s">
        <v>432</v>
      </c>
      <c r="B70" s="21" t="s">
        <v>433</v>
      </c>
      <c r="C70" s="17" t="s">
        <v>24</v>
      </c>
      <c r="D70" s="40">
        <v>178</v>
      </c>
      <c r="F70" s="40">
        <v>178</v>
      </c>
    </row>
    <row r="71" spans="1:6" x14ac:dyDescent="0.3">
      <c r="A71" s="4" t="s">
        <v>438</v>
      </c>
      <c r="B71" s="40"/>
      <c r="C71" s="17" t="s">
        <v>444</v>
      </c>
      <c r="D71" s="40">
        <v>48</v>
      </c>
      <c r="F71" s="40">
        <v>48</v>
      </c>
    </row>
    <row r="72" spans="1:6" x14ac:dyDescent="0.3">
      <c r="A72" s="4" t="s">
        <v>439</v>
      </c>
      <c r="B72" s="40"/>
      <c r="C72" s="17" t="s">
        <v>443</v>
      </c>
      <c r="D72" s="40">
        <v>72</v>
      </c>
      <c r="F72" s="40">
        <v>72</v>
      </c>
    </row>
    <row r="73" spans="1:6" x14ac:dyDescent="0.3">
      <c r="A73" s="4" t="s">
        <v>440</v>
      </c>
      <c r="B73" s="40"/>
      <c r="C73" s="17" t="s">
        <v>445</v>
      </c>
      <c r="D73" s="40">
        <v>24</v>
      </c>
      <c r="F73" s="40">
        <v>24</v>
      </c>
    </row>
    <row r="74" spans="1:6" x14ac:dyDescent="0.3">
      <c r="A74" s="4" t="s">
        <v>441</v>
      </c>
      <c r="B74" s="40"/>
      <c r="C74" s="17" t="s">
        <v>446</v>
      </c>
      <c r="D74" s="40">
        <v>40</v>
      </c>
      <c r="F74" s="40">
        <v>40</v>
      </c>
    </row>
    <row r="75" spans="1:6" x14ac:dyDescent="0.3">
      <c r="A75" s="4" t="s">
        <v>442</v>
      </c>
      <c r="B75" s="40"/>
      <c r="C75" s="17" t="s">
        <v>447</v>
      </c>
      <c r="D75" s="40">
        <v>24</v>
      </c>
      <c r="F75" s="40">
        <v>24</v>
      </c>
    </row>
    <row r="76" spans="1:6" x14ac:dyDescent="0.3">
      <c r="A76" s="4" t="s">
        <v>495</v>
      </c>
      <c r="B76" s="21" t="s">
        <v>501</v>
      </c>
      <c r="C76" s="17" t="s">
        <v>31</v>
      </c>
      <c r="D76" s="40">
        <v>90</v>
      </c>
      <c r="F76" s="40">
        <v>90</v>
      </c>
    </row>
    <row r="77" spans="1:6" x14ac:dyDescent="0.3">
      <c r="A77" s="4" t="s">
        <v>496</v>
      </c>
      <c r="B77" s="21" t="s">
        <v>502</v>
      </c>
      <c r="C77" s="17" t="s">
        <v>508</v>
      </c>
      <c r="D77" s="40">
        <v>24</v>
      </c>
      <c r="F77" s="40">
        <v>24</v>
      </c>
    </row>
    <row r="78" spans="1:6" x14ac:dyDescent="0.3">
      <c r="A78" s="4" t="s">
        <v>497</v>
      </c>
      <c r="B78" s="21" t="s">
        <v>503</v>
      </c>
      <c r="C78" s="17" t="s">
        <v>494</v>
      </c>
      <c r="D78" s="40">
        <v>135</v>
      </c>
      <c r="F78" s="40">
        <v>135</v>
      </c>
    </row>
    <row r="79" spans="1:6" x14ac:dyDescent="0.3">
      <c r="A79" s="4" t="s">
        <v>498</v>
      </c>
      <c r="B79" s="21" t="s">
        <v>504</v>
      </c>
      <c r="C79" s="17" t="s">
        <v>24</v>
      </c>
      <c r="D79" s="40">
        <v>135</v>
      </c>
      <c r="F79" s="40">
        <v>135</v>
      </c>
    </row>
    <row r="80" spans="1:6" x14ac:dyDescent="0.3">
      <c r="A80" s="4" t="s">
        <v>499</v>
      </c>
      <c r="B80" s="21" t="s">
        <v>505</v>
      </c>
      <c r="C80" s="17" t="s">
        <v>510</v>
      </c>
      <c r="D80" s="40">
        <v>390</v>
      </c>
      <c r="F80" s="40">
        <v>390</v>
      </c>
    </row>
    <row r="81" spans="1:6" x14ac:dyDescent="0.3">
      <c r="A81" s="4" t="s">
        <v>500</v>
      </c>
      <c r="B81" s="21" t="s">
        <v>506</v>
      </c>
      <c r="C81" s="17" t="s">
        <v>511</v>
      </c>
      <c r="D81" s="40">
        <v>152</v>
      </c>
      <c r="F81" s="40">
        <v>152</v>
      </c>
    </row>
    <row r="82" spans="1:6" x14ac:dyDescent="0.3">
      <c r="A82" s="4" t="s">
        <v>507</v>
      </c>
      <c r="B82" s="21" t="s">
        <v>509</v>
      </c>
      <c r="C82" s="17" t="s">
        <v>512</v>
      </c>
      <c r="D82" s="40">
        <v>90</v>
      </c>
    </row>
  </sheetData>
  <autoFilter ref="A2:J2" xr:uid="{00000000-0009-0000-0000-000008000000}"/>
  <pageMargins left="0.25" right="0.25" top="0.75" bottom="0.75" header="0.3" footer="0.3"/>
  <pageSetup paperSize="9" scale="51" orientation="landscape" horizontalDpi="0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>
    <pageSetUpPr fitToPage="1"/>
  </sheetPr>
  <dimension ref="A2:J82"/>
  <sheetViews>
    <sheetView zoomScale="80" zoomScaleNormal="80" workbookViewId="0">
      <pane xSplit="9" ySplit="2" topLeftCell="J3" activePane="bottomRight" state="frozen"/>
      <selection pane="topRight" activeCell="H1" sqref="H1"/>
      <selection pane="bottomLeft" activeCell="A3" sqref="A3"/>
      <selection pane="bottomRight" activeCell="E33" sqref="E33"/>
    </sheetView>
  </sheetViews>
  <sheetFormatPr baseColWidth="10" defaultColWidth="11.44140625" defaultRowHeight="14.4" x14ac:dyDescent="0.3"/>
  <cols>
    <col min="1" max="1" width="17.5546875" style="62" bestFit="1" customWidth="1"/>
    <col min="2" max="2" width="15.6640625" style="63" bestFit="1" customWidth="1"/>
    <col min="3" max="3" width="55.5546875" style="64" bestFit="1" customWidth="1"/>
    <col min="4" max="4" width="17.109375" style="132" customWidth="1"/>
    <col min="5" max="5" width="19" style="64" customWidth="1"/>
    <col min="6" max="6" width="13" style="65" bestFit="1" customWidth="1"/>
    <col min="7" max="7" width="14.109375" style="65" customWidth="1"/>
    <col min="8" max="8" width="15" style="65" customWidth="1"/>
    <col min="9" max="9" width="24.44140625" style="66" bestFit="1" customWidth="1"/>
    <col min="10" max="10" width="27.88671875" style="62" bestFit="1" customWidth="1"/>
    <col min="11" max="16384" width="11.44140625" style="62"/>
  </cols>
  <sheetData>
    <row r="2" spans="1:10" ht="65.25" customHeight="1" x14ac:dyDescent="0.3">
      <c r="A2" s="9" t="s">
        <v>353</v>
      </c>
      <c r="B2" s="48" t="s">
        <v>232</v>
      </c>
      <c r="C2" s="72" t="s">
        <v>27</v>
      </c>
      <c r="D2" s="78" t="s">
        <v>29</v>
      </c>
      <c r="E2" s="79" t="s">
        <v>70</v>
      </c>
      <c r="F2" s="7" t="s">
        <v>28</v>
      </c>
      <c r="G2" s="7" t="s">
        <v>276</v>
      </c>
      <c r="H2" s="7" t="s">
        <v>277</v>
      </c>
      <c r="I2" s="19" t="s">
        <v>250</v>
      </c>
      <c r="J2" s="61" t="s">
        <v>69</v>
      </c>
    </row>
    <row r="3" spans="1:10" s="30" customFormat="1" hidden="1" x14ac:dyDescent="0.3">
      <c r="A3" s="107" t="s">
        <v>146</v>
      </c>
      <c r="B3" s="108" t="s">
        <v>5</v>
      </c>
      <c r="C3" s="109" t="s">
        <v>147</v>
      </c>
      <c r="D3" s="131"/>
      <c r="E3" s="109"/>
      <c r="F3" s="110">
        <v>48</v>
      </c>
      <c r="G3" s="108"/>
      <c r="H3" s="130"/>
      <c r="I3" s="111" t="s">
        <v>354</v>
      </c>
      <c r="J3" s="108"/>
    </row>
    <row r="4" spans="1:10" s="30" customFormat="1" hidden="1" x14ac:dyDescent="0.3">
      <c r="A4" s="107" t="s">
        <v>148</v>
      </c>
      <c r="B4" s="108" t="s">
        <v>6</v>
      </c>
      <c r="C4" s="109" t="s">
        <v>149</v>
      </c>
      <c r="D4" s="131"/>
      <c r="E4" s="109"/>
      <c r="F4" s="110">
        <v>48</v>
      </c>
      <c r="G4" s="110"/>
      <c r="H4" s="130"/>
      <c r="I4" s="111" t="s">
        <v>354</v>
      </c>
      <c r="J4" s="108"/>
    </row>
    <row r="5" spans="1:10" s="30" customFormat="1" hidden="1" x14ac:dyDescent="0.3">
      <c r="A5" s="107" t="s">
        <v>150</v>
      </c>
      <c r="B5" s="108" t="s">
        <v>7</v>
      </c>
      <c r="C5" s="109" t="s">
        <v>151</v>
      </c>
      <c r="D5" s="131"/>
      <c r="E5" s="109"/>
      <c r="F5" s="110">
        <v>60</v>
      </c>
      <c r="G5" s="110"/>
      <c r="H5" s="130"/>
      <c r="I5" s="111" t="s">
        <v>354</v>
      </c>
      <c r="J5" s="108"/>
    </row>
    <row r="6" spans="1:10" s="30" customFormat="1" x14ac:dyDescent="0.3">
      <c r="A6" s="107" t="s">
        <v>152</v>
      </c>
      <c r="B6" s="108" t="s">
        <v>8</v>
      </c>
      <c r="C6" s="109" t="s">
        <v>153</v>
      </c>
      <c r="D6" s="131"/>
      <c r="E6" s="109"/>
      <c r="F6" s="110">
        <v>60</v>
      </c>
      <c r="G6" s="110"/>
      <c r="H6" s="130"/>
      <c r="I6" s="111" t="s">
        <v>354</v>
      </c>
      <c r="J6" s="108" t="s">
        <v>310</v>
      </c>
    </row>
    <row r="7" spans="1:10" s="30" customFormat="1" hidden="1" x14ac:dyDescent="0.3">
      <c r="A7" s="107" t="s">
        <v>154</v>
      </c>
      <c r="B7" s="108" t="s">
        <v>9</v>
      </c>
      <c r="C7" s="109" t="s">
        <v>155</v>
      </c>
      <c r="D7" s="131"/>
      <c r="E7" s="109"/>
      <c r="F7" s="110">
        <v>60</v>
      </c>
      <c r="G7" s="110"/>
      <c r="H7" s="130"/>
      <c r="I7" s="111" t="s">
        <v>354</v>
      </c>
      <c r="J7" s="108"/>
    </row>
    <row r="8" spans="1:10" s="30" customFormat="1" x14ac:dyDescent="0.3">
      <c r="A8" s="107" t="s">
        <v>156</v>
      </c>
      <c r="B8" s="108" t="s">
        <v>10</v>
      </c>
      <c r="C8" s="109" t="s">
        <v>157</v>
      </c>
      <c r="D8" s="131"/>
      <c r="E8" s="109"/>
      <c r="F8" s="110">
        <v>42</v>
      </c>
      <c r="G8" s="110"/>
      <c r="H8" s="130"/>
      <c r="I8" s="111" t="s">
        <v>354</v>
      </c>
      <c r="J8" s="108" t="s">
        <v>310</v>
      </c>
    </row>
    <row r="9" spans="1:10" s="30" customFormat="1" x14ac:dyDescent="0.3">
      <c r="A9" s="107" t="s">
        <v>178</v>
      </c>
      <c r="B9" s="108" t="s">
        <v>19</v>
      </c>
      <c r="C9" s="109" t="s">
        <v>179</v>
      </c>
      <c r="D9" s="110"/>
      <c r="E9" s="109"/>
      <c r="F9" s="110">
        <v>61</v>
      </c>
      <c r="G9" s="130">
        <v>43174</v>
      </c>
      <c r="H9" s="130">
        <v>43174</v>
      </c>
      <c r="I9" s="111" t="s">
        <v>108</v>
      </c>
      <c r="J9" s="108" t="s">
        <v>310</v>
      </c>
    </row>
    <row r="10" spans="1:10" s="30" customFormat="1" x14ac:dyDescent="0.3">
      <c r="A10" s="107" t="s">
        <v>180</v>
      </c>
      <c r="B10" s="108" t="s">
        <v>20</v>
      </c>
      <c r="C10" s="109" t="s">
        <v>181</v>
      </c>
      <c r="D10" s="110"/>
      <c r="E10" s="109"/>
      <c r="F10" s="110">
        <v>61</v>
      </c>
      <c r="G10" s="116">
        <v>43174</v>
      </c>
      <c r="H10" s="130">
        <v>43174</v>
      </c>
      <c r="I10" s="111" t="s">
        <v>108</v>
      </c>
      <c r="J10" s="108" t="s">
        <v>310</v>
      </c>
    </row>
    <row r="11" spans="1:10" s="30" customFormat="1" x14ac:dyDescent="0.3">
      <c r="A11" s="107" t="s">
        <v>184</v>
      </c>
      <c r="B11" s="108" t="s">
        <v>23</v>
      </c>
      <c r="C11" s="109" t="s">
        <v>185</v>
      </c>
      <c r="D11" s="130">
        <v>43018</v>
      </c>
      <c r="E11" s="111">
        <v>43132</v>
      </c>
      <c r="F11" s="110">
        <v>162</v>
      </c>
      <c r="G11" s="130">
        <v>43152</v>
      </c>
      <c r="H11" s="130">
        <v>43158</v>
      </c>
      <c r="I11" s="111" t="s">
        <v>108</v>
      </c>
      <c r="J11" s="108" t="s">
        <v>310</v>
      </c>
    </row>
    <row r="12" spans="1:10" s="30" customFormat="1" x14ac:dyDescent="0.3">
      <c r="A12" s="4" t="s">
        <v>212</v>
      </c>
      <c r="B12" s="21" t="s">
        <v>48</v>
      </c>
      <c r="C12" s="17" t="s">
        <v>213</v>
      </c>
      <c r="D12" s="113">
        <v>43018</v>
      </c>
      <c r="E12" s="26">
        <v>43132</v>
      </c>
      <c r="F12" s="40">
        <v>104</v>
      </c>
      <c r="G12" s="113">
        <v>43178</v>
      </c>
      <c r="H12" s="3" t="s">
        <v>434</v>
      </c>
      <c r="I12" s="26" t="s">
        <v>108</v>
      </c>
      <c r="J12" s="40"/>
    </row>
    <row r="13" spans="1:10" s="30" customFormat="1" x14ac:dyDescent="0.3">
      <c r="A13" s="107" t="s">
        <v>214</v>
      </c>
      <c r="B13" s="108" t="s">
        <v>49</v>
      </c>
      <c r="C13" s="109" t="s">
        <v>215</v>
      </c>
      <c r="D13" s="130">
        <v>43018</v>
      </c>
      <c r="E13" s="111">
        <v>43160</v>
      </c>
      <c r="F13" s="110">
        <v>104</v>
      </c>
      <c r="G13" s="130">
        <v>43179</v>
      </c>
      <c r="H13" s="130">
        <v>43179</v>
      </c>
      <c r="I13" s="111" t="s">
        <v>108</v>
      </c>
      <c r="J13" s="108" t="s">
        <v>436</v>
      </c>
    </row>
    <row r="14" spans="1:10" s="30" customFormat="1" x14ac:dyDescent="0.3">
      <c r="A14" s="107" t="s">
        <v>216</v>
      </c>
      <c r="B14" s="108" t="s">
        <v>50</v>
      </c>
      <c r="C14" s="109" t="s">
        <v>217</v>
      </c>
      <c r="D14" s="130">
        <v>43018</v>
      </c>
      <c r="E14" s="111">
        <v>43160</v>
      </c>
      <c r="F14" s="110">
        <v>104</v>
      </c>
      <c r="G14" s="130">
        <v>43179</v>
      </c>
      <c r="H14" s="130">
        <v>43179</v>
      </c>
      <c r="I14" s="111" t="s">
        <v>108</v>
      </c>
      <c r="J14" s="108" t="s">
        <v>436</v>
      </c>
    </row>
    <row r="15" spans="1:10" s="30" customFormat="1" x14ac:dyDescent="0.3">
      <c r="A15" s="4" t="s">
        <v>218</v>
      </c>
      <c r="B15" s="21" t="s">
        <v>51</v>
      </c>
      <c r="C15" s="17" t="s">
        <v>219</v>
      </c>
      <c r="D15" s="113">
        <v>43018</v>
      </c>
      <c r="E15" s="26">
        <v>43160</v>
      </c>
      <c r="F15" s="40">
        <v>72</v>
      </c>
      <c r="G15" s="113"/>
      <c r="H15" s="113"/>
      <c r="I15" s="26"/>
      <c r="J15" s="40"/>
    </row>
    <row r="16" spans="1:10" s="30" customFormat="1" x14ac:dyDescent="0.3">
      <c r="A16" s="107" t="s">
        <v>186</v>
      </c>
      <c r="B16" s="108" t="s">
        <v>25</v>
      </c>
      <c r="C16" s="109" t="s">
        <v>187</v>
      </c>
      <c r="D16" s="130">
        <v>43018</v>
      </c>
      <c r="E16" s="111">
        <v>43132</v>
      </c>
      <c r="F16" s="110">
        <v>40</v>
      </c>
      <c r="G16" s="130">
        <v>43180</v>
      </c>
      <c r="H16" s="130">
        <v>43180</v>
      </c>
      <c r="I16" s="111" t="s">
        <v>108</v>
      </c>
      <c r="J16" s="108" t="s">
        <v>310</v>
      </c>
    </row>
    <row r="17" spans="1:10" s="30" customFormat="1" x14ac:dyDescent="0.3">
      <c r="A17" s="107" t="s">
        <v>188</v>
      </c>
      <c r="B17" s="108" t="s">
        <v>32</v>
      </c>
      <c r="C17" s="109" t="s">
        <v>189</v>
      </c>
      <c r="D17" s="130">
        <v>43018</v>
      </c>
      <c r="E17" s="111">
        <v>43132</v>
      </c>
      <c r="F17" s="110">
        <v>60</v>
      </c>
      <c r="G17" s="130">
        <v>43140</v>
      </c>
      <c r="H17" s="130">
        <v>43142</v>
      </c>
      <c r="I17" s="111" t="s">
        <v>108</v>
      </c>
      <c r="J17" s="108" t="s">
        <v>310</v>
      </c>
    </row>
    <row r="18" spans="1:10" s="30" customFormat="1" x14ac:dyDescent="0.3">
      <c r="A18" s="107" t="s">
        <v>190</v>
      </c>
      <c r="B18" s="108" t="s">
        <v>33</v>
      </c>
      <c r="C18" s="109" t="s">
        <v>191</v>
      </c>
      <c r="D18" s="130">
        <v>43018</v>
      </c>
      <c r="E18" s="111">
        <v>43132</v>
      </c>
      <c r="F18" s="110">
        <v>60</v>
      </c>
      <c r="G18" s="110"/>
      <c r="H18" s="130"/>
      <c r="I18" s="111" t="s">
        <v>108</v>
      </c>
      <c r="J18" s="108" t="s">
        <v>310</v>
      </c>
    </row>
    <row r="19" spans="1:10" s="30" customFormat="1" x14ac:dyDescent="0.3">
      <c r="A19" s="107" t="s">
        <v>192</v>
      </c>
      <c r="B19" s="108" t="s">
        <v>30</v>
      </c>
      <c r="C19" s="109" t="s">
        <v>193</v>
      </c>
      <c r="D19" s="130">
        <v>43018</v>
      </c>
      <c r="E19" s="111">
        <v>43132</v>
      </c>
      <c r="F19" s="110">
        <v>60</v>
      </c>
      <c r="G19" s="130">
        <v>43157</v>
      </c>
      <c r="H19" s="130">
        <v>43132</v>
      </c>
      <c r="I19" s="111" t="s">
        <v>108</v>
      </c>
      <c r="J19" s="108" t="s">
        <v>310</v>
      </c>
    </row>
    <row r="20" spans="1:10" s="30" customFormat="1" x14ac:dyDescent="0.3">
      <c r="A20" s="107" t="s">
        <v>194</v>
      </c>
      <c r="B20" s="108" t="s">
        <v>36</v>
      </c>
      <c r="C20" s="109" t="s">
        <v>195</v>
      </c>
      <c r="D20" s="130">
        <v>43018</v>
      </c>
      <c r="E20" s="111">
        <v>43132</v>
      </c>
      <c r="F20" s="110">
        <v>40</v>
      </c>
      <c r="G20" s="130"/>
      <c r="H20" s="130"/>
      <c r="I20" s="111" t="s">
        <v>108</v>
      </c>
      <c r="J20" s="108" t="s">
        <v>310</v>
      </c>
    </row>
    <row r="21" spans="1:10" hidden="1" x14ac:dyDescent="0.3">
      <c r="A21" s="107" t="s">
        <v>220</v>
      </c>
      <c r="B21" s="108" t="s">
        <v>67</v>
      </c>
      <c r="C21" s="109" t="s">
        <v>221</v>
      </c>
      <c r="D21" s="131"/>
      <c r="E21" s="109"/>
      <c r="F21" s="110">
        <v>142</v>
      </c>
      <c r="G21" s="130">
        <v>43132</v>
      </c>
      <c r="H21" s="116">
        <v>43133</v>
      </c>
      <c r="I21" s="111"/>
      <c r="J21" s="110"/>
    </row>
    <row r="22" spans="1:10" hidden="1" x14ac:dyDescent="0.3">
      <c r="A22" s="107" t="s">
        <v>222</v>
      </c>
      <c r="B22" s="108" t="s">
        <v>68</v>
      </c>
      <c r="C22" s="109" t="s">
        <v>223</v>
      </c>
      <c r="D22" s="131"/>
      <c r="E22" s="109"/>
      <c r="F22" s="110">
        <v>118</v>
      </c>
      <c r="G22" s="130">
        <v>43133</v>
      </c>
      <c r="H22" s="116">
        <v>43134</v>
      </c>
      <c r="I22" s="111"/>
      <c r="J22" s="110"/>
    </row>
    <row r="23" spans="1:10" hidden="1" x14ac:dyDescent="0.3">
      <c r="A23" s="107" t="s">
        <v>264</v>
      </c>
      <c r="B23" s="108" t="s">
        <v>62</v>
      </c>
      <c r="C23" s="109" t="s">
        <v>270</v>
      </c>
      <c r="D23" s="131"/>
      <c r="E23" s="109"/>
      <c r="F23" s="110">
        <v>44</v>
      </c>
      <c r="G23" s="130">
        <v>43129</v>
      </c>
      <c r="H23" s="116">
        <v>43131</v>
      </c>
      <c r="I23" s="111"/>
      <c r="J23" s="108"/>
    </row>
    <row r="24" spans="1:10" hidden="1" x14ac:dyDescent="0.3">
      <c r="A24" s="107" t="s">
        <v>265</v>
      </c>
      <c r="B24" s="108" t="s">
        <v>64</v>
      </c>
      <c r="C24" s="109" t="s">
        <v>271</v>
      </c>
      <c r="D24" s="131"/>
      <c r="E24" s="109"/>
      <c r="F24" s="110">
        <v>30</v>
      </c>
      <c r="G24" s="130">
        <v>43129</v>
      </c>
      <c r="H24" s="116">
        <v>43131</v>
      </c>
      <c r="I24" s="111"/>
      <c r="J24" s="108"/>
    </row>
    <row r="25" spans="1:10" hidden="1" x14ac:dyDescent="0.3">
      <c r="A25" s="107" t="s">
        <v>266</v>
      </c>
      <c r="B25" s="108" t="s">
        <v>65</v>
      </c>
      <c r="C25" s="109" t="s">
        <v>272</v>
      </c>
      <c r="D25" s="131"/>
      <c r="E25" s="109"/>
      <c r="F25" s="110">
        <v>69</v>
      </c>
      <c r="G25" s="130">
        <v>43131</v>
      </c>
      <c r="H25" s="116"/>
      <c r="I25" s="111"/>
      <c r="J25" s="108" t="s">
        <v>353</v>
      </c>
    </row>
    <row r="26" spans="1:10" hidden="1" x14ac:dyDescent="0.3">
      <c r="A26" s="107" t="s">
        <v>267</v>
      </c>
      <c r="B26" s="108" t="s">
        <v>55</v>
      </c>
      <c r="C26" s="109" t="s">
        <v>273</v>
      </c>
      <c r="D26" s="131"/>
      <c r="E26" s="109"/>
      <c r="F26" s="110">
        <v>34</v>
      </c>
      <c r="G26" s="130">
        <v>43131</v>
      </c>
      <c r="H26" s="116"/>
      <c r="I26" s="111"/>
      <c r="J26" s="108"/>
    </row>
    <row r="27" spans="1:10" s="30" customFormat="1" hidden="1" x14ac:dyDescent="0.3">
      <c r="A27" s="107" t="s">
        <v>280</v>
      </c>
      <c r="B27" s="108" t="s">
        <v>281</v>
      </c>
      <c r="C27" s="109" t="s">
        <v>282</v>
      </c>
      <c r="D27" s="131"/>
      <c r="E27" s="109"/>
      <c r="F27" s="110">
        <v>96</v>
      </c>
      <c r="G27" s="130">
        <v>43129</v>
      </c>
      <c r="H27" s="116"/>
      <c r="I27" s="111"/>
      <c r="J27" s="108"/>
    </row>
    <row r="28" spans="1:10" s="30" customFormat="1" hidden="1" x14ac:dyDescent="0.3">
      <c r="A28" s="107" t="s">
        <v>283</v>
      </c>
      <c r="B28" s="108" t="s">
        <v>284</v>
      </c>
      <c r="C28" s="109" t="s">
        <v>81</v>
      </c>
      <c r="D28" s="131"/>
      <c r="E28" s="109"/>
      <c r="F28" s="110">
        <v>52</v>
      </c>
      <c r="G28" s="130">
        <v>43130</v>
      </c>
      <c r="H28" s="116"/>
      <c r="I28" s="111"/>
      <c r="J28" s="108"/>
    </row>
    <row r="29" spans="1:10" x14ac:dyDescent="0.3">
      <c r="A29" s="107" t="s">
        <v>292</v>
      </c>
      <c r="B29" s="110"/>
      <c r="C29" s="109" t="s">
        <v>291</v>
      </c>
      <c r="D29" s="108" t="s">
        <v>294</v>
      </c>
      <c r="E29" s="117" t="s">
        <v>295</v>
      </c>
      <c r="F29" s="110">
        <v>250</v>
      </c>
      <c r="G29" s="130">
        <v>43155</v>
      </c>
      <c r="H29" s="116">
        <v>43157</v>
      </c>
      <c r="I29" s="117" t="s">
        <v>354</v>
      </c>
      <c r="J29" s="108" t="s">
        <v>310</v>
      </c>
    </row>
    <row r="30" spans="1:10" x14ac:dyDescent="0.3">
      <c r="A30" s="107" t="s">
        <v>293</v>
      </c>
      <c r="B30" s="110"/>
      <c r="C30" s="109" t="s">
        <v>107</v>
      </c>
      <c r="D30" s="108" t="s">
        <v>294</v>
      </c>
      <c r="E30" s="117" t="s">
        <v>295</v>
      </c>
      <c r="F30" s="110">
        <v>160</v>
      </c>
      <c r="G30" s="130">
        <v>43155</v>
      </c>
      <c r="H30" s="116">
        <v>43157</v>
      </c>
      <c r="I30" s="117" t="s">
        <v>354</v>
      </c>
      <c r="J30" s="108" t="s">
        <v>310</v>
      </c>
    </row>
    <row r="31" spans="1:10" x14ac:dyDescent="0.3">
      <c r="A31" s="107" t="s">
        <v>311</v>
      </c>
      <c r="B31" s="108" t="s">
        <v>314</v>
      </c>
      <c r="C31" s="109" t="s">
        <v>312</v>
      </c>
      <c r="D31" s="130">
        <v>43090</v>
      </c>
      <c r="E31" s="111">
        <v>42755</v>
      </c>
      <c r="F31" s="110">
        <v>37</v>
      </c>
      <c r="G31" s="110"/>
      <c r="H31" s="130"/>
      <c r="I31" s="111" t="s">
        <v>108</v>
      </c>
      <c r="J31" s="108" t="s">
        <v>310</v>
      </c>
    </row>
    <row r="32" spans="1:10" x14ac:dyDescent="0.3">
      <c r="A32" s="107" t="s">
        <v>313</v>
      </c>
      <c r="B32" s="108" t="s">
        <v>317</v>
      </c>
      <c r="C32" s="109" t="s">
        <v>315</v>
      </c>
      <c r="D32" s="130">
        <v>43090</v>
      </c>
      <c r="E32" s="111">
        <v>43132</v>
      </c>
      <c r="F32" s="110">
        <v>22</v>
      </c>
      <c r="G32" s="130">
        <v>43178</v>
      </c>
      <c r="H32" s="130">
        <v>43178</v>
      </c>
      <c r="I32" s="111" t="s">
        <v>108</v>
      </c>
      <c r="J32" s="108" t="s">
        <v>310</v>
      </c>
    </row>
    <row r="33" spans="1:10" x14ac:dyDescent="0.3">
      <c r="A33" s="4" t="s">
        <v>316</v>
      </c>
      <c r="B33" s="21" t="s">
        <v>320</v>
      </c>
      <c r="C33" s="17" t="s">
        <v>318</v>
      </c>
      <c r="D33" s="113">
        <v>43095</v>
      </c>
      <c r="E33" s="26">
        <v>43151</v>
      </c>
      <c r="F33" s="40">
        <v>40</v>
      </c>
      <c r="G33" s="113">
        <v>43207</v>
      </c>
      <c r="H33" s="113">
        <v>43207</v>
      </c>
      <c r="I33" s="26" t="s">
        <v>108</v>
      </c>
      <c r="J33" s="21" t="s">
        <v>289</v>
      </c>
    </row>
    <row r="34" spans="1:10" x14ac:dyDescent="0.3">
      <c r="A34" s="4" t="s">
        <v>319</v>
      </c>
      <c r="B34" s="21" t="s">
        <v>321</v>
      </c>
      <c r="C34" s="17" t="s">
        <v>322</v>
      </c>
      <c r="D34" s="113">
        <v>43095</v>
      </c>
      <c r="E34" s="26">
        <v>43151</v>
      </c>
      <c r="F34" s="40">
        <v>40</v>
      </c>
      <c r="G34" s="113">
        <v>43207</v>
      </c>
      <c r="H34" s="113">
        <v>43207</v>
      </c>
      <c r="I34" s="26" t="s">
        <v>108</v>
      </c>
      <c r="J34" s="21" t="s">
        <v>289</v>
      </c>
    </row>
    <row r="35" spans="1:10" x14ac:dyDescent="0.3">
      <c r="A35" s="107" t="s">
        <v>323</v>
      </c>
      <c r="B35" s="108" t="s">
        <v>324</v>
      </c>
      <c r="C35" s="109" t="s">
        <v>325</v>
      </c>
      <c r="D35" s="130">
        <v>43095</v>
      </c>
      <c r="E35" s="111">
        <v>43160</v>
      </c>
      <c r="F35" s="110">
        <v>120</v>
      </c>
      <c r="G35" s="130">
        <v>43150</v>
      </c>
      <c r="H35" s="130">
        <v>43151</v>
      </c>
      <c r="I35" s="111" t="s">
        <v>108</v>
      </c>
      <c r="J35" s="108" t="s">
        <v>85</v>
      </c>
    </row>
    <row r="36" spans="1:10" x14ac:dyDescent="0.3">
      <c r="A36" s="107" t="s">
        <v>326</v>
      </c>
      <c r="B36" s="108" t="s">
        <v>327</v>
      </c>
      <c r="C36" s="109" t="s">
        <v>35</v>
      </c>
      <c r="D36" s="130">
        <v>43095</v>
      </c>
      <c r="E36" s="111">
        <v>43160</v>
      </c>
      <c r="F36" s="110">
        <v>93</v>
      </c>
      <c r="G36" s="130">
        <v>43173</v>
      </c>
      <c r="H36" s="130">
        <v>43174</v>
      </c>
      <c r="I36" s="117" t="s">
        <v>108</v>
      </c>
      <c r="J36" s="108" t="s">
        <v>310</v>
      </c>
    </row>
    <row r="37" spans="1:10" x14ac:dyDescent="0.3">
      <c r="A37" s="107" t="s">
        <v>328</v>
      </c>
      <c r="B37" s="108" t="s">
        <v>329</v>
      </c>
      <c r="C37" s="109" t="s">
        <v>37</v>
      </c>
      <c r="D37" s="130">
        <v>43095</v>
      </c>
      <c r="E37" s="111">
        <v>42781</v>
      </c>
      <c r="F37" s="110">
        <v>77</v>
      </c>
      <c r="G37" s="130">
        <v>43168</v>
      </c>
      <c r="H37" s="130">
        <v>43168</v>
      </c>
      <c r="I37" s="111" t="s">
        <v>108</v>
      </c>
      <c r="J37" s="108" t="s">
        <v>310</v>
      </c>
    </row>
    <row r="38" spans="1:10" hidden="1" x14ac:dyDescent="0.3">
      <c r="A38" s="107" t="s">
        <v>330</v>
      </c>
      <c r="B38" s="108" t="s">
        <v>331</v>
      </c>
      <c r="C38" s="109" t="s">
        <v>332</v>
      </c>
      <c r="D38" s="130">
        <v>43108</v>
      </c>
      <c r="E38" s="111">
        <v>43167</v>
      </c>
      <c r="F38" s="110">
        <v>194</v>
      </c>
      <c r="G38" s="130">
        <v>43164</v>
      </c>
      <c r="H38" s="130">
        <v>43164</v>
      </c>
      <c r="I38" s="111" t="s">
        <v>108</v>
      </c>
      <c r="J38" s="108" t="s">
        <v>310</v>
      </c>
    </row>
    <row r="39" spans="1:10" x14ac:dyDescent="0.3">
      <c r="A39" s="107" t="s">
        <v>333</v>
      </c>
      <c r="B39" s="108" t="s">
        <v>334</v>
      </c>
      <c r="C39" s="109" t="s">
        <v>63</v>
      </c>
      <c r="D39" s="130">
        <v>42670</v>
      </c>
      <c r="E39" s="111">
        <v>43174</v>
      </c>
      <c r="F39" s="110">
        <v>68</v>
      </c>
      <c r="G39" s="130">
        <v>43169</v>
      </c>
      <c r="H39" s="130">
        <v>43169</v>
      </c>
      <c r="I39" s="111" t="s">
        <v>108</v>
      </c>
      <c r="J39" s="108" t="s">
        <v>289</v>
      </c>
    </row>
    <row r="40" spans="1:10" x14ac:dyDescent="0.3">
      <c r="A40" s="107" t="s">
        <v>335</v>
      </c>
      <c r="B40" s="108" t="s">
        <v>336</v>
      </c>
      <c r="C40" s="109" t="s">
        <v>104</v>
      </c>
      <c r="D40" s="130">
        <v>43123</v>
      </c>
      <c r="E40" s="111">
        <v>43174</v>
      </c>
      <c r="F40" s="110">
        <v>54</v>
      </c>
      <c r="G40" s="110"/>
      <c r="H40" s="130"/>
      <c r="I40" s="111" t="s">
        <v>108</v>
      </c>
      <c r="J40" s="108" t="s">
        <v>454</v>
      </c>
    </row>
    <row r="41" spans="1:10" x14ac:dyDescent="0.3">
      <c r="A41" s="107" t="s">
        <v>337</v>
      </c>
      <c r="B41" s="108" t="s">
        <v>338</v>
      </c>
      <c r="C41" s="109" t="s">
        <v>339</v>
      </c>
      <c r="D41" s="130">
        <v>43123</v>
      </c>
      <c r="E41" s="111">
        <v>43174</v>
      </c>
      <c r="F41" s="110">
        <v>15</v>
      </c>
      <c r="G41" s="110"/>
      <c r="H41" s="130"/>
      <c r="I41" s="111" t="s">
        <v>108</v>
      </c>
      <c r="J41" s="108" t="s">
        <v>454</v>
      </c>
    </row>
    <row r="42" spans="1:10" x14ac:dyDescent="0.3">
      <c r="A42" s="107" t="s">
        <v>340</v>
      </c>
      <c r="B42" s="108" t="s">
        <v>341</v>
      </c>
      <c r="C42" s="109" t="s">
        <v>342</v>
      </c>
      <c r="D42" s="130">
        <v>43123</v>
      </c>
      <c r="E42" s="111">
        <v>43174</v>
      </c>
      <c r="F42" s="110">
        <v>44</v>
      </c>
      <c r="G42" s="110"/>
      <c r="H42" s="130"/>
      <c r="I42" s="111" t="s">
        <v>108</v>
      </c>
      <c r="J42" s="108" t="s">
        <v>454</v>
      </c>
    </row>
    <row r="43" spans="1:10" hidden="1" x14ac:dyDescent="0.3">
      <c r="A43" s="107" t="s">
        <v>343</v>
      </c>
      <c r="B43" s="108" t="s">
        <v>344</v>
      </c>
      <c r="C43" s="109" t="s">
        <v>72</v>
      </c>
      <c r="D43" s="130">
        <v>43130</v>
      </c>
      <c r="E43" s="111">
        <v>43160</v>
      </c>
      <c r="F43" s="110">
        <v>132</v>
      </c>
      <c r="G43" s="130">
        <v>43162</v>
      </c>
      <c r="H43" s="130">
        <v>43162</v>
      </c>
      <c r="I43" s="111" t="s">
        <v>108</v>
      </c>
      <c r="J43" s="108" t="s">
        <v>310</v>
      </c>
    </row>
    <row r="44" spans="1:10" x14ac:dyDescent="0.3">
      <c r="A44" s="107" t="s">
        <v>345</v>
      </c>
      <c r="B44" s="108" t="s">
        <v>77</v>
      </c>
      <c r="C44" s="109" t="s">
        <v>103</v>
      </c>
      <c r="D44" s="130">
        <v>43130</v>
      </c>
      <c r="E44" s="111">
        <v>43160</v>
      </c>
      <c r="F44" s="110">
        <v>132</v>
      </c>
      <c r="G44" s="130">
        <v>43164</v>
      </c>
      <c r="H44" s="130">
        <v>43166</v>
      </c>
      <c r="I44" s="111" t="s">
        <v>108</v>
      </c>
      <c r="J44" s="108" t="s">
        <v>310</v>
      </c>
    </row>
    <row r="45" spans="1:10" x14ac:dyDescent="0.3">
      <c r="A45" s="107" t="s">
        <v>346</v>
      </c>
      <c r="B45" s="108" t="s">
        <v>78</v>
      </c>
      <c r="C45" s="109" t="s">
        <v>347</v>
      </c>
      <c r="D45" s="130">
        <v>43130</v>
      </c>
      <c r="E45" s="111">
        <v>43160</v>
      </c>
      <c r="F45" s="110">
        <v>61</v>
      </c>
      <c r="G45" s="130">
        <v>43166</v>
      </c>
      <c r="H45" s="130">
        <v>43167</v>
      </c>
      <c r="I45" s="111" t="s">
        <v>108</v>
      </c>
      <c r="J45" s="108" t="s">
        <v>310</v>
      </c>
    </row>
    <row r="46" spans="1:10" x14ac:dyDescent="0.3">
      <c r="A46" s="107" t="s">
        <v>348</v>
      </c>
      <c r="B46" s="108" t="s">
        <v>79</v>
      </c>
      <c r="C46" s="109" t="s">
        <v>349</v>
      </c>
      <c r="D46" s="130">
        <v>43130</v>
      </c>
      <c r="E46" s="111">
        <v>43160</v>
      </c>
      <c r="F46" s="110">
        <v>122</v>
      </c>
      <c r="G46" s="110"/>
      <c r="H46" s="130"/>
      <c r="I46" s="111" t="s">
        <v>108</v>
      </c>
      <c r="J46" s="108" t="s">
        <v>310</v>
      </c>
    </row>
    <row r="47" spans="1:10" x14ac:dyDescent="0.3">
      <c r="A47" s="107" t="s">
        <v>350</v>
      </c>
      <c r="B47" s="108" t="s">
        <v>351</v>
      </c>
      <c r="C47" s="109" t="s">
        <v>21</v>
      </c>
      <c r="D47" s="130">
        <v>43130</v>
      </c>
      <c r="E47" s="111">
        <v>43160</v>
      </c>
      <c r="F47" s="110">
        <v>40</v>
      </c>
      <c r="G47" s="110"/>
      <c r="H47" s="130"/>
      <c r="I47" s="111" t="s">
        <v>108</v>
      </c>
      <c r="J47" s="108" t="s">
        <v>310</v>
      </c>
    </row>
    <row r="48" spans="1:10" x14ac:dyDescent="0.3">
      <c r="A48" s="107" t="s">
        <v>352</v>
      </c>
      <c r="B48" s="108" t="s">
        <v>80</v>
      </c>
      <c r="C48" s="109" t="s">
        <v>66</v>
      </c>
      <c r="D48" s="130">
        <v>43130</v>
      </c>
      <c r="E48" s="111">
        <v>43160</v>
      </c>
      <c r="F48" s="110">
        <v>64</v>
      </c>
      <c r="G48" s="110"/>
      <c r="H48" s="130"/>
      <c r="I48" s="111" t="s">
        <v>108</v>
      </c>
      <c r="J48" s="108" t="s">
        <v>310</v>
      </c>
    </row>
    <row r="49" spans="1:10" x14ac:dyDescent="0.3">
      <c r="A49" s="4" t="s">
        <v>376</v>
      </c>
      <c r="B49" s="21" t="s">
        <v>367</v>
      </c>
      <c r="C49" s="17" t="s">
        <v>389</v>
      </c>
      <c r="D49" s="113">
        <v>43133</v>
      </c>
      <c r="E49" s="26">
        <v>43192</v>
      </c>
      <c r="F49" s="40">
        <v>211</v>
      </c>
      <c r="G49" s="133"/>
      <c r="H49" s="133"/>
      <c r="I49" s="135"/>
      <c r="J49" s="134"/>
    </row>
    <row r="50" spans="1:10" x14ac:dyDescent="0.3">
      <c r="A50" s="4" t="s">
        <v>377</v>
      </c>
      <c r="B50" s="21" t="s">
        <v>368</v>
      </c>
      <c r="C50" s="17" t="s">
        <v>388</v>
      </c>
      <c r="D50" s="113">
        <v>43133</v>
      </c>
      <c r="E50" s="26">
        <v>43192</v>
      </c>
      <c r="F50" s="40">
        <v>42</v>
      </c>
      <c r="G50" s="133"/>
      <c r="H50" s="133"/>
      <c r="I50" s="135"/>
      <c r="J50" s="134"/>
    </row>
    <row r="51" spans="1:10" x14ac:dyDescent="0.3">
      <c r="A51" s="4" t="s">
        <v>378</v>
      </c>
      <c r="B51" s="21" t="s">
        <v>369</v>
      </c>
      <c r="C51" s="17" t="s">
        <v>387</v>
      </c>
      <c r="D51" s="113">
        <v>43133</v>
      </c>
      <c r="E51" s="26">
        <v>43222</v>
      </c>
      <c r="F51" s="40">
        <v>72</v>
      </c>
      <c r="G51" s="133"/>
      <c r="H51" s="133"/>
      <c r="I51" s="135"/>
      <c r="J51" s="134"/>
    </row>
    <row r="52" spans="1:10" x14ac:dyDescent="0.3">
      <c r="A52" s="4" t="s">
        <v>379</v>
      </c>
      <c r="B52" s="21" t="s">
        <v>370</v>
      </c>
      <c r="C52" s="17" t="s">
        <v>386</v>
      </c>
      <c r="D52" s="113">
        <v>43133</v>
      </c>
      <c r="E52" s="26">
        <v>43222</v>
      </c>
      <c r="F52" s="40">
        <v>108</v>
      </c>
      <c r="G52" s="133"/>
      <c r="H52" s="133"/>
      <c r="I52" s="135"/>
      <c r="J52" s="134"/>
    </row>
    <row r="53" spans="1:10" x14ac:dyDescent="0.3">
      <c r="A53" s="4" t="s">
        <v>380</v>
      </c>
      <c r="B53" s="21" t="s">
        <v>371</v>
      </c>
      <c r="C53" s="17" t="s">
        <v>385</v>
      </c>
      <c r="D53" s="113">
        <v>43133</v>
      </c>
      <c r="E53" s="26">
        <v>43222</v>
      </c>
      <c r="F53" s="40">
        <v>84</v>
      </c>
      <c r="G53" s="133"/>
      <c r="H53" s="133"/>
      <c r="I53" s="135"/>
      <c r="J53" s="134"/>
    </row>
    <row r="54" spans="1:10" x14ac:dyDescent="0.3">
      <c r="A54" s="107" t="s">
        <v>382</v>
      </c>
      <c r="B54" s="108" t="s">
        <v>373</v>
      </c>
      <c r="C54" s="109" t="s">
        <v>384</v>
      </c>
      <c r="D54" s="130">
        <v>43153</v>
      </c>
      <c r="E54" s="111">
        <v>43179</v>
      </c>
      <c r="F54" s="110">
        <v>136</v>
      </c>
      <c r="G54" s="163">
        <v>39551</v>
      </c>
      <c r="H54" s="163">
        <v>43203</v>
      </c>
      <c r="I54" s="117" t="s">
        <v>108</v>
      </c>
      <c r="J54" s="164"/>
    </row>
    <row r="55" spans="1:10" x14ac:dyDescent="0.3">
      <c r="A55" s="107" t="s">
        <v>383</v>
      </c>
      <c r="B55" s="108" t="s">
        <v>374</v>
      </c>
      <c r="C55" s="109" t="s">
        <v>375</v>
      </c>
      <c r="D55" s="130">
        <v>43153</v>
      </c>
      <c r="E55" s="111">
        <v>43181</v>
      </c>
      <c r="F55" s="110">
        <v>114</v>
      </c>
      <c r="G55" s="163">
        <v>43203</v>
      </c>
      <c r="H55" s="163">
        <v>43204</v>
      </c>
      <c r="I55" s="117" t="s">
        <v>108</v>
      </c>
      <c r="J55" s="164"/>
    </row>
    <row r="56" spans="1:10" x14ac:dyDescent="0.3">
      <c r="A56" s="4" t="s">
        <v>396</v>
      </c>
      <c r="B56" s="40"/>
      <c r="C56" s="17" t="s">
        <v>397</v>
      </c>
      <c r="D56" s="40">
        <v>190</v>
      </c>
      <c r="F56" s="40">
        <v>190</v>
      </c>
    </row>
    <row r="57" spans="1:10" x14ac:dyDescent="0.3">
      <c r="A57" s="4" t="s">
        <v>398</v>
      </c>
      <c r="B57" s="40"/>
      <c r="C57" s="17" t="s">
        <v>399</v>
      </c>
      <c r="D57" s="40">
        <v>130</v>
      </c>
      <c r="F57" s="40">
        <v>130</v>
      </c>
    </row>
    <row r="58" spans="1:10" x14ac:dyDescent="0.3">
      <c r="A58" s="4" t="s">
        <v>400</v>
      </c>
      <c r="B58" s="40"/>
      <c r="C58" s="17" t="s">
        <v>401</v>
      </c>
      <c r="D58" s="40">
        <v>66</v>
      </c>
      <c r="F58" s="40">
        <v>66</v>
      </c>
    </row>
    <row r="59" spans="1:10" x14ac:dyDescent="0.3">
      <c r="A59" s="4" t="s">
        <v>402</v>
      </c>
      <c r="B59" s="40"/>
      <c r="C59" s="17" t="s">
        <v>403</v>
      </c>
      <c r="D59" s="40">
        <v>66</v>
      </c>
      <c r="F59" s="40">
        <v>66</v>
      </c>
    </row>
    <row r="60" spans="1:10" x14ac:dyDescent="0.3">
      <c r="A60" s="4" t="s">
        <v>404</v>
      </c>
      <c r="B60" s="40"/>
      <c r="C60" s="17" t="s">
        <v>405</v>
      </c>
      <c r="D60" s="40">
        <v>114</v>
      </c>
      <c r="F60" s="40">
        <v>114</v>
      </c>
    </row>
    <row r="61" spans="1:10" x14ac:dyDescent="0.3">
      <c r="A61" s="4" t="s">
        <v>406</v>
      </c>
      <c r="B61" s="40"/>
      <c r="C61" s="17" t="s">
        <v>407</v>
      </c>
      <c r="D61" s="40">
        <v>114</v>
      </c>
      <c r="F61" s="40">
        <v>114</v>
      </c>
    </row>
    <row r="62" spans="1:10" x14ac:dyDescent="0.3">
      <c r="A62" s="4" t="s">
        <v>408</v>
      </c>
      <c r="B62" s="40"/>
      <c r="C62" s="17" t="s">
        <v>409</v>
      </c>
      <c r="D62" s="40">
        <v>114</v>
      </c>
      <c r="F62" s="40">
        <v>114</v>
      </c>
    </row>
    <row r="63" spans="1:10" x14ac:dyDescent="0.3">
      <c r="A63" s="4" t="s">
        <v>410</v>
      </c>
      <c r="B63" s="40"/>
      <c r="C63" s="17" t="s">
        <v>411</v>
      </c>
      <c r="D63" s="40">
        <v>114</v>
      </c>
      <c r="F63" s="40">
        <v>114</v>
      </c>
    </row>
    <row r="64" spans="1:10" x14ac:dyDescent="0.3">
      <c r="A64" s="4" t="s">
        <v>412</v>
      </c>
      <c r="B64" s="40"/>
      <c r="C64" s="17" t="s">
        <v>413</v>
      </c>
      <c r="D64" s="40">
        <v>138</v>
      </c>
      <c r="F64" s="40">
        <v>138</v>
      </c>
    </row>
    <row r="65" spans="1:6" x14ac:dyDescent="0.3">
      <c r="A65" s="4" t="s">
        <v>414</v>
      </c>
      <c r="B65" s="40"/>
      <c r="C65" s="17" t="s">
        <v>415</v>
      </c>
      <c r="D65" s="40">
        <v>138</v>
      </c>
      <c r="F65" s="40">
        <v>138</v>
      </c>
    </row>
    <row r="66" spans="1:6" x14ac:dyDescent="0.3">
      <c r="A66" s="142" t="s">
        <v>416</v>
      </c>
      <c r="B66" s="143" t="s">
        <v>417</v>
      </c>
      <c r="C66" s="144" t="s">
        <v>42</v>
      </c>
      <c r="D66" s="145">
        <v>50</v>
      </c>
      <c r="F66" s="145">
        <v>50</v>
      </c>
    </row>
    <row r="67" spans="1:6" x14ac:dyDescent="0.3">
      <c r="A67" s="4" t="s">
        <v>424</v>
      </c>
      <c r="B67" s="21" t="s">
        <v>425</v>
      </c>
      <c r="C67" s="17" t="s">
        <v>426</v>
      </c>
      <c r="D67" s="40">
        <v>273</v>
      </c>
      <c r="F67" s="40">
        <v>273</v>
      </c>
    </row>
    <row r="68" spans="1:6" x14ac:dyDescent="0.3">
      <c r="A68" s="4" t="s">
        <v>427</v>
      </c>
      <c r="B68" s="21" t="s">
        <v>428</v>
      </c>
      <c r="C68" s="17" t="s">
        <v>429</v>
      </c>
      <c r="D68" s="40">
        <v>83</v>
      </c>
      <c r="F68" s="40">
        <v>83</v>
      </c>
    </row>
    <row r="69" spans="1:6" x14ac:dyDescent="0.3">
      <c r="A69" s="4" t="s">
        <v>430</v>
      </c>
      <c r="B69" s="21" t="s">
        <v>431</v>
      </c>
      <c r="C69" s="17" t="s">
        <v>17</v>
      </c>
      <c r="D69" s="40">
        <v>45</v>
      </c>
      <c r="F69" s="40">
        <v>45</v>
      </c>
    </row>
    <row r="70" spans="1:6" x14ac:dyDescent="0.3">
      <c r="A70" s="4" t="s">
        <v>432</v>
      </c>
      <c r="B70" s="21" t="s">
        <v>433</v>
      </c>
      <c r="C70" s="17" t="s">
        <v>24</v>
      </c>
      <c r="D70" s="40">
        <v>178</v>
      </c>
      <c r="F70" s="40">
        <v>178</v>
      </c>
    </row>
    <row r="71" spans="1:6" x14ac:dyDescent="0.3">
      <c r="A71" s="4" t="s">
        <v>438</v>
      </c>
      <c r="B71" s="40"/>
      <c r="C71" s="17" t="s">
        <v>444</v>
      </c>
      <c r="D71" s="40">
        <v>48</v>
      </c>
      <c r="F71" s="40">
        <v>48</v>
      </c>
    </row>
    <row r="72" spans="1:6" x14ac:dyDescent="0.3">
      <c r="A72" s="4" t="s">
        <v>439</v>
      </c>
      <c r="B72" s="40"/>
      <c r="C72" s="17" t="s">
        <v>443</v>
      </c>
      <c r="D72" s="40">
        <v>72</v>
      </c>
      <c r="F72" s="40">
        <v>72</v>
      </c>
    </row>
    <row r="73" spans="1:6" x14ac:dyDescent="0.3">
      <c r="A73" s="4" t="s">
        <v>440</v>
      </c>
      <c r="B73" s="40"/>
      <c r="C73" s="17" t="s">
        <v>445</v>
      </c>
      <c r="D73" s="40">
        <v>24</v>
      </c>
      <c r="F73" s="40">
        <v>24</v>
      </c>
    </row>
    <row r="74" spans="1:6" x14ac:dyDescent="0.3">
      <c r="A74" s="4" t="s">
        <v>441</v>
      </c>
      <c r="B74" s="40"/>
      <c r="C74" s="17" t="s">
        <v>446</v>
      </c>
      <c r="D74" s="40">
        <v>40</v>
      </c>
      <c r="F74" s="40">
        <v>40</v>
      </c>
    </row>
    <row r="75" spans="1:6" x14ac:dyDescent="0.3">
      <c r="A75" s="4" t="s">
        <v>442</v>
      </c>
      <c r="B75" s="40"/>
      <c r="C75" s="17" t="s">
        <v>447</v>
      </c>
      <c r="D75" s="40">
        <v>24</v>
      </c>
      <c r="F75" s="40">
        <v>24</v>
      </c>
    </row>
    <row r="76" spans="1:6" x14ac:dyDescent="0.3">
      <c r="A76" s="4" t="s">
        <v>495</v>
      </c>
      <c r="B76" s="21" t="s">
        <v>501</v>
      </c>
      <c r="C76" s="17" t="s">
        <v>31</v>
      </c>
      <c r="D76" s="40">
        <v>90</v>
      </c>
      <c r="F76" s="40">
        <v>90</v>
      </c>
    </row>
    <row r="77" spans="1:6" x14ac:dyDescent="0.3">
      <c r="A77" s="4" t="s">
        <v>496</v>
      </c>
      <c r="B77" s="21" t="s">
        <v>502</v>
      </c>
      <c r="C77" s="17" t="s">
        <v>508</v>
      </c>
      <c r="D77" s="40">
        <v>24</v>
      </c>
      <c r="F77" s="40">
        <v>24</v>
      </c>
    </row>
    <row r="78" spans="1:6" x14ac:dyDescent="0.3">
      <c r="A78" s="4" t="s">
        <v>497</v>
      </c>
      <c r="B78" s="21" t="s">
        <v>503</v>
      </c>
      <c r="C78" s="17" t="s">
        <v>494</v>
      </c>
      <c r="D78" s="40">
        <v>135</v>
      </c>
      <c r="F78" s="40">
        <v>135</v>
      </c>
    </row>
    <row r="79" spans="1:6" x14ac:dyDescent="0.3">
      <c r="A79" s="4" t="s">
        <v>498</v>
      </c>
      <c r="B79" s="21" t="s">
        <v>504</v>
      </c>
      <c r="C79" s="17" t="s">
        <v>24</v>
      </c>
      <c r="D79" s="40">
        <v>135</v>
      </c>
      <c r="F79" s="40">
        <v>135</v>
      </c>
    </row>
    <row r="80" spans="1:6" x14ac:dyDescent="0.3">
      <c r="A80" s="4" t="s">
        <v>499</v>
      </c>
      <c r="B80" s="21" t="s">
        <v>505</v>
      </c>
      <c r="C80" s="17" t="s">
        <v>510</v>
      </c>
      <c r="D80" s="40">
        <v>390</v>
      </c>
      <c r="F80" s="40">
        <v>390</v>
      </c>
    </row>
    <row r="81" spans="1:6" x14ac:dyDescent="0.3">
      <c r="A81" s="4" t="s">
        <v>500</v>
      </c>
      <c r="B81" s="21" t="s">
        <v>506</v>
      </c>
      <c r="C81" s="17" t="s">
        <v>511</v>
      </c>
      <c r="D81" s="40">
        <v>152</v>
      </c>
      <c r="F81" s="40">
        <v>152</v>
      </c>
    </row>
    <row r="82" spans="1:6" x14ac:dyDescent="0.3">
      <c r="A82" s="4" t="s">
        <v>507</v>
      </c>
      <c r="B82" s="21" t="s">
        <v>509</v>
      </c>
      <c r="C82" s="17" t="s">
        <v>512</v>
      </c>
      <c r="D82" s="40">
        <v>90</v>
      </c>
    </row>
  </sheetData>
  <autoFilter ref="A2:J2" xr:uid="{00000000-0009-0000-0000-000009000000}"/>
  <pageMargins left="0.25" right="0.25" top="0.75" bottom="0.75" header="0.3" footer="0.3"/>
  <pageSetup paperSize="9" scale="51" orientation="landscape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>
    <pageSetUpPr fitToPage="1"/>
  </sheetPr>
  <dimension ref="A2:J11"/>
  <sheetViews>
    <sheetView zoomScale="80" zoomScaleNormal="80" workbookViewId="0">
      <pane xSplit="9" ySplit="2" topLeftCell="J3" activePane="bottomRight" state="frozen"/>
      <selection pane="topRight" activeCell="H1" sqref="H1"/>
      <selection pane="bottomLeft" activeCell="A3" sqref="A3"/>
      <selection pane="bottomRight" activeCell="I7" sqref="I7"/>
    </sheetView>
  </sheetViews>
  <sheetFormatPr baseColWidth="10" defaultRowHeight="14.4" x14ac:dyDescent="0.3"/>
  <cols>
    <col min="1" max="1" width="14" customWidth="1"/>
    <col min="2" max="2" width="10.88671875" style="49" customWidth="1"/>
    <col min="3" max="3" width="47.88671875" style="15" customWidth="1"/>
    <col min="4" max="4" width="9.33203125" style="22" customWidth="1"/>
    <col min="5" max="5" width="12.109375" customWidth="1"/>
    <col min="6" max="6" width="15.5546875" style="2" bestFit="1" customWidth="1"/>
    <col min="7" max="7" width="18.88671875" style="22" bestFit="1" customWidth="1"/>
    <col min="8" max="9" width="14.44140625" customWidth="1"/>
    <col min="10" max="10" width="26.6640625" customWidth="1"/>
  </cols>
  <sheetData>
    <row r="2" spans="1:10" ht="65.25" customHeight="1" x14ac:dyDescent="0.3">
      <c r="A2" s="9" t="s">
        <v>231</v>
      </c>
      <c r="B2" s="48" t="s">
        <v>232</v>
      </c>
      <c r="C2" s="16" t="s">
        <v>27</v>
      </c>
      <c r="D2" s="7" t="s">
        <v>28</v>
      </c>
      <c r="E2" s="8" t="s">
        <v>29</v>
      </c>
      <c r="F2" s="19" t="s">
        <v>70</v>
      </c>
      <c r="G2" s="8" t="s">
        <v>233</v>
      </c>
      <c r="H2" s="12" t="s">
        <v>237</v>
      </c>
      <c r="I2" s="12" t="s">
        <v>234</v>
      </c>
      <c r="J2" s="13" t="s">
        <v>69</v>
      </c>
    </row>
    <row r="3" spans="1:10" x14ac:dyDescent="0.3">
      <c r="A3" s="4" t="s">
        <v>142</v>
      </c>
      <c r="B3" s="1" t="s">
        <v>2</v>
      </c>
      <c r="C3" s="17" t="s">
        <v>143</v>
      </c>
      <c r="D3" s="40">
        <v>175</v>
      </c>
      <c r="E3" s="58">
        <v>42997</v>
      </c>
      <c r="F3" s="59">
        <v>43054</v>
      </c>
      <c r="G3" s="21"/>
      <c r="H3" s="3">
        <v>43027</v>
      </c>
      <c r="I3" s="3">
        <v>43048</v>
      </c>
      <c r="J3" s="1" t="s">
        <v>240</v>
      </c>
    </row>
    <row r="4" spans="1:10" x14ac:dyDescent="0.3">
      <c r="A4" s="4" t="s">
        <v>196</v>
      </c>
      <c r="B4" s="1" t="s">
        <v>38</v>
      </c>
      <c r="C4" s="17" t="s">
        <v>197</v>
      </c>
      <c r="D4" s="40">
        <v>70</v>
      </c>
      <c r="E4" s="41">
        <v>43018</v>
      </c>
      <c r="F4" s="26">
        <v>43132</v>
      </c>
      <c r="G4" s="21"/>
      <c r="H4" s="3">
        <v>43048</v>
      </c>
      <c r="I4" s="3">
        <v>43137</v>
      </c>
      <c r="J4" s="1" t="s">
        <v>240</v>
      </c>
    </row>
    <row r="5" spans="1:10" x14ac:dyDescent="0.3">
      <c r="A5" s="4" t="s">
        <v>198</v>
      </c>
      <c r="B5" s="1" t="s">
        <v>39</v>
      </c>
      <c r="C5" s="17" t="s">
        <v>199</v>
      </c>
      <c r="D5" s="40">
        <v>110</v>
      </c>
      <c r="E5" s="41">
        <v>43018</v>
      </c>
      <c r="F5" s="26">
        <v>43132</v>
      </c>
      <c r="G5" s="10"/>
      <c r="H5" s="3">
        <v>43048</v>
      </c>
      <c r="I5" s="3">
        <v>43137</v>
      </c>
      <c r="J5" s="1" t="s">
        <v>240</v>
      </c>
    </row>
    <row r="6" spans="1:10" x14ac:dyDescent="0.3">
      <c r="A6" s="4" t="s">
        <v>200</v>
      </c>
      <c r="B6" s="1" t="s">
        <v>40</v>
      </c>
      <c r="C6" s="17" t="s">
        <v>201</v>
      </c>
      <c r="D6" s="40">
        <v>130</v>
      </c>
      <c r="E6" s="41">
        <v>43018</v>
      </c>
      <c r="F6" s="26">
        <v>43132</v>
      </c>
      <c r="G6" s="21"/>
      <c r="H6" s="3">
        <v>43048</v>
      </c>
      <c r="I6" s="3">
        <v>43137</v>
      </c>
      <c r="J6" s="1" t="s">
        <v>240</v>
      </c>
    </row>
    <row r="7" spans="1:10" x14ac:dyDescent="0.3">
      <c r="A7" s="4" t="s">
        <v>224</v>
      </c>
      <c r="B7" s="29" t="s">
        <v>52</v>
      </c>
      <c r="C7" s="70" t="s">
        <v>225</v>
      </c>
      <c r="D7" s="40">
        <v>78</v>
      </c>
      <c r="E7" s="41">
        <v>43018</v>
      </c>
      <c r="F7" s="26">
        <v>43191</v>
      </c>
      <c r="G7" s="21"/>
      <c r="H7" s="3">
        <v>43048</v>
      </c>
      <c r="I7" s="3"/>
      <c r="J7" s="1"/>
    </row>
    <row r="8" spans="1:10" x14ac:dyDescent="0.3">
      <c r="A8" s="4" t="s">
        <v>226</v>
      </c>
      <c r="B8" s="29" t="s">
        <v>53</v>
      </c>
      <c r="C8" s="70" t="s">
        <v>227</v>
      </c>
      <c r="D8" s="40">
        <f>20+26+21+11</f>
        <v>78</v>
      </c>
      <c r="E8" s="41">
        <v>43018</v>
      </c>
      <c r="F8" s="26">
        <v>43191</v>
      </c>
      <c r="G8" s="21"/>
      <c r="H8" s="3">
        <v>43048</v>
      </c>
      <c r="I8" s="3"/>
      <c r="J8" s="1"/>
    </row>
    <row r="9" spans="1:10" x14ac:dyDescent="0.3">
      <c r="A9" s="4" t="s">
        <v>228</v>
      </c>
      <c r="B9" s="1" t="s">
        <v>54</v>
      </c>
      <c r="C9" s="70" t="s">
        <v>225</v>
      </c>
      <c r="D9" s="40">
        <v>130</v>
      </c>
      <c r="E9" s="41">
        <v>43018</v>
      </c>
      <c r="F9" s="26">
        <v>43191</v>
      </c>
      <c r="G9" s="21"/>
      <c r="H9" s="3">
        <v>43048</v>
      </c>
      <c r="I9" s="3"/>
      <c r="J9" s="20"/>
    </row>
    <row r="10" spans="1:10" x14ac:dyDescent="0.3">
      <c r="A10" s="4" t="s">
        <v>229</v>
      </c>
      <c r="B10" s="1" t="s">
        <v>56</v>
      </c>
      <c r="C10" s="17" t="s">
        <v>230</v>
      </c>
      <c r="D10" s="40">
        <v>130</v>
      </c>
      <c r="E10" s="41">
        <v>43018</v>
      </c>
      <c r="F10" s="26">
        <v>43191</v>
      </c>
      <c r="G10" s="21"/>
      <c r="H10" s="3">
        <v>43048</v>
      </c>
      <c r="I10" s="3">
        <v>43137</v>
      </c>
      <c r="J10" s="1" t="s">
        <v>240</v>
      </c>
    </row>
    <row r="11" spans="1:10" x14ac:dyDescent="0.3">
      <c r="A11" s="4" t="s">
        <v>323</v>
      </c>
      <c r="B11" s="137" t="s">
        <v>324</v>
      </c>
      <c r="C11" s="70" t="s">
        <v>325</v>
      </c>
      <c r="D11" s="40">
        <v>120</v>
      </c>
      <c r="E11" s="41">
        <v>43095</v>
      </c>
      <c r="F11" s="26">
        <v>43160</v>
      </c>
      <c r="G11" s="21"/>
      <c r="H11" s="3">
        <v>43048</v>
      </c>
      <c r="I11" s="1"/>
      <c r="J11" s="1"/>
    </row>
  </sheetData>
  <autoFilter ref="A2:J4" xr:uid="{00000000-0009-0000-0000-00000A000000}"/>
  <pageMargins left="0.25" right="0.25" top="0.75" bottom="0.75" header="0.3" footer="0.3"/>
  <pageSetup paperSize="9" scale="42" orientation="landscape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>
    <tabColor theme="4" tint="0.39997558519241921"/>
  </sheetPr>
  <dimension ref="A2:L37"/>
  <sheetViews>
    <sheetView zoomScale="75" zoomScaleNormal="75" workbookViewId="0">
      <selection activeCell="J29" sqref="J29"/>
    </sheetView>
  </sheetViews>
  <sheetFormatPr baseColWidth="10" defaultRowHeight="14.4" x14ac:dyDescent="0.3"/>
  <cols>
    <col min="1" max="1" width="14" customWidth="1"/>
    <col min="2" max="2" width="13.6640625" bestFit="1" customWidth="1"/>
    <col min="3" max="3" width="53.5546875" style="15" customWidth="1"/>
    <col min="4" max="4" width="9.33203125" style="22" customWidth="1"/>
    <col min="5" max="5" width="12.109375" customWidth="1"/>
    <col min="6" max="7" width="12.6640625" style="2" customWidth="1"/>
    <col min="8" max="10" width="18.5546875" style="22" customWidth="1"/>
    <col min="11" max="11" width="18" bestFit="1" customWidth="1"/>
    <col min="12" max="12" width="28.6640625" customWidth="1"/>
  </cols>
  <sheetData>
    <row r="2" spans="1:12" ht="65.25" customHeight="1" thickBot="1" x14ac:dyDescent="0.35">
      <c r="A2" s="77" t="s">
        <v>73</v>
      </c>
      <c r="B2" s="6" t="s">
        <v>26</v>
      </c>
      <c r="C2" s="16" t="s">
        <v>27</v>
      </c>
      <c r="D2" s="7" t="s">
        <v>28</v>
      </c>
      <c r="E2" s="54" t="s">
        <v>29</v>
      </c>
      <c r="F2" s="54" t="s">
        <v>70</v>
      </c>
      <c r="G2" s="54" t="s">
        <v>137</v>
      </c>
      <c r="H2" s="54" t="s">
        <v>233</v>
      </c>
      <c r="I2" s="54" t="s">
        <v>236</v>
      </c>
      <c r="J2" s="54" t="s">
        <v>234</v>
      </c>
      <c r="K2" s="56" t="s">
        <v>252</v>
      </c>
      <c r="L2" s="13" t="s">
        <v>69</v>
      </c>
    </row>
    <row r="3" spans="1:12" hidden="1" x14ac:dyDescent="0.3">
      <c r="A3" s="107" t="s">
        <v>243</v>
      </c>
      <c r="B3" s="107"/>
      <c r="C3" s="115" t="s">
        <v>244</v>
      </c>
      <c r="D3" s="108">
        <v>126</v>
      </c>
      <c r="E3" s="116">
        <v>43028</v>
      </c>
      <c r="F3" s="111">
        <v>43074</v>
      </c>
      <c r="G3" s="117" t="s">
        <v>139</v>
      </c>
      <c r="H3" s="108"/>
      <c r="I3" s="116">
        <v>43046</v>
      </c>
      <c r="J3" s="116">
        <v>43069</v>
      </c>
      <c r="K3" s="118" t="s">
        <v>256</v>
      </c>
      <c r="L3" s="118"/>
    </row>
    <row r="4" spans="1:12" hidden="1" x14ac:dyDescent="0.3">
      <c r="A4" s="107" t="s">
        <v>247</v>
      </c>
      <c r="B4" s="107"/>
      <c r="C4" s="115" t="s">
        <v>245</v>
      </c>
      <c r="D4" s="108">
        <v>182</v>
      </c>
      <c r="E4" s="116">
        <v>43028</v>
      </c>
      <c r="F4" s="111">
        <v>43074</v>
      </c>
      <c r="G4" s="117" t="s">
        <v>139</v>
      </c>
      <c r="H4" s="108"/>
      <c r="I4" s="116">
        <v>43048</v>
      </c>
      <c r="J4" s="116">
        <v>43063</v>
      </c>
      <c r="K4" s="118" t="s">
        <v>256</v>
      </c>
      <c r="L4" s="118"/>
    </row>
    <row r="5" spans="1:12" ht="15" hidden="1" thickBot="1" x14ac:dyDescent="0.35">
      <c r="A5" s="119" t="s">
        <v>248</v>
      </c>
      <c r="B5" s="119"/>
      <c r="C5" s="120" t="s">
        <v>246</v>
      </c>
      <c r="D5" s="121">
        <f>99+72</f>
        <v>171</v>
      </c>
      <c r="E5" s="122">
        <v>43028</v>
      </c>
      <c r="F5" s="123">
        <v>43074</v>
      </c>
      <c r="G5" s="124" t="s">
        <v>258</v>
      </c>
      <c r="H5" s="108"/>
      <c r="I5" s="116">
        <v>43049</v>
      </c>
      <c r="J5" s="116">
        <v>43073</v>
      </c>
      <c r="K5" s="118" t="s">
        <v>256</v>
      </c>
      <c r="L5" s="118"/>
    </row>
    <row r="6" spans="1:12" x14ac:dyDescent="0.3">
      <c r="A6" s="86" t="s">
        <v>196</v>
      </c>
      <c r="B6" s="87" t="s">
        <v>38</v>
      </c>
      <c r="C6" s="88" t="s">
        <v>197</v>
      </c>
      <c r="D6" s="82">
        <v>70</v>
      </c>
      <c r="E6" s="89">
        <v>43018</v>
      </c>
      <c r="F6" s="90">
        <v>43132</v>
      </c>
      <c r="G6" s="91" t="s">
        <v>258</v>
      </c>
      <c r="H6" s="125">
        <v>10</v>
      </c>
      <c r="I6" s="3">
        <v>43095</v>
      </c>
      <c r="J6" s="3">
        <v>43130</v>
      </c>
      <c r="K6" s="3">
        <v>43143</v>
      </c>
      <c r="L6" s="1" t="s">
        <v>359</v>
      </c>
    </row>
    <row r="7" spans="1:12" hidden="1" x14ac:dyDescent="0.3">
      <c r="A7" s="92" t="s">
        <v>198</v>
      </c>
      <c r="B7" s="1" t="s">
        <v>39</v>
      </c>
      <c r="C7" s="17" t="s">
        <v>199</v>
      </c>
      <c r="D7" s="40">
        <v>110</v>
      </c>
      <c r="E7" s="41">
        <v>43018</v>
      </c>
      <c r="F7" s="26">
        <v>43132</v>
      </c>
      <c r="G7" s="93" t="s">
        <v>258</v>
      </c>
      <c r="H7" s="125">
        <v>10</v>
      </c>
      <c r="I7" s="3">
        <v>43089</v>
      </c>
      <c r="J7" s="3">
        <v>43130</v>
      </c>
      <c r="K7" s="3">
        <v>43143</v>
      </c>
      <c r="L7" s="1"/>
    </row>
    <row r="8" spans="1:12" ht="15" thickBot="1" x14ac:dyDescent="0.35">
      <c r="A8" s="94" t="s">
        <v>200</v>
      </c>
      <c r="B8" s="95" t="s">
        <v>40</v>
      </c>
      <c r="C8" s="83" t="s">
        <v>653</v>
      </c>
      <c r="D8" s="96">
        <v>130</v>
      </c>
      <c r="E8" s="97">
        <v>43018</v>
      </c>
      <c r="F8" s="98">
        <v>43132</v>
      </c>
      <c r="G8" s="99" t="s">
        <v>258</v>
      </c>
      <c r="H8" s="125">
        <v>10</v>
      </c>
      <c r="I8" s="3">
        <v>43095</v>
      </c>
      <c r="J8" s="3">
        <v>43130</v>
      </c>
      <c r="K8" s="3">
        <v>43130</v>
      </c>
      <c r="L8" s="1"/>
    </row>
    <row r="9" spans="1:12" x14ac:dyDescent="0.3">
      <c r="A9" s="86" t="s">
        <v>224</v>
      </c>
      <c r="B9" s="87" t="s">
        <v>52</v>
      </c>
      <c r="C9" s="88" t="s">
        <v>225</v>
      </c>
      <c r="D9" s="82">
        <v>78</v>
      </c>
      <c r="E9" s="89">
        <v>43018</v>
      </c>
      <c r="F9" s="90">
        <v>43191</v>
      </c>
      <c r="G9" s="91" t="s">
        <v>139</v>
      </c>
      <c r="H9" s="125">
        <v>12</v>
      </c>
      <c r="I9" s="3">
        <v>43092</v>
      </c>
      <c r="J9" s="3">
        <v>43146</v>
      </c>
      <c r="K9" s="3">
        <v>43146</v>
      </c>
      <c r="L9" s="1"/>
    </row>
    <row r="10" spans="1:12" x14ac:dyDescent="0.3">
      <c r="A10" s="92" t="s">
        <v>226</v>
      </c>
      <c r="B10" s="1" t="s">
        <v>53</v>
      </c>
      <c r="C10" s="17" t="s">
        <v>227</v>
      </c>
      <c r="D10" s="40">
        <f>20+26+21+11</f>
        <v>78</v>
      </c>
      <c r="E10" s="41">
        <v>43018</v>
      </c>
      <c r="F10" s="26">
        <v>43191</v>
      </c>
      <c r="G10" s="93" t="s">
        <v>139</v>
      </c>
      <c r="H10" s="125">
        <v>12</v>
      </c>
      <c r="I10" s="3">
        <v>43092</v>
      </c>
      <c r="J10" s="3">
        <v>43146</v>
      </c>
      <c r="K10" s="3">
        <v>43146</v>
      </c>
      <c r="L10" s="1"/>
    </row>
    <row r="11" spans="1:12" x14ac:dyDescent="0.3">
      <c r="A11" s="92" t="s">
        <v>228</v>
      </c>
      <c r="B11" s="1" t="s">
        <v>54</v>
      </c>
      <c r="C11" s="17" t="s">
        <v>225</v>
      </c>
      <c r="D11" s="40">
        <v>130</v>
      </c>
      <c r="E11" s="41">
        <v>43018</v>
      </c>
      <c r="F11" s="26">
        <v>43191</v>
      </c>
      <c r="G11" s="93" t="s">
        <v>139</v>
      </c>
      <c r="H11" s="125">
        <v>12</v>
      </c>
      <c r="I11" s="3">
        <v>43092</v>
      </c>
      <c r="J11" s="3">
        <v>43146</v>
      </c>
      <c r="K11" s="3">
        <v>43146</v>
      </c>
      <c r="L11" s="1"/>
    </row>
    <row r="12" spans="1:12" ht="15" thickBot="1" x14ac:dyDescent="0.35">
      <c r="A12" s="94" t="s">
        <v>229</v>
      </c>
      <c r="B12" s="95" t="s">
        <v>56</v>
      </c>
      <c r="C12" s="83" t="s">
        <v>230</v>
      </c>
      <c r="D12" s="96">
        <v>130</v>
      </c>
      <c r="E12" s="97">
        <v>43018</v>
      </c>
      <c r="F12" s="98">
        <v>43191</v>
      </c>
      <c r="G12" s="99" t="s">
        <v>139</v>
      </c>
      <c r="H12" s="125">
        <v>12</v>
      </c>
      <c r="I12" s="3">
        <v>43092</v>
      </c>
      <c r="J12" s="3">
        <v>43146</v>
      </c>
      <c r="K12" s="3">
        <v>43146</v>
      </c>
      <c r="L12" s="1"/>
    </row>
    <row r="13" spans="1:12" hidden="1" x14ac:dyDescent="0.3">
      <c r="A13" s="86" t="s">
        <v>292</v>
      </c>
      <c r="B13" s="82"/>
      <c r="C13" s="88" t="s">
        <v>291</v>
      </c>
      <c r="D13" s="82">
        <v>250</v>
      </c>
      <c r="E13" s="126" t="s">
        <v>294</v>
      </c>
      <c r="F13" s="127" t="s">
        <v>295</v>
      </c>
      <c r="G13" s="91" t="s">
        <v>355</v>
      </c>
      <c r="H13" s="125">
        <v>18</v>
      </c>
      <c r="I13" s="3">
        <v>43122</v>
      </c>
      <c r="J13" s="3">
        <v>43136</v>
      </c>
      <c r="K13" s="3">
        <v>43136</v>
      </c>
      <c r="L13" s="1"/>
    </row>
    <row r="14" spans="1:12" ht="15" hidden="1" thickBot="1" x14ac:dyDescent="0.35">
      <c r="A14" s="94" t="s">
        <v>293</v>
      </c>
      <c r="B14" s="96"/>
      <c r="C14" s="83" t="s">
        <v>107</v>
      </c>
      <c r="D14" s="96">
        <v>160</v>
      </c>
      <c r="E14" s="128" t="s">
        <v>294</v>
      </c>
      <c r="F14" s="129" t="s">
        <v>295</v>
      </c>
      <c r="G14" s="138" t="s">
        <v>355</v>
      </c>
      <c r="H14" s="139">
        <v>18</v>
      </c>
      <c r="I14" s="85">
        <v>43122</v>
      </c>
      <c r="J14" s="85">
        <v>43141</v>
      </c>
      <c r="K14" s="85">
        <v>43141</v>
      </c>
      <c r="L14" s="20"/>
    </row>
    <row r="15" spans="1:12" hidden="1" x14ac:dyDescent="0.3">
      <c r="A15" s="4" t="s">
        <v>323</v>
      </c>
      <c r="B15" s="137" t="s">
        <v>324</v>
      </c>
      <c r="C15" s="17" t="s">
        <v>325</v>
      </c>
      <c r="D15" s="40">
        <v>120</v>
      </c>
      <c r="E15" s="41">
        <v>43095</v>
      </c>
      <c r="F15" s="26">
        <v>43160</v>
      </c>
      <c r="G15" s="5" t="s">
        <v>139</v>
      </c>
      <c r="H15" s="21"/>
      <c r="I15" s="3">
        <v>43102</v>
      </c>
      <c r="J15" s="3">
        <v>43158</v>
      </c>
      <c r="K15" s="3">
        <v>43158</v>
      </c>
      <c r="L15" s="1"/>
    </row>
    <row r="16" spans="1:12" x14ac:dyDescent="0.3">
      <c r="A16" s="4" t="s">
        <v>518</v>
      </c>
      <c r="B16" s="40"/>
      <c r="C16" s="17" t="s">
        <v>526</v>
      </c>
      <c r="D16" s="40">
        <v>100</v>
      </c>
      <c r="E16" s="1"/>
      <c r="F16" s="5"/>
      <c r="G16" s="5"/>
      <c r="H16" s="21"/>
      <c r="I16" s="3">
        <v>43267</v>
      </c>
      <c r="J16" s="21"/>
      <c r="K16" s="1"/>
      <c r="L16" s="1"/>
    </row>
    <row r="17" spans="1:12" x14ac:dyDescent="0.3">
      <c r="A17" s="4" t="s">
        <v>519</v>
      </c>
      <c r="B17" s="40"/>
      <c r="C17" s="17" t="s">
        <v>527</v>
      </c>
      <c r="D17" s="40">
        <v>190</v>
      </c>
      <c r="E17" s="1"/>
      <c r="F17" s="5"/>
      <c r="G17" s="5"/>
      <c r="H17" s="21"/>
      <c r="I17" s="3">
        <v>43267</v>
      </c>
      <c r="J17" s="21"/>
      <c r="K17" s="1"/>
      <c r="L17" s="1"/>
    </row>
    <row r="18" spans="1:12" x14ac:dyDescent="0.3">
      <c r="A18" s="4" t="s">
        <v>520</v>
      </c>
      <c r="B18" s="40"/>
      <c r="C18" s="17" t="s">
        <v>528</v>
      </c>
      <c r="D18" s="40">
        <v>100</v>
      </c>
      <c r="E18" s="1"/>
      <c r="F18" s="5"/>
      <c r="G18" s="5"/>
      <c r="H18" s="21"/>
      <c r="I18" s="3">
        <v>43267</v>
      </c>
      <c r="J18" s="21"/>
      <c r="K18" s="1"/>
      <c r="L18" s="1"/>
    </row>
    <row r="19" spans="1:12" x14ac:dyDescent="0.3">
      <c r="A19" s="4" t="s">
        <v>521</v>
      </c>
      <c r="B19" s="40"/>
      <c r="C19" s="17" t="s">
        <v>529</v>
      </c>
      <c r="D19" s="40">
        <v>100</v>
      </c>
      <c r="E19" s="1"/>
      <c r="F19" s="5"/>
      <c r="G19" s="5"/>
      <c r="H19" s="21"/>
      <c r="I19" s="21"/>
      <c r="J19" s="21"/>
      <c r="K19" s="1"/>
      <c r="L19" s="1"/>
    </row>
    <row r="20" spans="1:12" x14ac:dyDescent="0.3">
      <c r="A20" s="4" t="s">
        <v>522</v>
      </c>
      <c r="B20" s="40"/>
      <c r="C20" s="17" t="s">
        <v>530</v>
      </c>
      <c r="D20" s="40">
        <v>72</v>
      </c>
      <c r="E20" s="1"/>
      <c r="F20" s="5"/>
      <c r="G20" s="5"/>
      <c r="H20" s="21"/>
      <c r="I20" s="3">
        <v>43244</v>
      </c>
      <c r="J20" s="3">
        <v>43296</v>
      </c>
      <c r="K20" s="1"/>
      <c r="L20" s="1"/>
    </row>
    <row r="21" spans="1:12" x14ac:dyDescent="0.3">
      <c r="A21" s="4" t="s">
        <v>523</v>
      </c>
      <c r="B21" s="40"/>
      <c r="C21" s="17" t="s">
        <v>531</v>
      </c>
      <c r="D21" s="40">
        <v>94</v>
      </c>
      <c r="E21" s="1"/>
      <c r="F21" s="5"/>
      <c r="G21" s="5"/>
      <c r="H21" s="21"/>
      <c r="I21" s="3">
        <v>43244</v>
      </c>
      <c r="J21" s="3">
        <v>43296</v>
      </c>
      <c r="K21" s="1"/>
      <c r="L21" s="1"/>
    </row>
    <row r="22" spans="1:12" x14ac:dyDescent="0.3">
      <c r="A22" s="4" t="s">
        <v>524</v>
      </c>
      <c r="B22" s="40"/>
      <c r="C22" s="17" t="s">
        <v>532</v>
      </c>
      <c r="D22" s="40">
        <v>72</v>
      </c>
      <c r="E22" s="1"/>
      <c r="F22" s="5"/>
      <c r="G22" s="5"/>
      <c r="H22" s="21"/>
      <c r="I22" s="3">
        <v>43244</v>
      </c>
      <c r="J22" s="3">
        <v>43296</v>
      </c>
      <c r="K22" s="1"/>
      <c r="L22" s="1"/>
    </row>
    <row r="23" spans="1:12" x14ac:dyDescent="0.3">
      <c r="A23" s="4" t="s">
        <v>525</v>
      </c>
      <c r="B23" s="40"/>
      <c r="C23" s="17" t="s">
        <v>533</v>
      </c>
      <c r="D23" s="40">
        <v>72</v>
      </c>
      <c r="E23" s="1"/>
      <c r="F23" s="5"/>
      <c r="G23" s="5"/>
      <c r="H23" s="21"/>
      <c r="I23" s="21"/>
      <c r="J23" s="21"/>
      <c r="K23" s="1"/>
      <c r="L23" s="1"/>
    </row>
    <row r="24" spans="1:12" x14ac:dyDescent="0.3">
      <c r="A24" s="4" t="s">
        <v>618</v>
      </c>
      <c r="B24" s="21"/>
      <c r="C24" s="17" t="s">
        <v>634</v>
      </c>
      <c r="D24" s="40">
        <v>9</v>
      </c>
      <c r="E24" s="1"/>
      <c r="F24" s="5"/>
      <c r="G24" s="5"/>
      <c r="H24" s="21"/>
      <c r="I24" s="21"/>
      <c r="J24" s="21"/>
      <c r="K24" s="1"/>
      <c r="L24" s="1"/>
    </row>
    <row r="25" spans="1:12" x14ac:dyDescent="0.3">
      <c r="A25" s="4" t="s">
        <v>619</v>
      </c>
      <c r="B25" s="21"/>
      <c r="C25" s="17" t="s">
        <v>635</v>
      </c>
      <c r="D25" s="40">
        <v>9</v>
      </c>
      <c r="E25" s="1"/>
      <c r="F25" s="5"/>
      <c r="G25" s="5"/>
      <c r="H25" s="21"/>
      <c r="I25" s="21"/>
      <c r="J25" s="21"/>
      <c r="K25" s="1"/>
      <c r="L25" s="1"/>
    </row>
    <row r="26" spans="1:12" x14ac:dyDescent="0.3">
      <c r="A26" s="4" t="s">
        <v>620</v>
      </c>
      <c r="B26" s="21"/>
      <c r="C26" s="17" t="s">
        <v>636</v>
      </c>
      <c r="D26" s="40">
        <v>27</v>
      </c>
      <c r="E26" s="1"/>
      <c r="F26" s="5"/>
      <c r="G26" s="5"/>
      <c r="H26" s="21"/>
      <c r="I26" s="3">
        <v>43278</v>
      </c>
      <c r="J26" s="21"/>
      <c r="K26" s="1"/>
      <c r="L26" s="1"/>
    </row>
    <row r="27" spans="1:12" x14ac:dyDescent="0.3">
      <c r="A27" s="4" t="s">
        <v>621</v>
      </c>
      <c r="B27" s="21"/>
      <c r="C27" s="17" t="s">
        <v>637</v>
      </c>
      <c r="D27" s="40">
        <v>18</v>
      </c>
      <c r="E27" s="1"/>
      <c r="F27" s="5"/>
      <c r="G27" s="5"/>
      <c r="H27" s="21"/>
      <c r="I27" s="3">
        <v>43278</v>
      </c>
      <c r="J27" s="21"/>
      <c r="K27" s="1"/>
      <c r="L27" s="1"/>
    </row>
    <row r="28" spans="1:12" x14ac:dyDescent="0.3">
      <c r="A28" s="4" t="s">
        <v>622</v>
      </c>
      <c r="B28" s="21"/>
      <c r="C28" s="17" t="s">
        <v>638</v>
      </c>
      <c r="D28" s="40">
        <v>18</v>
      </c>
      <c r="E28" s="1"/>
      <c r="F28" s="5"/>
      <c r="G28" s="5"/>
      <c r="H28" s="21"/>
      <c r="I28" s="3">
        <v>43278</v>
      </c>
      <c r="J28" s="21"/>
      <c r="K28" s="1"/>
      <c r="L28" s="1"/>
    </row>
    <row r="29" spans="1:12" x14ac:dyDescent="0.3">
      <c r="A29" s="4" t="s">
        <v>623</v>
      </c>
      <c r="B29" s="21"/>
      <c r="C29" s="17" t="s">
        <v>639</v>
      </c>
      <c r="D29" s="40">
        <v>18</v>
      </c>
      <c r="E29" s="1"/>
      <c r="F29" s="5"/>
      <c r="G29" s="5"/>
      <c r="H29" s="21"/>
      <c r="I29" s="3">
        <v>43278</v>
      </c>
      <c r="J29" s="21"/>
      <c r="K29" s="1"/>
      <c r="L29" s="1"/>
    </row>
    <row r="30" spans="1:12" x14ac:dyDescent="0.3">
      <c r="A30" s="4" t="s">
        <v>624</v>
      </c>
      <c r="B30" s="21"/>
      <c r="C30" s="17" t="s">
        <v>640</v>
      </c>
      <c r="D30" s="40">
        <v>18</v>
      </c>
      <c r="E30" s="1"/>
      <c r="F30" s="5"/>
      <c r="G30" s="5"/>
      <c r="H30" s="21"/>
      <c r="I30" s="21"/>
      <c r="J30" s="21"/>
      <c r="K30" s="1"/>
      <c r="L30" s="1"/>
    </row>
    <row r="31" spans="1:12" x14ac:dyDescent="0.3">
      <c r="A31" s="4" t="s">
        <v>625</v>
      </c>
      <c r="B31" s="21"/>
      <c r="C31" s="17" t="s">
        <v>641</v>
      </c>
      <c r="D31" s="40">
        <v>18</v>
      </c>
      <c r="E31" s="1"/>
      <c r="F31" s="5"/>
      <c r="G31" s="5"/>
      <c r="H31" s="21"/>
      <c r="I31" s="21"/>
      <c r="J31" s="21"/>
      <c r="K31" s="1"/>
      <c r="L31" s="1"/>
    </row>
    <row r="32" spans="1:12" x14ac:dyDescent="0.3">
      <c r="A32" s="4" t="s">
        <v>626</v>
      </c>
      <c r="B32" s="21"/>
      <c r="C32" s="17" t="s">
        <v>642</v>
      </c>
      <c r="D32" s="40">
        <v>18</v>
      </c>
      <c r="E32" s="1"/>
      <c r="F32" s="5"/>
      <c r="G32" s="5"/>
      <c r="H32" s="21"/>
      <c r="I32" s="21"/>
      <c r="J32" s="21"/>
      <c r="K32" s="1"/>
      <c r="L32" s="1"/>
    </row>
    <row r="33" spans="1:12" x14ac:dyDescent="0.3">
      <c r="A33" s="4" t="s">
        <v>627</v>
      </c>
      <c r="B33" s="21"/>
      <c r="C33" s="17" t="s">
        <v>643</v>
      </c>
      <c r="D33" s="40">
        <v>66</v>
      </c>
      <c r="E33" s="1"/>
      <c r="F33" s="5"/>
      <c r="G33" s="5"/>
      <c r="H33" s="21"/>
      <c r="I33" s="21"/>
      <c r="J33" s="21"/>
      <c r="K33" s="1"/>
      <c r="L33" s="1"/>
    </row>
    <row r="34" spans="1:12" x14ac:dyDescent="0.3">
      <c r="A34" s="4" t="s">
        <v>628</v>
      </c>
      <c r="B34" s="21"/>
      <c r="C34" s="17" t="s">
        <v>644</v>
      </c>
      <c r="D34" s="40">
        <v>48</v>
      </c>
      <c r="E34" s="1"/>
      <c r="F34" s="5"/>
      <c r="G34" s="5"/>
      <c r="H34" s="21"/>
      <c r="I34" s="21"/>
      <c r="J34" s="21"/>
      <c r="K34" s="1"/>
      <c r="L34" s="1"/>
    </row>
    <row r="35" spans="1:12" x14ac:dyDescent="0.3">
      <c r="A35" s="4" t="s">
        <v>629</v>
      </c>
      <c r="B35" s="21"/>
      <c r="C35" s="17" t="s">
        <v>645</v>
      </c>
      <c r="D35" s="40">
        <v>18</v>
      </c>
      <c r="E35" s="1"/>
      <c r="F35" s="5"/>
      <c r="G35" s="5"/>
      <c r="H35" s="21"/>
      <c r="I35" s="21"/>
      <c r="J35" s="21"/>
      <c r="K35" s="1"/>
      <c r="L35" s="1"/>
    </row>
    <row r="36" spans="1:12" x14ac:dyDescent="0.3">
      <c r="A36" s="4" t="s">
        <v>630</v>
      </c>
      <c r="B36" s="21"/>
      <c r="C36" s="17" t="s">
        <v>646</v>
      </c>
      <c r="D36" s="40">
        <v>36</v>
      </c>
      <c r="E36" s="1"/>
      <c r="F36" s="5"/>
      <c r="G36" s="5"/>
      <c r="H36" s="21"/>
      <c r="I36" s="21"/>
      <c r="J36" s="21"/>
      <c r="K36" s="1"/>
      <c r="L36" s="1"/>
    </row>
    <row r="37" spans="1:12" x14ac:dyDescent="0.3">
      <c r="A37" s="4" t="s">
        <v>554</v>
      </c>
      <c r="B37" s="21" t="s">
        <v>563</v>
      </c>
      <c r="C37" s="17" t="s">
        <v>104</v>
      </c>
      <c r="D37" s="40">
        <v>48</v>
      </c>
      <c r="E37" s="1"/>
      <c r="F37" s="5"/>
      <c r="G37" s="5"/>
      <c r="H37" s="21"/>
      <c r="I37" s="3">
        <v>43278</v>
      </c>
      <c r="J37" s="21"/>
      <c r="K37" s="1"/>
      <c r="L37" s="1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9"/>
  <dimension ref="A2:K17"/>
  <sheetViews>
    <sheetView topLeftCell="B1" zoomScale="75" zoomScaleNormal="75" workbookViewId="0">
      <selection activeCell="D24" sqref="D24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38.33203125" customWidth="1"/>
  </cols>
  <sheetData>
    <row r="2" spans="1:11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55" t="s">
        <v>236</v>
      </c>
      <c r="J2" s="55" t="s">
        <v>234</v>
      </c>
      <c r="K2" s="73" t="s">
        <v>69</v>
      </c>
    </row>
    <row r="3" spans="1:11" x14ac:dyDescent="0.3">
      <c r="A3" s="25" t="s">
        <v>253</v>
      </c>
      <c r="B3" s="4" t="s">
        <v>194</v>
      </c>
      <c r="C3" s="21" t="s">
        <v>36</v>
      </c>
      <c r="D3" s="17" t="s">
        <v>195</v>
      </c>
      <c r="E3" s="40">
        <v>38</v>
      </c>
      <c r="F3" s="41">
        <v>43018</v>
      </c>
      <c r="G3" s="26">
        <v>43206</v>
      </c>
      <c r="H3" s="26"/>
      <c r="I3" s="3">
        <v>43196</v>
      </c>
      <c r="J3" s="141">
        <v>43203</v>
      </c>
      <c r="K3" s="21"/>
    </row>
    <row r="4" spans="1:11" x14ac:dyDescent="0.3">
      <c r="A4" s="25"/>
      <c r="B4" s="4" t="s">
        <v>379</v>
      </c>
      <c r="C4" s="21" t="s">
        <v>370</v>
      </c>
      <c r="D4" s="17" t="s">
        <v>386</v>
      </c>
      <c r="E4" s="40">
        <v>114</v>
      </c>
      <c r="F4" s="41">
        <v>43133</v>
      </c>
      <c r="G4" s="26">
        <v>43220</v>
      </c>
      <c r="H4" s="26"/>
      <c r="I4" s="3">
        <v>43223</v>
      </c>
      <c r="J4" s="160">
        <v>43232</v>
      </c>
      <c r="K4" s="137"/>
    </row>
    <row r="5" spans="1:11" x14ac:dyDescent="0.3">
      <c r="A5" s="25"/>
      <c r="B5" s="4" t="s">
        <v>380</v>
      </c>
      <c r="C5" s="21" t="s">
        <v>371</v>
      </c>
      <c r="D5" s="17" t="s">
        <v>385</v>
      </c>
      <c r="E5" s="40">
        <v>90</v>
      </c>
      <c r="F5" s="41">
        <v>43133</v>
      </c>
      <c r="G5" s="26">
        <v>43222</v>
      </c>
      <c r="H5" s="26"/>
      <c r="I5" s="3">
        <v>43236</v>
      </c>
      <c r="J5" s="3">
        <v>43254</v>
      </c>
      <c r="K5" s="1"/>
    </row>
    <row r="6" spans="1:11" x14ac:dyDescent="0.3">
      <c r="A6" s="1"/>
      <c r="B6" s="34"/>
      <c r="C6" s="21"/>
      <c r="D6" s="38"/>
      <c r="E6" s="43"/>
      <c r="F6" s="44"/>
      <c r="G6" s="45"/>
      <c r="H6" s="114"/>
      <c r="I6" s="3"/>
      <c r="J6" s="3"/>
      <c r="K6" s="1"/>
    </row>
    <row r="7" spans="1:11" x14ac:dyDescent="0.3">
      <c r="A7" s="1"/>
      <c r="B7" s="4"/>
      <c r="C7" s="21"/>
      <c r="D7" s="17"/>
      <c r="E7" s="40"/>
      <c r="F7" s="41"/>
      <c r="G7" s="26"/>
      <c r="H7" s="114"/>
      <c r="I7" s="3"/>
      <c r="J7" s="3"/>
      <c r="K7" s="1"/>
    </row>
    <row r="8" spans="1:11" x14ac:dyDescent="0.3">
      <c r="A8" s="1"/>
      <c r="B8" s="4"/>
      <c r="C8" s="21"/>
      <c r="D8" s="17"/>
      <c r="E8" s="40"/>
      <c r="F8" s="41"/>
      <c r="G8" s="26"/>
      <c r="H8" s="103"/>
      <c r="I8" s="3"/>
      <c r="J8" s="161"/>
      <c r="K8" s="20"/>
    </row>
    <row r="9" spans="1:11" x14ac:dyDescent="0.3">
      <c r="A9" s="1"/>
      <c r="B9" s="4"/>
      <c r="C9" s="21"/>
      <c r="D9" s="17"/>
      <c r="E9" s="40"/>
      <c r="F9" s="41"/>
      <c r="G9" s="26"/>
      <c r="H9" s="103"/>
      <c r="I9" s="3"/>
      <c r="J9" s="161"/>
      <c r="K9" s="20"/>
    </row>
    <row r="10" spans="1:11" x14ac:dyDescent="0.3">
      <c r="A10" s="1"/>
      <c r="B10" s="4"/>
      <c r="C10" s="21"/>
      <c r="D10" s="17"/>
      <c r="E10" s="40"/>
      <c r="F10" s="41"/>
      <c r="G10" s="26"/>
      <c r="H10" s="103"/>
      <c r="I10" s="3"/>
      <c r="J10" s="161"/>
      <c r="K10" s="20"/>
    </row>
    <row r="11" spans="1:11" x14ac:dyDescent="0.3">
      <c r="A11" s="1"/>
      <c r="B11" s="4"/>
      <c r="C11" s="21"/>
      <c r="D11" s="17"/>
      <c r="E11" s="40"/>
      <c r="F11" s="41"/>
      <c r="G11" s="26"/>
      <c r="H11" s="103"/>
      <c r="I11" s="3"/>
      <c r="J11" s="161"/>
      <c r="K11" s="20"/>
    </row>
    <row r="12" spans="1:11" x14ac:dyDescent="0.3">
      <c r="A12" s="1"/>
      <c r="B12" s="4"/>
      <c r="C12" s="21"/>
      <c r="D12" s="17"/>
      <c r="E12" s="40"/>
      <c r="F12" s="41"/>
      <c r="G12" s="26"/>
      <c r="H12" s="103"/>
      <c r="I12" s="3"/>
      <c r="J12" s="161"/>
      <c r="K12" s="20"/>
    </row>
    <row r="13" spans="1:11" x14ac:dyDescent="0.3">
      <c r="A13" s="1"/>
      <c r="B13" s="4"/>
      <c r="C13" s="21"/>
      <c r="D13" s="17"/>
      <c r="E13" s="40"/>
      <c r="F13" s="41"/>
      <c r="G13" s="26"/>
      <c r="H13" s="103"/>
      <c r="I13" s="3"/>
      <c r="J13" s="161"/>
      <c r="K13" s="20"/>
    </row>
    <row r="14" spans="1:11" x14ac:dyDescent="0.3">
      <c r="A14" s="1"/>
      <c r="B14" s="4"/>
      <c r="C14" s="21"/>
      <c r="D14" s="17"/>
      <c r="E14" s="40"/>
      <c r="F14" s="41"/>
      <c r="G14" s="26"/>
      <c r="H14" s="103"/>
      <c r="I14" s="3"/>
      <c r="J14" s="161"/>
      <c r="K14" s="20"/>
    </row>
    <row r="15" spans="1:11" x14ac:dyDescent="0.3">
      <c r="B15" s="4"/>
      <c r="C15" s="21"/>
      <c r="D15" s="17"/>
      <c r="E15" s="40"/>
      <c r="F15" s="41"/>
      <c r="G15" s="26"/>
      <c r="H15" s="104"/>
      <c r="I15" s="3"/>
      <c r="J15" s="161"/>
      <c r="K15" s="1"/>
    </row>
    <row r="16" spans="1:11" x14ac:dyDescent="0.3">
      <c r="B16" s="4"/>
      <c r="C16" s="21"/>
      <c r="D16" s="17"/>
      <c r="E16" s="40"/>
      <c r="F16" s="41"/>
      <c r="G16" s="26"/>
      <c r="H16" s="103"/>
      <c r="I16" s="25"/>
      <c r="J16" s="161"/>
      <c r="K16" s="1"/>
    </row>
    <row r="17" spans="2:11" x14ac:dyDescent="0.3">
      <c r="B17" s="4"/>
      <c r="C17" s="21"/>
      <c r="D17" s="17"/>
      <c r="E17" s="40"/>
      <c r="F17" s="41"/>
      <c r="G17" s="26"/>
      <c r="H17" s="103"/>
      <c r="I17" s="25"/>
      <c r="J17" s="25"/>
      <c r="K17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0"/>
  <dimension ref="A2:L38"/>
  <sheetViews>
    <sheetView topLeftCell="B16" zoomScale="90" zoomScaleNormal="90" workbookViewId="0">
      <selection activeCell="D36" sqref="D36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55" customWidth="1"/>
  </cols>
  <sheetData>
    <row r="2" spans="1:11" s="80" customFormat="1" ht="65.25" customHeight="1" x14ac:dyDescent="0.3">
      <c r="A2" s="53" t="s">
        <v>231</v>
      </c>
      <c r="B2" s="50" t="s">
        <v>235</v>
      </c>
      <c r="C2" s="51" t="s">
        <v>232</v>
      </c>
      <c r="D2" s="52" t="s">
        <v>27</v>
      </c>
      <c r="E2" s="53" t="s">
        <v>28</v>
      </c>
      <c r="F2" s="78" t="s">
        <v>29</v>
      </c>
      <c r="G2" s="79" t="s">
        <v>70</v>
      </c>
      <c r="H2" s="78" t="s">
        <v>233</v>
      </c>
      <c r="I2" s="55" t="s">
        <v>236</v>
      </c>
      <c r="J2" s="55" t="s">
        <v>234</v>
      </c>
      <c r="K2" s="56" t="s">
        <v>69</v>
      </c>
    </row>
    <row r="3" spans="1:11" x14ac:dyDescent="0.3">
      <c r="A3" s="25" t="s">
        <v>253</v>
      </c>
      <c r="B3" s="34" t="s">
        <v>130</v>
      </c>
      <c r="C3" s="40" t="s">
        <v>131</v>
      </c>
      <c r="D3" s="17" t="s">
        <v>35</v>
      </c>
      <c r="E3" s="40">
        <v>96</v>
      </c>
      <c r="F3" s="41">
        <v>42976</v>
      </c>
      <c r="G3" s="26">
        <v>43009</v>
      </c>
      <c r="H3" s="21">
        <v>15</v>
      </c>
      <c r="I3" s="3">
        <v>43038</v>
      </c>
      <c r="J3" s="68">
        <v>43045</v>
      </c>
      <c r="K3" s="1" t="s">
        <v>255</v>
      </c>
    </row>
    <row r="4" spans="1:11" x14ac:dyDescent="0.3">
      <c r="A4" s="25"/>
      <c r="B4" s="11" t="s">
        <v>132</v>
      </c>
      <c r="C4" s="21" t="s">
        <v>1</v>
      </c>
      <c r="D4" s="17" t="s">
        <v>34</v>
      </c>
      <c r="E4" s="21">
        <v>150</v>
      </c>
      <c r="F4" s="25">
        <v>42976</v>
      </c>
      <c r="G4" s="26">
        <v>43009</v>
      </c>
      <c r="H4" s="21">
        <v>15</v>
      </c>
      <c r="I4" s="3">
        <v>43046</v>
      </c>
      <c r="J4" s="68">
        <v>43052</v>
      </c>
      <c r="K4" s="1" t="s">
        <v>260</v>
      </c>
    </row>
    <row r="5" spans="1:11" x14ac:dyDescent="0.3">
      <c r="A5" s="25"/>
      <c r="B5" s="34" t="s">
        <v>109</v>
      </c>
      <c r="C5" s="46" t="s">
        <v>110</v>
      </c>
      <c r="D5" s="71" t="s">
        <v>118</v>
      </c>
      <c r="E5" s="43">
        <v>145</v>
      </c>
      <c r="F5" s="44">
        <v>42914</v>
      </c>
      <c r="G5" s="45">
        <v>42962</v>
      </c>
      <c r="H5" s="10">
        <v>12</v>
      </c>
      <c r="I5" s="3">
        <v>43064</v>
      </c>
      <c r="J5" s="68">
        <v>43084</v>
      </c>
      <c r="K5" s="1" t="s">
        <v>308</v>
      </c>
    </row>
    <row r="6" spans="1:11" x14ac:dyDescent="0.3">
      <c r="A6" s="1"/>
      <c r="B6" s="34" t="s">
        <v>111</v>
      </c>
      <c r="C6" s="21" t="s">
        <v>112</v>
      </c>
      <c r="D6" s="38" t="s">
        <v>119</v>
      </c>
      <c r="E6" s="43">
        <v>95</v>
      </c>
      <c r="F6" s="44">
        <v>42914</v>
      </c>
      <c r="G6" s="45">
        <v>42962</v>
      </c>
      <c r="H6" s="21">
        <v>12</v>
      </c>
      <c r="I6" s="3">
        <v>43064</v>
      </c>
      <c r="J6" s="68">
        <v>43084</v>
      </c>
      <c r="K6" s="1" t="s">
        <v>307</v>
      </c>
    </row>
    <row r="7" spans="1:11" x14ac:dyDescent="0.3">
      <c r="A7" s="1"/>
      <c r="B7" s="4" t="s">
        <v>268</v>
      </c>
      <c r="C7" s="21" t="s">
        <v>274</v>
      </c>
      <c r="D7" s="17" t="s">
        <v>275</v>
      </c>
      <c r="E7" s="40">
        <v>47</v>
      </c>
      <c r="F7" s="41">
        <v>43042</v>
      </c>
      <c r="G7" s="26">
        <v>43123</v>
      </c>
      <c r="H7" s="21">
        <v>30</v>
      </c>
      <c r="I7" s="3">
        <v>43103</v>
      </c>
      <c r="J7" s="68">
        <v>43106</v>
      </c>
      <c r="K7" s="1" t="s">
        <v>300</v>
      </c>
    </row>
    <row r="8" spans="1:11" x14ac:dyDescent="0.3">
      <c r="A8" s="1"/>
      <c r="B8" s="4" t="s">
        <v>158</v>
      </c>
      <c r="C8" s="21" t="s">
        <v>11</v>
      </c>
      <c r="D8" s="17" t="s">
        <v>161</v>
      </c>
      <c r="E8" s="40">
        <v>143</v>
      </c>
      <c r="F8" s="41">
        <v>43018</v>
      </c>
      <c r="G8" s="26">
        <v>43123</v>
      </c>
      <c r="H8" s="103">
        <v>30</v>
      </c>
      <c r="I8" s="3">
        <v>43108</v>
      </c>
      <c r="J8" s="112">
        <v>43125</v>
      </c>
      <c r="K8" s="20"/>
    </row>
    <row r="9" spans="1:11" ht="14.25" customHeight="1" x14ac:dyDescent="0.3">
      <c r="A9" s="1"/>
      <c r="B9" s="4" t="s">
        <v>160</v>
      </c>
      <c r="C9" s="21" t="s">
        <v>12</v>
      </c>
      <c r="D9" s="17" t="s">
        <v>162</v>
      </c>
      <c r="E9" s="40">
        <v>108</v>
      </c>
      <c r="F9" s="41">
        <v>43018</v>
      </c>
      <c r="G9" s="26">
        <v>43123</v>
      </c>
      <c r="H9" s="103">
        <v>30</v>
      </c>
      <c r="I9" s="3">
        <v>43108</v>
      </c>
      <c r="J9" s="112">
        <v>43125</v>
      </c>
      <c r="K9" s="20"/>
    </row>
    <row r="10" spans="1:11" x14ac:dyDescent="0.3">
      <c r="A10" s="1"/>
      <c r="B10" s="4" t="s">
        <v>165</v>
      </c>
      <c r="C10" s="21" t="s">
        <v>41</v>
      </c>
      <c r="D10" s="17" t="s">
        <v>166</v>
      </c>
      <c r="E10" s="40">
        <v>61</v>
      </c>
      <c r="F10" s="41">
        <v>43018</v>
      </c>
      <c r="G10" s="26">
        <v>43151</v>
      </c>
      <c r="H10" s="103">
        <v>30</v>
      </c>
      <c r="I10" s="3">
        <v>43108</v>
      </c>
      <c r="J10" s="112">
        <v>43125</v>
      </c>
      <c r="K10" s="20"/>
    </row>
    <row r="11" spans="1:11" x14ac:dyDescent="0.3">
      <c r="A11" s="1"/>
      <c r="B11" s="4" t="s">
        <v>167</v>
      </c>
      <c r="C11" s="21" t="s">
        <v>44</v>
      </c>
      <c r="D11" s="17" t="s">
        <v>168</v>
      </c>
      <c r="E11" s="40">
        <v>61</v>
      </c>
      <c r="F11" s="41">
        <v>43018</v>
      </c>
      <c r="G11" s="26">
        <v>43151</v>
      </c>
      <c r="H11" s="103">
        <v>30</v>
      </c>
      <c r="I11" s="3">
        <v>43108</v>
      </c>
      <c r="J11" s="112">
        <v>43125</v>
      </c>
      <c r="K11" s="20"/>
    </row>
    <row r="12" spans="1:11" x14ac:dyDescent="0.3">
      <c r="A12" s="1"/>
      <c r="B12" s="4" t="s">
        <v>169</v>
      </c>
      <c r="C12" s="21" t="s">
        <v>45</v>
      </c>
      <c r="D12" s="17" t="s">
        <v>170</v>
      </c>
      <c r="E12" s="40">
        <v>84</v>
      </c>
      <c r="F12" s="41">
        <v>43018</v>
      </c>
      <c r="G12" s="26">
        <v>43151</v>
      </c>
      <c r="H12" s="103">
        <v>30</v>
      </c>
      <c r="I12" s="3">
        <v>43108</v>
      </c>
      <c r="J12" s="112">
        <v>43125</v>
      </c>
      <c r="K12" s="20"/>
    </row>
    <row r="13" spans="1:11" x14ac:dyDescent="0.3">
      <c r="A13" s="1"/>
      <c r="B13" s="4" t="s">
        <v>173</v>
      </c>
      <c r="C13" s="21" t="s">
        <v>15</v>
      </c>
      <c r="D13" s="17" t="s">
        <v>159</v>
      </c>
      <c r="E13" s="40">
        <v>52</v>
      </c>
      <c r="F13" s="41">
        <v>43018</v>
      </c>
      <c r="G13" s="26">
        <v>43151</v>
      </c>
      <c r="H13" s="103">
        <v>30</v>
      </c>
      <c r="I13" s="3">
        <v>43108</v>
      </c>
      <c r="J13" s="112">
        <v>43125</v>
      </c>
      <c r="K13" s="20"/>
    </row>
    <row r="14" spans="1:11" x14ac:dyDescent="0.3">
      <c r="A14" s="1"/>
      <c r="B14" s="4" t="s">
        <v>174</v>
      </c>
      <c r="C14" s="21" t="s">
        <v>16</v>
      </c>
      <c r="D14" s="17" t="s">
        <v>175</v>
      </c>
      <c r="E14" s="40">
        <v>42</v>
      </c>
      <c r="F14" s="41">
        <v>43018</v>
      </c>
      <c r="G14" s="26">
        <v>43151</v>
      </c>
      <c r="H14" s="103">
        <v>30</v>
      </c>
      <c r="I14" s="3">
        <v>43108</v>
      </c>
      <c r="J14" s="112">
        <v>43125</v>
      </c>
      <c r="K14" s="20"/>
    </row>
    <row r="15" spans="1:11" x14ac:dyDescent="0.3">
      <c r="B15" s="4" t="s">
        <v>176</v>
      </c>
      <c r="C15" s="21" t="s">
        <v>18</v>
      </c>
      <c r="D15" s="17" t="s">
        <v>177</v>
      </c>
      <c r="E15" s="40">
        <v>52</v>
      </c>
      <c r="F15" s="41">
        <v>43018</v>
      </c>
      <c r="G15" s="26">
        <v>43151</v>
      </c>
      <c r="H15" s="104">
        <v>30</v>
      </c>
      <c r="I15" s="3">
        <v>43108</v>
      </c>
      <c r="J15" s="112">
        <v>43125</v>
      </c>
      <c r="K15" s="1"/>
    </row>
    <row r="16" spans="1:11" x14ac:dyDescent="0.3">
      <c r="B16" s="4" t="s">
        <v>280</v>
      </c>
      <c r="C16" s="21" t="s">
        <v>281</v>
      </c>
      <c r="D16" s="17" t="s">
        <v>282</v>
      </c>
      <c r="E16" s="40">
        <v>92</v>
      </c>
      <c r="F16" s="41">
        <v>43056</v>
      </c>
      <c r="G16" s="26">
        <v>43151</v>
      </c>
      <c r="H16" s="103">
        <v>20</v>
      </c>
      <c r="I16" s="25">
        <v>43131</v>
      </c>
      <c r="J16" s="112">
        <v>43139</v>
      </c>
      <c r="K16" s="1" t="s">
        <v>363</v>
      </c>
    </row>
    <row r="17" spans="2:12" x14ac:dyDescent="0.3">
      <c r="B17" s="4" t="s">
        <v>283</v>
      </c>
      <c r="C17" s="21" t="s">
        <v>284</v>
      </c>
      <c r="D17" s="17" t="s">
        <v>81</v>
      </c>
      <c r="E17" s="40">
        <v>52</v>
      </c>
      <c r="F17" s="41">
        <v>42809</v>
      </c>
      <c r="G17" s="26">
        <v>43151</v>
      </c>
      <c r="H17" s="103">
        <v>20</v>
      </c>
      <c r="I17" s="25">
        <v>43131</v>
      </c>
      <c r="J17" s="112">
        <v>43139</v>
      </c>
      <c r="K17" s="1" t="s">
        <v>362</v>
      </c>
    </row>
    <row r="18" spans="2:12" x14ac:dyDescent="0.3">
      <c r="B18" s="4" t="s">
        <v>266</v>
      </c>
      <c r="C18" s="21" t="s">
        <v>65</v>
      </c>
      <c r="D18" s="17" t="s">
        <v>272</v>
      </c>
      <c r="E18" s="40">
        <v>72</v>
      </c>
      <c r="F18" s="41">
        <v>43043</v>
      </c>
      <c r="G18" s="26">
        <v>43151</v>
      </c>
      <c r="H18" s="103">
        <v>15</v>
      </c>
      <c r="I18" s="25">
        <v>43137</v>
      </c>
      <c r="J18" s="112">
        <v>43146</v>
      </c>
      <c r="K18" s="1" t="s">
        <v>364</v>
      </c>
    </row>
    <row r="19" spans="2:12" x14ac:dyDescent="0.3">
      <c r="B19" s="4" t="s">
        <v>267</v>
      </c>
      <c r="C19" s="21" t="s">
        <v>55</v>
      </c>
      <c r="D19" s="17" t="s">
        <v>273</v>
      </c>
      <c r="E19" s="40">
        <v>36</v>
      </c>
      <c r="F19" s="41">
        <v>43042</v>
      </c>
      <c r="G19" s="26">
        <v>43151</v>
      </c>
      <c r="H19" s="103">
        <v>15</v>
      </c>
      <c r="I19" s="27">
        <v>43137</v>
      </c>
      <c r="J19" s="112">
        <v>43146</v>
      </c>
      <c r="K19" s="20" t="s">
        <v>361</v>
      </c>
    </row>
    <row r="20" spans="2:12" x14ac:dyDescent="0.3">
      <c r="B20" s="4" t="s">
        <v>182</v>
      </c>
      <c r="C20" s="21" t="s">
        <v>22</v>
      </c>
      <c r="D20" s="17" t="s">
        <v>183</v>
      </c>
      <c r="E20" s="40">
        <v>180</v>
      </c>
      <c r="F20" s="41">
        <v>43018</v>
      </c>
      <c r="G20" s="26">
        <v>43151</v>
      </c>
      <c r="H20" s="104">
        <v>25</v>
      </c>
      <c r="I20" s="3">
        <v>43145</v>
      </c>
      <c r="J20" s="68">
        <v>43152</v>
      </c>
      <c r="K20" s="1" t="s">
        <v>365</v>
      </c>
    </row>
    <row r="21" spans="2:12" x14ac:dyDescent="0.3">
      <c r="B21" s="4" t="s">
        <v>198</v>
      </c>
      <c r="C21" s="21" t="s">
        <v>39</v>
      </c>
      <c r="D21" s="17" t="s">
        <v>357</v>
      </c>
      <c r="E21" s="40">
        <v>110</v>
      </c>
      <c r="F21" s="41">
        <v>43018</v>
      </c>
      <c r="G21" s="26">
        <v>43161</v>
      </c>
      <c r="H21" s="26"/>
      <c r="I21" s="25">
        <v>43154</v>
      </c>
      <c r="J21" s="76">
        <v>43159</v>
      </c>
      <c r="K21" s="1" t="s">
        <v>393</v>
      </c>
    </row>
    <row r="22" spans="2:12" x14ac:dyDescent="0.3">
      <c r="B22" s="4" t="s">
        <v>292</v>
      </c>
      <c r="C22" s="40"/>
      <c r="D22" s="17" t="s">
        <v>291</v>
      </c>
      <c r="E22" s="21">
        <v>250</v>
      </c>
      <c r="F22" s="1"/>
      <c r="G22" s="26">
        <v>43174</v>
      </c>
      <c r="H22" s="21"/>
      <c r="I22" s="25">
        <v>43164</v>
      </c>
      <c r="J22" s="171">
        <v>43174</v>
      </c>
      <c r="K22" s="1" t="s">
        <v>435</v>
      </c>
      <c r="L22" t="s">
        <v>490</v>
      </c>
    </row>
    <row r="23" spans="2:12" x14ac:dyDescent="0.3">
      <c r="B23" s="4" t="s">
        <v>178</v>
      </c>
      <c r="C23" s="21" t="s">
        <v>19</v>
      </c>
      <c r="D23" s="17" t="s">
        <v>179</v>
      </c>
      <c r="E23" s="40">
        <v>61</v>
      </c>
      <c r="F23" s="41">
        <v>43018</v>
      </c>
      <c r="G23" s="26">
        <v>43187</v>
      </c>
      <c r="H23" s="21"/>
      <c r="I23" s="25">
        <v>43179</v>
      </c>
      <c r="J23" s="171">
        <v>43186</v>
      </c>
      <c r="K23" s="1"/>
    </row>
    <row r="24" spans="2:12" x14ac:dyDescent="0.3">
      <c r="B24" s="4" t="s">
        <v>180</v>
      </c>
      <c r="C24" s="21" t="s">
        <v>20</v>
      </c>
      <c r="D24" s="17" t="s">
        <v>181</v>
      </c>
      <c r="E24" s="40">
        <v>61</v>
      </c>
      <c r="F24" s="41">
        <v>43018</v>
      </c>
      <c r="G24" s="26">
        <v>43187</v>
      </c>
      <c r="H24" s="21"/>
      <c r="I24" s="25">
        <v>43179</v>
      </c>
      <c r="J24" s="171">
        <v>43186</v>
      </c>
      <c r="K24" s="1"/>
    </row>
    <row r="25" spans="2:12" x14ac:dyDescent="0.3">
      <c r="B25" s="4" t="s">
        <v>313</v>
      </c>
      <c r="C25" s="21" t="s">
        <v>317</v>
      </c>
      <c r="D25" s="17" t="s">
        <v>315</v>
      </c>
      <c r="E25" s="40">
        <v>22</v>
      </c>
      <c r="F25" s="41">
        <v>43090</v>
      </c>
      <c r="G25" s="26">
        <v>43187</v>
      </c>
      <c r="H25" s="21"/>
      <c r="I25" s="25">
        <v>43179</v>
      </c>
      <c r="J25" s="171">
        <v>43186</v>
      </c>
      <c r="K25" s="1"/>
    </row>
    <row r="26" spans="2:12" x14ac:dyDescent="0.3">
      <c r="B26" s="4" t="s">
        <v>226</v>
      </c>
      <c r="C26" s="21" t="s">
        <v>53</v>
      </c>
      <c r="D26" s="17" t="s">
        <v>304</v>
      </c>
      <c r="E26" s="40">
        <f>20+26+21+11</f>
        <v>78</v>
      </c>
      <c r="F26" s="41">
        <v>43018</v>
      </c>
      <c r="G26" s="26">
        <v>43187</v>
      </c>
      <c r="H26" s="26"/>
      <c r="I26" s="25">
        <v>43186</v>
      </c>
      <c r="J26" s="171">
        <v>43194</v>
      </c>
      <c r="K26" s="1"/>
    </row>
    <row r="27" spans="2:12" x14ac:dyDescent="0.3">
      <c r="B27" s="4" t="s">
        <v>323</v>
      </c>
      <c r="C27" s="21" t="s">
        <v>324</v>
      </c>
      <c r="D27" s="17" t="s">
        <v>325</v>
      </c>
      <c r="E27" s="40">
        <v>120</v>
      </c>
      <c r="F27" s="41">
        <v>43095</v>
      </c>
      <c r="G27" s="26">
        <v>43206</v>
      </c>
      <c r="H27" s="26"/>
      <c r="I27" s="25">
        <v>43194</v>
      </c>
      <c r="J27" s="171">
        <v>43202</v>
      </c>
      <c r="K27" s="1"/>
    </row>
    <row r="28" spans="2:12" x14ac:dyDescent="0.3">
      <c r="B28" s="4" t="s">
        <v>333</v>
      </c>
      <c r="C28" s="21" t="s">
        <v>334</v>
      </c>
      <c r="D28" s="17" t="s">
        <v>63</v>
      </c>
      <c r="E28" s="21">
        <v>68</v>
      </c>
      <c r="F28" s="25">
        <v>43108</v>
      </c>
      <c r="G28" s="26">
        <v>43220</v>
      </c>
      <c r="H28" s="21"/>
      <c r="I28" s="25">
        <v>43209</v>
      </c>
      <c r="J28" s="171">
        <v>43218</v>
      </c>
      <c r="K28" s="1"/>
    </row>
    <row r="29" spans="2:12" x14ac:dyDescent="0.3">
      <c r="B29" s="4" t="s">
        <v>383</v>
      </c>
      <c r="C29" s="21" t="s">
        <v>374</v>
      </c>
      <c r="D29" s="17" t="s">
        <v>375</v>
      </c>
      <c r="E29" s="21">
        <v>114</v>
      </c>
      <c r="F29" s="25">
        <v>43153</v>
      </c>
      <c r="G29" s="26">
        <v>43220</v>
      </c>
      <c r="H29" s="21"/>
      <c r="I29" s="25">
        <v>43210</v>
      </c>
      <c r="J29" s="171">
        <v>43218</v>
      </c>
      <c r="K29" s="1"/>
    </row>
    <row r="30" spans="2:12" x14ac:dyDescent="0.3">
      <c r="B30" s="4" t="s">
        <v>416</v>
      </c>
      <c r="C30" s="21" t="s">
        <v>417</v>
      </c>
      <c r="D30" s="17" t="s">
        <v>42</v>
      </c>
      <c r="E30" s="40">
        <v>50</v>
      </c>
      <c r="F30" s="41">
        <v>43154</v>
      </c>
      <c r="G30" s="26">
        <v>43179</v>
      </c>
      <c r="H30" s="26"/>
      <c r="I30" s="25">
        <v>43217</v>
      </c>
      <c r="J30" s="25">
        <v>43220</v>
      </c>
      <c r="K30" s="1"/>
    </row>
    <row r="31" spans="2:12" x14ac:dyDescent="0.3">
      <c r="B31" s="4" t="s">
        <v>430</v>
      </c>
      <c r="C31" s="21" t="s">
        <v>431</v>
      </c>
      <c r="D31" s="17" t="s">
        <v>17</v>
      </c>
      <c r="E31" s="40">
        <v>48</v>
      </c>
      <c r="F31" s="41">
        <v>43173</v>
      </c>
      <c r="G31" s="26">
        <v>43235</v>
      </c>
      <c r="H31" s="26"/>
      <c r="I31" s="26">
        <v>43230</v>
      </c>
      <c r="J31" s="25">
        <v>43234</v>
      </c>
      <c r="K31" s="1"/>
    </row>
    <row r="32" spans="2:12" x14ac:dyDescent="0.3">
      <c r="B32" s="4" t="s">
        <v>438</v>
      </c>
      <c r="C32" s="40"/>
      <c r="D32" s="17" t="s">
        <v>444</v>
      </c>
      <c r="E32" s="21">
        <v>48</v>
      </c>
      <c r="F32" s="1"/>
      <c r="G32" s="5"/>
      <c r="H32" s="21"/>
      <c r="I32" s="25">
        <v>43234</v>
      </c>
      <c r="J32" s="25">
        <v>43207</v>
      </c>
      <c r="K32" s="1"/>
    </row>
    <row r="33" spans="2:11" x14ac:dyDescent="0.3">
      <c r="B33" s="4" t="s">
        <v>441</v>
      </c>
      <c r="C33" s="40"/>
      <c r="D33" s="17" t="s">
        <v>446</v>
      </c>
      <c r="E33" s="21">
        <v>24</v>
      </c>
      <c r="F33" s="1"/>
      <c r="G33" s="5"/>
      <c r="H33" s="21"/>
      <c r="I33" s="25">
        <v>43234</v>
      </c>
      <c r="J33" s="25">
        <v>43207</v>
      </c>
      <c r="K33" s="1"/>
    </row>
    <row r="34" spans="2:11" x14ac:dyDescent="0.3">
      <c r="B34" s="4" t="s">
        <v>498</v>
      </c>
      <c r="C34" s="21" t="s">
        <v>504</v>
      </c>
      <c r="D34" s="17" t="s">
        <v>24</v>
      </c>
      <c r="E34" s="40">
        <v>135</v>
      </c>
      <c r="F34" s="41">
        <v>43203</v>
      </c>
      <c r="G34" s="26">
        <v>43235</v>
      </c>
      <c r="H34" s="26"/>
      <c r="I34" s="25">
        <v>43241</v>
      </c>
      <c r="J34" s="25">
        <v>43249</v>
      </c>
      <c r="K34" s="1"/>
    </row>
    <row r="35" spans="2:11" x14ac:dyDescent="0.3">
      <c r="B35" s="4" t="s">
        <v>229</v>
      </c>
      <c r="C35" s="21" t="s">
        <v>56</v>
      </c>
      <c r="D35" s="17" t="s">
        <v>230</v>
      </c>
      <c r="E35" s="40">
        <v>140</v>
      </c>
      <c r="F35" s="41">
        <v>43018</v>
      </c>
      <c r="G35" s="26">
        <v>43191</v>
      </c>
      <c r="H35" s="26"/>
      <c r="I35" s="25">
        <v>43250</v>
      </c>
      <c r="J35" s="25">
        <v>43260</v>
      </c>
      <c r="K35" s="1" t="s">
        <v>547</v>
      </c>
    </row>
    <row r="36" spans="2:11" x14ac:dyDescent="0.3">
      <c r="B36" s="4" t="s">
        <v>567</v>
      </c>
      <c r="C36" s="21" t="s">
        <v>580</v>
      </c>
      <c r="D36" s="17" t="s">
        <v>332</v>
      </c>
      <c r="E36" s="40">
        <v>163</v>
      </c>
      <c r="F36" s="1"/>
      <c r="G36" s="5"/>
      <c r="H36" s="21"/>
      <c r="I36" s="25">
        <v>43258</v>
      </c>
      <c r="J36" s="25">
        <v>43264</v>
      </c>
      <c r="K36" s="1"/>
    </row>
    <row r="37" spans="2:11" x14ac:dyDescent="0.3">
      <c r="B37" s="4" t="s">
        <v>499</v>
      </c>
      <c r="C37" s="21" t="s">
        <v>505</v>
      </c>
      <c r="D37" s="17" t="s">
        <v>510</v>
      </c>
      <c r="E37" s="40">
        <v>390</v>
      </c>
      <c r="F37" s="41">
        <v>43207</v>
      </c>
      <c r="G37" s="26">
        <v>43266</v>
      </c>
      <c r="H37" s="26"/>
      <c r="I37" s="25">
        <v>43269</v>
      </c>
      <c r="J37" s="25">
        <v>43273</v>
      </c>
      <c r="K37" s="1"/>
    </row>
    <row r="38" spans="2:11" x14ac:dyDescent="0.3">
      <c r="B38" s="4" t="s">
        <v>500</v>
      </c>
      <c r="C38" s="21" t="s">
        <v>506</v>
      </c>
      <c r="D38" s="17" t="s">
        <v>511</v>
      </c>
      <c r="E38" s="40">
        <v>152</v>
      </c>
      <c r="F38" s="41">
        <v>43207</v>
      </c>
      <c r="G38" s="26">
        <v>43266</v>
      </c>
      <c r="H38" s="26"/>
      <c r="I38" s="25">
        <v>43264</v>
      </c>
      <c r="J38" s="25">
        <v>43273</v>
      </c>
      <c r="K38" s="1"/>
    </row>
  </sheetData>
  <autoFilter ref="A2:K20" xr:uid="{00000000-0009-0000-0000-00000D000000}"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1">
    <pageSetUpPr fitToPage="1"/>
  </sheetPr>
  <dimension ref="A2:L39"/>
  <sheetViews>
    <sheetView zoomScaleNormal="100" workbookViewId="0">
      <pane xSplit="10" ySplit="2" topLeftCell="K22" activePane="bottomRight" state="frozen"/>
      <selection pane="topRight" activeCell="H1" sqref="H1"/>
      <selection pane="bottomLeft" activeCell="A3" sqref="A3"/>
      <selection pane="bottomRight" activeCell="D42" sqref="D42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73.5546875" bestFit="1" customWidth="1"/>
  </cols>
  <sheetData>
    <row r="2" spans="1:12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12" t="s">
        <v>237</v>
      </c>
      <c r="J2" s="12" t="s">
        <v>234</v>
      </c>
      <c r="K2" s="13" t="s">
        <v>69</v>
      </c>
    </row>
    <row r="3" spans="1:12" x14ac:dyDescent="0.3">
      <c r="A3" s="25">
        <v>43010</v>
      </c>
      <c r="B3" s="4" t="s">
        <v>82</v>
      </c>
      <c r="C3" s="5" t="s">
        <v>75</v>
      </c>
      <c r="D3" s="17" t="s">
        <v>76</v>
      </c>
      <c r="E3" s="5">
        <v>150</v>
      </c>
      <c r="F3" s="14" t="s">
        <v>74</v>
      </c>
      <c r="G3" s="57" t="s">
        <v>60</v>
      </c>
      <c r="H3" s="60">
        <v>18</v>
      </c>
      <c r="I3" s="3">
        <v>43012</v>
      </c>
      <c r="J3" s="67">
        <v>43022</v>
      </c>
      <c r="K3" s="29"/>
    </row>
    <row r="4" spans="1:12" x14ac:dyDescent="0.3">
      <c r="A4" s="25">
        <v>43020</v>
      </c>
      <c r="B4" s="34" t="s">
        <v>113</v>
      </c>
      <c r="C4" s="43" t="s">
        <v>114</v>
      </c>
      <c r="D4" s="38" t="s">
        <v>42</v>
      </c>
      <c r="E4" s="43">
        <v>28</v>
      </c>
      <c r="F4" s="44">
        <v>42941</v>
      </c>
      <c r="G4" s="45">
        <v>42979</v>
      </c>
      <c r="H4" s="21">
        <v>12</v>
      </c>
      <c r="I4" s="3">
        <v>43022</v>
      </c>
      <c r="J4" s="68">
        <v>43029</v>
      </c>
      <c r="K4" s="29" t="s">
        <v>249</v>
      </c>
    </row>
    <row r="5" spans="1:12" x14ac:dyDescent="0.3">
      <c r="A5" s="25">
        <v>43022</v>
      </c>
      <c r="B5" s="34" t="s">
        <v>135</v>
      </c>
      <c r="C5" s="40" t="s">
        <v>136</v>
      </c>
      <c r="D5" s="39" t="s">
        <v>31</v>
      </c>
      <c r="E5" s="40">
        <v>20</v>
      </c>
      <c r="F5" s="41">
        <v>42976</v>
      </c>
      <c r="G5" s="26">
        <v>43009</v>
      </c>
      <c r="H5" s="10">
        <v>10</v>
      </c>
      <c r="I5" s="75">
        <v>43024</v>
      </c>
      <c r="J5" s="67">
        <v>43026</v>
      </c>
      <c r="K5" s="29" t="s">
        <v>238</v>
      </c>
    </row>
    <row r="6" spans="1:12" x14ac:dyDescent="0.3">
      <c r="A6" s="25">
        <v>43026</v>
      </c>
      <c r="B6" s="34" t="s">
        <v>126</v>
      </c>
      <c r="C6" s="35" t="s">
        <v>124</v>
      </c>
      <c r="D6" s="38" t="s">
        <v>125</v>
      </c>
      <c r="E6" s="43">
        <v>92</v>
      </c>
      <c r="F6" s="14" t="s">
        <v>294</v>
      </c>
      <c r="G6" s="18" t="s">
        <v>356</v>
      </c>
      <c r="H6" s="10">
        <v>20</v>
      </c>
      <c r="I6" s="75">
        <v>43028</v>
      </c>
      <c r="J6" s="67">
        <v>43034</v>
      </c>
      <c r="K6" s="29"/>
    </row>
    <row r="7" spans="1:12" x14ac:dyDescent="0.3">
      <c r="A7" s="25">
        <v>43036</v>
      </c>
      <c r="B7" s="34" t="s">
        <v>113</v>
      </c>
      <c r="C7" s="43" t="s">
        <v>114</v>
      </c>
      <c r="D7" s="38" t="s">
        <v>42</v>
      </c>
      <c r="E7" s="43">
        <v>50</v>
      </c>
      <c r="F7" s="44">
        <v>42941</v>
      </c>
      <c r="G7" s="45">
        <v>42979</v>
      </c>
      <c r="H7" s="21">
        <v>12</v>
      </c>
      <c r="I7" s="3">
        <v>43041</v>
      </c>
      <c r="J7" s="67">
        <v>43047</v>
      </c>
      <c r="K7" s="29"/>
    </row>
    <row r="8" spans="1:12" x14ac:dyDescent="0.3">
      <c r="A8" s="1"/>
      <c r="B8" s="4" t="s">
        <v>117</v>
      </c>
      <c r="C8" s="21"/>
      <c r="D8" s="17" t="s">
        <v>120</v>
      </c>
      <c r="E8" s="5">
        <v>24</v>
      </c>
      <c r="F8" s="1"/>
      <c r="G8" s="23"/>
      <c r="H8" s="21">
        <v>6</v>
      </c>
      <c r="I8" s="3">
        <v>43080</v>
      </c>
      <c r="J8" s="67">
        <v>43089</v>
      </c>
      <c r="K8" s="1"/>
    </row>
    <row r="9" spans="1:12" x14ac:dyDescent="0.3">
      <c r="A9" s="1"/>
      <c r="B9" s="4" t="s">
        <v>243</v>
      </c>
      <c r="C9" s="40"/>
      <c r="D9" s="17" t="s">
        <v>244</v>
      </c>
      <c r="E9" s="40">
        <v>66</v>
      </c>
      <c r="F9" s="33"/>
      <c r="G9" s="26">
        <v>43194</v>
      </c>
      <c r="H9" s="21">
        <v>15</v>
      </c>
      <c r="I9" s="3">
        <v>43095</v>
      </c>
      <c r="J9" s="67">
        <v>43103</v>
      </c>
      <c r="K9" s="1"/>
      <c r="L9" t="s">
        <v>309</v>
      </c>
    </row>
    <row r="10" spans="1:12" x14ac:dyDescent="0.3">
      <c r="A10" s="1"/>
      <c r="B10" s="4" t="s">
        <v>285</v>
      </c>
      <c r="C10" s="21" t="s">
        <v>286</v>
      </c>
      <c r="D10" s="17" t="s">
        <v>37</v>
      </c>
      <c r="E10" s="40">
        <v>44</v>
      </c>
      <c r="F10" s="41">
        <v>43066</v>
      </c>
      <c r="G10" s="26">
        <v>43123</v>
      </c>
      <c r="H10" s="21">
        <v>15</v>
      </c>
      <c r="I10" s="85">
        <v>43108</v>
      </c>
      <c r="J10" s="67">
        <v>43112</v>
      </c>
      <c r="K10" s="20" t="s">
        <v>305</v>
      </c>
    </row>
    <row r="11" spans="1:12" x14ac:dyDescent="0.3">
      <c r="A11" s="1"/>
      <c r="B11" s="4" t="s">
        <v>247</v>
      </c>
      <c r="C11" s="40"/>
      <c r="D11" s="17" t="s">
        <v>245</v>
      </c>
      <c r="E11" s="40">
        <v>110</v>
      </c>
      <c r="F11" s="14" t="s">
        <v>294</v>
      </c>
      <c r="G11" s="18" t="s">
        <v>536</v>
      </c>
      <c r="H11" s="21">
        <v>15</v>
      </c>
      <c r="I11" s="113">
        <v>43127</v>
      </c>
      <c r="J11" s="68">
        <v>43133</v>
      </c>
      <c r="K11" s="1"/>
    </row>
    <row r="12" spans="1:12" x14ac:dyDescent="0.3">
      <c r="A12" s="1"/>
      <c r="B12" s="4" t="s">
        <v>248</v>
      </c>
      <c r="C12" s="40"/>
      <c r="D12" s="17" t="s">
        <v>246</v>
      </c>
      <c r="E12" s="40">
        <v>99</v>
      </c>
      <c r="F12" s="14" t="s">
        <v>294</v>
      </c>
      <c r="G12" s="18" t="s">
        <v>536</v>
      </c>
      <c r="H12" s="21">
        <v>15</v>
      </c>
      <c r="I12" s="113">
        <v>43127</v>
      </c>
      <c r="J12" s="68">
        <v>43133</v>
      </c>
      <c r="K12" s="1"/>
    </row>
    <row r="13" spans="1:12" x14ac:dyDescent="0.3">
      <c r="A13" s="1"/>
      <c r="B13" s="4" t="s">
        <v>264</v>
      </c>
      <c r="C13" s="21" t="s">
        <v>62</v>
      </c>
      <c r="D13" s="17" t="s">
        <v>270</v>
      </c>
      <c r="E13" s="40">
        <v>48</v>
      </c>
      <c r="F13" s="41">
        <v>43040</v>
      </c>
      <c r="G13" s="26">
        <v>43161</v>
      </c>
      <c r="H13" s="103">
        <v>12</v>
      </c>
      <c r="I13" s="3">
        <v>43146</v>
      </c>
      <c r="J13" s="68">
        <v>43151</v>
      </c>
      <c r="K13" s="25" t="s">
        <v>366</v>
      </c>
    </row>
    <row r="14" spans="1:12" x14ac:dyDescent="0.3">
      <c r="A14" s="1"/>
      <c r="B14" s="4" t="s">
        <v>265</v>
      </c>
      <c r="C14" s="21" t="s">
        <v>64</v>
      </c>
      <c r="D14" s="17" t="s">
        <v>271</v>
      </c>
      <c r="E14" s="40">
        <v>31</v>
      </c>
      <c r="F14" s="41">
        <v>43040</v>
      </c>
      <c r="G14" s="26">
        <v>43161</v>
      </c>
      <c r="H14" s="103">
        <v>12</v>
      </c>
      <c r="I14" s="3">
        <v>43146</v>
      </c>
      <c r="J14" s="68">
        <v>43151</v>
      </c>
      <c r="K14" s="25" t="s">
        <v>366</v>
      </c>
    </row>
    <row r="15" spans="1:12" x14ac:dyDescent="0.3">
      <c r="A15" s="1"/>
      <c r="B15" s="4" t="s">
        <v>196</v>
      </c>
      <c r="C15" s="21" t="s">
        <v>38</v>
      </c>
      <c r="D15" s="17" t="s">
        <v>358</v>
      </c>
      <c r="E15" s="40">
        <v>75</v>
      </c>
      <c r="F15" s="41">
        <v>43018</v>
      </c>
      <c r="G15" s="26">
        <v>43187</v>
      </c>
      <c r="H15" s="103">
        <v>15</v>
      </c>
      <c r="I15" s="3">
        <v>43154</v>
      </c>
      <c r="J15" s="67">
        <v>43171</v>
      </c>
      <c r="K15" s="1"/>
    </row>
    <row r="16" spans="1:12" x14ac:dyDescent="0.3">
      <c r="A16" s="1"/>
      <c r="B16" s="4" t="s">
        <v>200</v>
      </c>
      <c r="C16" s="21" t="s">
        <v>40</v>
      </c>
      <c r="D16" s="17" t="s">
        <v>201</v>
      </c>
      <c r="E16" s="21">
        <v>130</v>
      </c>
      <c r="F16" s="41">
        <v>43018</v>
      </c>
      <c r="G16" s="26">
        <v>43187</v>
      </c>
      <c r="H16" s="26"/>
      <c r="I16" s="25">
        <v>43171</v>
      </c>
      <c r="J16" s="68">
        <v>43184</v>
      </c>
      <c r="K16" s="1" t="s">
        <v>437</v>
      </c>
    </row>
    <row r="17" spans="1:11" x14ac:dyDescent="0.3">
      <c r="B17" s="4" t="s">
        <v>224</v>
      </c>
      <c r="C17" s="21" t="s">
        <v>52</v>
      </c>
      <c r="D17" s="17" t="s">
        <v>303</v>
      </c>
      <c r="E17" s="40">
        <v>78</v>
      </c>
      <c r="F17" s="41">
        <v>43018</v>
      </c>
      <c r="G17" s="26">
        <v>43187</v>
      </c>
      <c r="H17" s="21"/>
      <c r="I17" s="25">
        <v>43182</v>
      </c>
      <c r="J17" s="68">
        <v>43187</v>
      </c>
      <c r="K17" s="1" t="s">
        <v>542</v>
      </c>
    </row>
    <row r="18" spans="1:11" x14ac:dyDescent="0.3">
      <c r="B18" s="4" t="s">
        <v>350</v>
      </c>
      <c r="C18" s="21" t="s">
        <v>351</v>
      </c>
      <c r="D18" s="17" t="s">
        <v>21</v>
      </c>
      <c r="E18" s="40">
        <v>90</v>
      </c>
      <c r="F18" s="41">
        <v>43130</v>
      </c>
      <c r="G18" s="26">
        <v>43206</v>
      </c>
      <c r="H18" s="26"/>
      <c r="I18" s="25">
        <v>43194</v>
      </c>
      <c r="J18" s="67">
        <v>43202</v>
      </c>
      <c r="K18" s="1"/>
    </row>
    <row r="19" spans="1:11" x14ac:dyDescent="0.3">
      <c r="A19" t="s">
        <v>541</v>
      </c>
      <c r="B19" s="4" t="s">
        <v>204</v>
      </c>
      <c r="C19" s="21" t="s">
        <v>206</v>
      </c>
      <c r="D19" s="17" t="s">
        <v>207</v>
      </c>
      <c r="E19" s="40">
        <v>171</v>
      </c>
      <c r="F19" s="41">
        <v>43018</v>
      </c>
      <c r="G19" s="26">
        <v>43206</v>
      </c>
      <c r="H19" s="26"/>
      <c r="I19" s="25">
        <v>43203</v>
      </c>
      <c r="J19" s="67">
        <v>43206</v>
      </c>
      <c r="K19" s="1"/>
    </row>
    <row r="20" spans="1:11" x14ac:dyDescent="0.3">
      <c r="B20" s="4" t="s">
        <v>335</v>
      </c>
      <c r="C20" s="21" t="s">
        <v>336</v>
      </c>
      <c r="D20" s="17" t="s">
        <v>104</v>
      </c>
      <c r="E20" s="40">
        <v>54</v>
      </c>
      <c r="F20" s="41">
        <v>43123</v>
      </c>
      <c r="G20" s="26">
        <v>43220</v>
      </c>
      <c r="H20" s="26"/>
      <c r="I20" s="25">
        <v>43216</v>
      </c>
      <c r="J20" s="67">
        <v>43219</v>
      </c>
      <c r="K20" s="1"/>
    </row>
    <row r="21" spans="1:11" x14ac:dyDescent="0.3">
      <c r="B21" s="4" t="s">
        <v>337</v>
      </c>
      <c r="C21" s="21" t="s">
        <v>338</v>
      </c>
      <c r="D21" s="17" t="s">
        <v>339</v>
      </c>
      <c r="E21" s="40">
        <v>15</v>
      </c>
      <c r="F21" s="41">
        <v>43123</v>
      </c>
      <c r="G21" s="26">
        <v>43220</v>
      </c>
      <c r="H21" s="26"/>
      <c r="I21" s="25">
        <v>43216</v>
      </c>
      <c r="J21" s="67">
        <v>43219</v>
      </c>
      <c r="K21" s="1"/>
    </row>
    <row r="22" spans="1:11" x14ac:dyDescent="0.3">
      <c r="B22" s="4" t="s">
        <v>319</v>
      </c>
      <c r="C22" s="21" t="s">
        <v>321</v>
      </c>
      <c r="D22" s="17" t="s">
        <v>322</v>
      </c>
      <c r="E22" s="40">
        <v>45</v>
      </c>
      <c r="F22" s="41">
        <v>43460</v>
      </c>
      <c r="G22" s="26">
        <v>43220</v>
      </c>
      <c r="H22" s="26"/>
      <c r="I22" s="25">
        <v>43211</v>
      </c>
      <c r="J22" s="67">
        <v>43214</v>
      </c>
      <c r="K22" s="1"/>
    </row>
    <row r="23" spans="1:11" x14ac:dyDescent="0.3">
      <c r="B23" s="4" t="s">
        <v>427</v>
      </c>
      <c r="C23" s="21" t="s">
        <v>428</v>
      </c>
      <c r="D23" s="17" t="s">
        <v>429</v>
      </c>
      <c r="E23" s="40">
        <v>83</v>
      </c>
      <c r="F23" s="41">
        <v>43173</v>
      </c>
      <c r="G23" s="26">
        <v>43221</v>
      </c>
      <c r="H23" s="26"/>
      <c r="I23" s="26">
        <v>43227</v>
      </c>
      <c r="J23" s="67">
        <v>43232</v>
      </c>
      <c r="K23" s="1"/>
    </row>
    <row r="24" spans="1:11" x14ac:dyDescent="0.3">
      <c r="B24" s="4" t="s">
        <v>496</v>
      </c>
      <c r="C24" s="21" t="s">
        <v>502</v>
      </c>
      <c r="D24" s="17" t="s">
        <v>508</v>
      </c>
      <c r="E24" s="40">
        <v>24</v>
      </c>
      <c r="F24" s="41">
        <v>43203</v>
      </c>
      <c r="G24" s="26">
        <v>43250</v>
      </c>
      <c r="H24" s="26"/>
      <c r="I24" s="26">
        <v>43236</v>
      </c>
      <c r="J24" s="3">
        <v>43241</v>
      </c>
      <c r="K24" s="1"/>
    </row>
    <row r="25" spans="1:11" x14ac:dyDescent="0.3">
      <c r="B25" s="4" t="s">
        <v>497</v>
      </c>
      <c r="C25" s="21" t="s">
        <v>503</v>
      </c>
      <c r="D25" s="17" t="s">
        <v>494</v>
      </c>
      <c r="E25" s="40">
        <v>135</v>
      </c>
      <c r="F25" s="41">
        <v>43203</v>
      </c>
      <c r="G25" s="26">
        <v>43235</v>
      </c>
      <c r="H25" s="26"/>
      <c r="I25" s="26">
        <v>43242</v>
      </c>
      <c r="J25" s="3">
        <v>43248</v>
      </c>
      <c r="K25" s="1"/>
    </row>
    <row r="26" spans="1:11" x14ac:dyDescent="0.3">
      <c r="B26" s="4" t="s">
        <v>566</v>
      </c>
      <c r="C26" s="21" t="s">
        <v>579</v>
      </c>
      <c r="D26" s="17" t="s">
        <v>59</v>
      </c>
      <c r="E26" s="40">
        <v>53</v>
      </c>
      <c r="F26" s="41"/>
      <c r="G26" s="26"/>
      <c r="H26" s="26"/>
      <c r="I26" s="26">
        <v>43262</v>
      </c>
      <c r="J26" s="3">
        <v>43267</v>
      </c>
      <c r="K26" s="1"/>
    </row>
    <row r="27" spans="1:11" x14ac:dyDescent="0.3">
      <c r="B27" s="4" t="s">
        <v>611</v>
      </c>
      <c r="C27" s="21" t="s">
        <v>615</v>
      </c>
      <c r="D27" s="17" t="s">
        <v>17</v>
      </c>
      <c r="E27" s="40">
        <v>62</v>
      </c>
      <c r="F27" s="41">
        <v>43250</v>
      </c>
      <c r="G27" s="26">
        <v>43281</v>
      </c>
      <c r="H27" s="26"/>
      <c r="I27" s="26">
        <v>43273</v>
      </c>
      <c r="J27" s="25">
        <v>43283</v>
      </c>
      <c r="K27" s="1"/>
    </row>
    <row r="28" spans="1:11" x14ac:dyDescent="0.3">
      <c r="B28" s="4" t="s">
        <v>612</v>
      </c>
      <c r="C28" s="21" t="s">
        <v>616</v>
      </c>
      <c r="D28" s="17" t="s">
        <v>21</v>
      </c>
      <c r="E28" s="40">
        <v>74</v>
      </c>
      <c r="F28" s="41">
        <v>43130</v>
      </c>
      <c r="G28" s="26">
        <v>43281</v>
      </c>
      <c r="H28" s="26"/>
      <c r="I28" s="26">
        <v>43276</v>
      </c>
      <c r="J28" s="25">
        <v>43283</v>
      </c>
      <c r="K28" s="1"/>
    </row>
    <row r="39" spans="4:4" x14ac:dyDescent="0.3">
      <c r="D39" s="15" t="s">
        <v>390</v>
      </c>
    </row>
  </sheetData>
  <autoFilter ref="B2:K5" xr:uid="{00000000-0009-0000-0000-00000E000000}"/>
  <pageMargins left="0.25" right="0.25" top="0.75" bottom="0.75" header="0.3" footer="0.3"/>
  <pageSetup paperSize="9" scale="42" orientation="landscape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2"/>
  <dimension ref="A2:K18"/>
  <sheetViews>
    <sheetView topLeftCell="B1" zoomScale="75" zoomScaleNormal="75" workbookViewId="0">
      <selection activeCell="J10" sqref="J10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38.33203125" customWidth="1"/>
  </cols>
  <sheetData>
    <row r="2" spans="1:11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55" t="s">
        <v>236</v>
      </c>
      <c r="J2" s="55" t="s">
        <v>234</v>
      </c>
      <c r="K2" s="73" t="s">
        <v>69</v>
      </c>
    </row>
    <row r="3" spans="1:11" x14ac:dyDescent="0.3">
      <c r="A3" s="25" t="s">
        <v>253</v>
      </c>
      <c r="B3" s="4" t="s">
        <v>154</v>
      </c>
      <c r="C3" s="21" t="s">
        <v>9</v>
      </c>
      <c r="D3" s="17" t="s">
        <v>155</v>
      </c>
      <c r="E3" s="40">
        <v>60</v>
      </c>
      <c r="F3" s="41">
        <v>43018</v>
      </c>
      <c r="G3" s="26">
        <v>43175</v>
      </c>
      <c r="H3" s="26"/>
      <c r="I3" s="3">
        <v>43144</v>
      </c>
      <c r="J3" s="141">
        <v>43152</v>
      </c>
      <c r="K3" s="21"/>
    </row>
    <row r="4" spans="1:11" x14ac:dyDescent="0.3">
      <c r="A4" s="25"/>
      <c r="B4" s="4" t="s">
        <v>150</v>
      </c>
      <c r="C4" s="21" t="s">
        <v>7</v>
      </c>
      <c r="D4" s="17" t="s">
        <v>151</v>
      </c>
      <c r="E4" s="40">
        <v>60</v>
      </c>
      <c r="F4" s="41">
        <v>43018</v>
      </c>
      <c r="G4" s="26">
        <v>43175</v>
      </c>
      <c r="H4" s="26"/>
      <c r="I4" s="3">
        <v>43154</v>
      </c>
      <c r="J4" s="141">
        <v>43171</v>
      </c>
      <c r="K4" s="21"/>
    </row>
    <row r="5" spans="1:11" x14ac:dyDescent="0.3">
      <c r="A5" s="1"/>
      <c r="B5" s="4" t="s">
        <v>184</v>
      </c>
      <c r="C5" s="21" t="s">
        <v>23</v>
      </c>
      <c r="D5" s="17" t="s">
        <v>185</v>
      </c>
      <c r="E5" s="40">
        <v>42</v>
      </c>
      <c r="F5" s="41">
        <v>43018</v>
      </c>
      <c r="G5" s="26">
        <v>43206</v>
      </c>
      <c r="H5" s="103"/>
      <c r="I5" s="3">
        <v>43174</v>
      </c>
      <c r="J5" s="112">
        <v>43183</v>
      </c>
      <c r="K5" s="20"/>
    </row>
    <row r="6" spans="1:11" x14ac:dyDescent="0.3">
      <c r="A6" s="25"/>
      <c r="B6" s="4" t="s">
        <v>311</v>
      </c>
      <c r="C6" s="21" t="s">
        <v>314</v>
      </c>
      <c r="D6" s="17" t="s">
        <v>312</v>
      </c>
      <c r="E6" s="40">
        <v>37</v>
      </c>
      <c r="F6" s="41">
        <v>43018</v>
      </c>
      <c r="G6" s="26">
        <v>43206</v>
      </c>
      <c r="H6" s="60"/>
      <c r="I6" s="3">
        <v>43186</v>
      </c>
      <c r="J6" s="67">
        <v>43195</v>
      </c>
      <c r="K6" s="1"/>
    </row>
    <row r="7" spans="1:11" x14ac:dyDescent="0.3">
      <c r="A7" s="1"/>
      <c r="B7" s="4" t="s">
        <v>208</v>
      </c>
      <c r="C7" s="21" t="s">
        <v>46</v>
      </c>
      <c r="D7" s="17" t="s">
        <v>209</v>
      </c>
      <c r="E7" s="40">
        <v>171</v>
      </c>
      <c r="F7" s="41">
        <v>43018</v>
      </c>
      <c r="G7" s="26">
        <v>43207</v>
      </c>
      <c r="H7" s="26"/>
      <c r="I7" s="3">
        <v>43202</v>
      </c>
      <c r="J7" s="67">
        <v>43206</v>
      </c>
      <c r="K7" s="1"/>
    </row>
    <row r="8" spans="1:11" x14ac:dyDescent="0.3">
      <c r="A8" s="1"/>
      <c r="B8" s="4" t="s">
        <v>340</v>
      </c>
      <c r="C8" s="21" t="s">
        <v>341</v>
      </c>
      <c r="D8" s="17" t="s">
        <v>545</v>
      </c>
      <c r="E8" s="40">
        <v>44</v>
      </c>
      <c r="F8" s="41">
        <v>43123</v>
      </c>
      <c r="G8" s="26">
        <v>43220</v>
      </c>
      <c r="H8" s="26"/>
      <c r="I8" s="3">
        <v>43217</v>
      </c>
      <c r="J8" s="67">
        <v>43218</v>
      </c>
      <c r="K8" s="1"/>
    </row>
    <row r="9" spans="1:11" x14ac:dyDescent="0.3">
      <c r="A9" s="1"/>
      <c r="B9" s="4" t="s">
        <v>216</v>
      </c>
      <c r="C9" s="21" t="s">
        <v>50</v>
      </c>
      <c r="D9" s="17" t="s">
        <v>217</v>
      </c>
      <c r="E9" s="40">
        <v>104</v>
      </c>
      <c r="F9" s="41">
        <v>43018</v>
      </c>
      <c r="G9" s="26">
        <v>43220</v>
      </c>
      <c r="H9" s="26"/>
      <c r="I9" s="3">
        <v>43216</v>
      </c>
      <c r="J9" s="3">
        <v>43223</v>
      </c>
      <c r="K9" s="1"/>
    </row>
    <row r="10" spans="1:11" x14ac:dyDescent="0.3">
      <c r="A10" s="1"/>
      <c r="B10" s="4" t="s">
        <v>228</v>
      </c>
      <c r="C10" s="21" t="s">
        <v>54</v>
      </c>
      <c r="D10" s="17" t="s">
        <v>225</v>
      </c>
      <c r="E10" s="40">
        <v>130</v>
      </c>
      <c r="F10" s="41"/>
      <c r="G10" s="26"/>
      <c r="H10" s="103"/>
      <c r="I10" s="3">
        <v>43255</v>
      </c>
      <c r="J10" s="112"/>
      <c r="K10" s="20"/>
    </row>
    <row r="11" spans="1:11" x14ac:dyDescent="0.3">
      <c r="A11" s="1"/>
      <c r="B11" s="4" t="s">
        <v>610</v>
      </c>
      <c r="C11" s="21" t="s">
        <v>614</v>
      </c>
      <c r="D11" s="17" t="s">
        <v>429</v>
      </c>
      <c r="E11" s="40">
        <v>153</v>
      </c>
      <c r="F11" s="41">
        <v>43250</v>
      </c>
      <c r="G11" s="26">
        <v>43282</v>
      </c>
      <c r="H11" s="26"/>
      <c r="I11" s="3">
        <v>43261</v>
      </c>
      <c r="J11" s="112">
        <v>43266</v>
      </c>
      <c r="K11" s="20"/>
    </row>
    <row r="12" spans="1:11" x14ac:dyDescent="0.3">
      <c r="A12" s="1"/>
      <c r="B12" s="4" t="s">
        <v>507</v>
      </c>
      <c r="C12" s="21" t="s">
        <v>509</v>
      </c>
      <c r="D12" s="17" t="s">
        <v>512</v>
      </c>
      <c r="E12" s="40">
        <v>90</v>
      </c>
      <c r="F12" s="41">
        <v>43207</v>
      </c>
      <c r="G12" s="26">
        <v>43266</v>
      </c>
      <c r="H12" s="26"/>
      <c r="I12" s="3">
        <v>43267</v>
      </c>
      <c r="J12" s="112">
        <v>43273</v>
      </c>
      <c r="K12" s="20"/>
    </row>
    <row r="13" spans="1:11" x14ac:dyDescent="0.3">
      <c r="A13" s="1"/>
      <c r="B13" s="4" t="s">
        <v>500</v>
      </c>
      <c r="C13" s="21" t="s">
        <v>506</v>
      </c>
      <c r="D13" s="17" t="s">
        <v>511</v>
      </c>
      <c r="E13" s="40">
        <v>152</v>
      </c>
      <c r="F13" s="41"/>
      <c r="G13" s="26"/>
      <c r="H13" s="103"/>
      <c r="I13" s="3">
        <v>43272</v>
      </c>
      <c r="J13" s="112">
        <v>43276</v>
      </c>
      <c r="K13" s="20"/>
    </row>
    <row r="14" spans="1:11" x14ac:dyDescent="0.3">
      <c r="A14" s="1"/>
      <c r="B14" s="4"/>
      <c r="C14" s="21"/>
      <c r="D14" s="17"/>
      <c r="E14" s="40"/>
      <c r="F14" s="41"/>
      <c r="G14" s="26"/>
      <c r="H14" s="103"/>
      <c r="I14" s="3"/>
      <c r="J14" s="112"/>
      <c r="K14" s="20"/>
    </row>
    <row r="15" spans="1:11" x14ac:dyDescent="0.3">
      <c r="A15" s="1"/>
      <c r="B15" s="4"/>
      <c r="C15" s="21"/>
      <c r="D15" s="17"/>
      <c r="E15" s="40"/>
      <c r="F15" s="41"/>
      <c r="G15" s="26"/>
      <c r="H15" s="103"/>
      <c r="I15" s="3"/>
      <c r="J15" s="112"/>
      <c r="K15" s="20"/>
    </row>
    <row r="16" spans="1:11" x14ac:dyDescent="0.3">
      <c r="B16" s="4"/>
      <c r="C16" s="21"/>
      <c r="D16" s="17"/>
      <c r="E16" s="40"/>
      <c r="F16" s="41"/>
      <c r="G16" s="26"/>
      <c r="H16" s="104"/>
      <c r="I16" s="3"/>
      <c r="J16" s="112"/>
      <c r="K16" s="1"/>
    </row>
    <row r="17" spans="2:11" x14ac:dyDescent="0.3">
      <c r="B17" s="4"/>
      <c r="C17" s="21"/>
      <c r="D17" s="17"/>
      <c r="E17" s="40"/>
      <c r="F17" s="41"/>
      <c r="G17" s="26"/>
      <c r="H17" s="103"/>
      <c r="I17" s="25"/>
      <c r="J17" s="112"/>
      <c r="K17" s="1"/>
    </row>
    <row r="18" spans="2:11" x14ac:dyDescent="0.3">
      <c r="B18" s="4"/>
      <c r="C18" s="21"/>
      <c r="D18" s="17"/>
      <c r="E18" s="40"/>
      <c r="F18" s="41"/>
      <c r="G18" s="26"/>
      <c r="H18" s="103"/>
      <c r="I18" s="25"/>
      <c r="J18" s="25"/>
      <c r="K18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3"/>
  <dimension ref="A2:K17"/>
  <sheetViews>
    <sheetView topLeftCell="B1" zoomScale="75" zoomScaleNormal="75" workbookViewId="0">
      <selection activeCell="B3" sqref="B3:E3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38.33203125" customWidth="1"/>
  </cols>
  <sheetData>
    <row r="2" spans="1:11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55" t="s">
        <v>236</v>
      </c>
      <c r="J2" s="55" t="s">
        <v>234</v>
      </c>
      <c r="K2" s="73" t="s">
        <v>69</v>
      </c>
    </row>
    <row r="3" spans="1:11" x14ac:dyDescent="0.3">
      <c r="A3" s="25" t="s">
        <v>253</v>
      </c>
      <c r="B3" s="4" t="s">
        <v>377</v>
      </c>
      <c r="C3" s="21" t="s">
        <v>368</v>
      </c>
      <c r="D3" s="17" t="s">
        <v>388</v>
      </c>
      <c r="E3" s="40">
        <v>42</v>
      </c>
      <c r="F3" s="40"/>
      <c r="G3" s="41">
        <v>43133</v>
      </c>
      <c r="H3" s="26">
        <v>43192</v>
      </c>
      <c r="I3" s="3">
        <v>43231</v>
      </c>
      <c r="J3" s="141"/>
      <c r="K3" s="21"/>
    </row>
    <row r="4" spans="1:11" x14ac:dyDescent="0.3">
      <c r="A4" s="25"/>
      <c r="B4" s="4"/>
      <c r="C4" s="21"/>
      <c r="D4" s="17"/>
      <c r="E4" s="40"/>
      <c r="F4" s="41"/>
      <c r="G4" s="26"/>
      <c r="H4" s="26"/>
      <c r="I4" s="3"/>
      <c r="J4" s="160"/>
      <c r="K4" s="137"/>
    </row>
    <row r="5" spans="1:11" x14ac:dyDescent="0.3">
      <c r="A5" s="25"/>
      <c r="B5" s="4"/>
      <c r="C5" s="21"/>
      <c r="D5" s="17"/>
      <c r="E5" s="40"/>
      <c r="F5" s="41"/>
      <c r="G5" s="26"/>
      <c r="H5" s="26"/>
      <c r="I5" s="3"/>
      <c r="J5" s="3"/>
      <c r="K5" s="1"/>
    </row>
    <row r="6" spans="1:11" x14ac:dyDescent="0.3">
      <c r="A6" s="1"/>
      <c r="B6" s="34"/>
      <c r="C6" s="21"/>
      <c r="D6" s="38"/>
      <c r="E6" s="43"/>
      <c r="F6" s="44"/>
      <c r="G6" s="45"/>
      <c r="H6" s="114"/>
      <c r="I6" s="3"/>
      <c r="J6" s="3"/>
      <c r="K6" s="1"/>
    </row>
    <row r="7" spans="1:11" x14ac:dyDescent="0.3">
      <c r="A7" s="1"/>
      <c r="B7" s="4"/>
      <c r="C7" s="21"/>
      <c r="D7" s="17"/>
      <c r="E7" s="40"/>
      <c r="F7" s="41"/>
      <c r="G7" s="26"/>
      <c r="H7" s="114"/>
      <c r="I7" s="3"/>
      <c r="J7" s="3"/>
      <c r="K7" s="1"/>
    </row>
    <row r="8" spans="1:11" x14ac:dyDescent="0.3">
      <c r="A8" s="1"/>
      <c r="B8" s="4"/>
      <c r="C8" s="21"/>
      <c r="D8" s="17"/>
      <c r="E8" s="40"/>
      <c r="F8" s="41"/>
      <c r="G8" s="26"/>
      <c r="H8" s="103"/>
      <c r="I8" s="3"/>
      <c r="J8" s="161"/>
      <c r="K8" s="20"/>
    </row>
    <row r="9" spans="1:11" x14ac:dyDescent="0.3">
      <c r="A9" s="1"/>
      <c r="B9" s="4"/>
      <c r="C9" s="21"/>
      <c r="D9" s="17"/>
      <c r="E9" s="40"/>
      <c r="F9" s="41"/>
      <c r="G9" s="26"/>
      <c r="H9" s="103"/>
      <c r="I9" s="3"/>
      <c r="J9" s="161"/>
      <c r="K9" s="20"/>
    </row>
    <row r="10" spans="1:11" x14ac:dyDescent="0.3">
      <c r="A10" s="1"/>
      <c r="B10" s="4"/>
      <c r="C10" s="21"/>
      <c r="D10" s="17"/>
      <c r="E10" s="40"/>
      <c r="F10" s="41"/>
      <c r="G10" s="26"/>
      <c r="H10" s="103"/>
      <c r="I10" s="3"/>
      <c r="J10" s="161"/>
      <c r="K10" s="20"/>
    </row>
    <row r="11" spans="1:11" x14ac:dyDescent="0.3">
      <c r="A11" s="1"/>
      <c r="B11" s="4"/>
      <c r="C11" s="21"/>
      <c r="D11" s="17"/>
      <c r="E11" s="40"/>
      <c r="F11" s="41"/>
      <c r="G11" s="26"/>
      <c r="H11" s="103"/>
      <c r="I11" s="3"/>
      <c r="J11" s="161"/>
      <c r="K11" s="20"/>
    </row>
    <row r="12" spans="1:11" x14ac:dyDescent="0.3">
      <c r="A12" s="1"/>
      <c r="B12" s="4"/>
      <c r="C12" s="21"/>
      <c r="D12" s="17"/>
      <c r="E12" s="40"/>
      <c r="F12" s="41"/>
      <c r="G12" s="26"/>
      <c r="H12" s="103"/>
      <c r="I12" s="3"/>
      <c r="J12" s="161"/>
      <c r="K12" s="20"/>
    </row>
    <row r="13" spans="1:11" x14ac:dyDescent="0.3">
      <c r="A13" s="1"/>
      <c r="B13" s="4"/>
      <c r="C13" s="21"/>
      <c r="D13" s="17"/>
      <c r="E13" s="40"/>
      <c r="F13" s="41"/>
      <c r="G13" s="26"/>
      <c r="H13" s="103"/>
      <c r="I13" s="3"/>
      <c r="J13" s="161"/>
      <c r="K13" s="20"/>
    </row>
    <row r="14" spans="1:11" x14ac:dyDescent="0.3">
      <c r="A14" s="1"/>
      <c r="B14" s="4"/>
      <c r="C14" s="21"/>
      <c r="D14" s="17"/>
      <c r="E14" s="40"/>
      <c r="F14" s="41"/>
      <c r="G14" s="26"/>
      <c r="H14" s="103"/>
      <c r="I14" s="3"/>
      <c r="J14" s="161"/>
      <c r="K14" s="20"/>
    </row>
    <row r="15" spans="1:11" x14ac:dyDescent="0.3">
      <c r="B15" s="4"/>
      <c r="C15" s="21"/>
      <c r="D15" s="17"/>
      <c r="E15" s="40"/>
      <c r="F15" s="41"/>
      <c r="G15" s="26"/>
      <c r="H15" s="104"/>
      <c r="I15" s="3"/>
      <c r="J15" s="161"/>
      <c r="K15" s="1"/>
    </row>
    <row r="16" spans="1:11" x14ac:dyDescent="0.3">
      <c r="B16" s="4"/>
      <c r="C16" s="21"/>
      <c r="D16" s="17"/>
      <c r="E16" s="40"/>
      <c r="F16" s="41"/>
      <c r="G16" s="26"/>
      <c r="H16" s="103"/>
      <c r="I16" s="25"/>
      <c r="J16" s="161"/>
      <c r="K16" s="1"/>
    </row>
    <row r="17" spans="2:11" x14ac:dyDescent="0.3">
      <c r="B17" s="4"/>
      <c r="C17" s="21"/>
      <c r="D17" s="17"/>
      <c r="E17" s="40"/>
      <c r="F17" s="41"/>
      <c r="G17" s="26"/>
      <c r="H17" s="103"/>
      <c r="I17" s="25"/>
      <c r="J17" s="25"/>
      <c r="K17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4"/>
  <dimension ref="A2:K17"/>
  <sheetViews>
    <sheetView topLeftCell="B1" zoomScale="75" zoomScaleNormal="75" workbookViewId="0">
      <selection activeCell="B3" sqref="B3:E3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38.33203125" customWidth="1"/>
  </cols>
  <sheetData>
    <row r="2" spans="1:11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55" t="s">
        <v>236</v>
      </c>
      <c r="J2" s="55" t="s">
        <v>234</v>
      </c>
      <c r="K2" s="73" t="s">
        <v>69</v>
      </c>
    </row>
    <row r="3" spans="1:11" x14ac:dyDescent="0.3">
      <c r="A3" s="25" t="s">
        <v>253</v>
      </c>
      <c r="B3" s="4" t="s">
        <v>378</v>
      </c>
      <c r="C3" s="21" t="s">
        <v>369</v>
      </c>
      <c r="D3" s="17" t="s">
        <v>387</v>
      </c>
      <c r="E3" s="40">
        <v>72</v>
      </c>
      <c r="F3" s="40"/>
      <c r="G3" s="41">
        <v>43133</v>
      </c>
      <c r="H3" s="26">
        <v>43222</v>
      </c>
      <c r="I3" s="3">
        <v>43228</v>
      </c>
      <c r="J3" s="141"/>
      <c r="K3" s="21"/>
    </row>
    <row r="4" spans="1:11" x14ac:dyDescent="0.3">
      <c r="A4" s="25"/>
      <c r="B4" s="4"/>
      <c r="C4" s="21"/>
      <c r="D4" s="17"/>
      <c r="E4" s="40"/>
      <c r="F4" s="41"/>
      <c r="G4" s="26"/>
      <c r="H4" s="26"/>
      <c r="I4" s="3"/>
      <c r="J4" s="160"/>
      <c r="K4" s="137"/>
    </row>
    <row r="5" spans="1:11" x14ac:dyDescent="0.3">
      <c r="A5" s="25"/>
      <c r="B5" s="4"/>
      <c r="C5" s="21"/>
      <c r="D5" s="17"/>
      <c r="E5" s="40"/>
      <c r="F5" s="41"/>
      <c r="G5" s="26"/>
      <c r="H5" s="26"/>
      <c r="I5" s="3"/>
      <c r="J5" s="3"/>
      <c r="K5" s="1"/>
    </row>
    <row r="6" spans="1:11" x14ac:dyDescent="0.3">
      <c r="A6" s="1"/>
      <c r="B6" s="34"/>
      <c r="C6" s="21"/>
      <c r="D6" s="38"/>
      <c r="E6" s="43"/>
      <c r="F6" s="44"/>
      <c r="G6" s="45"/>
      <c r="H6" s="114"/>
      <c r="I6" s="3"/>
      <c r="J6" s="3"/>
      <c r="K6" s="1"/>
    </row>
    <row r="7" spans="1:11" x14ac:dyDescent="0.3">
      <c r="A7" s="1"/>
      <c r="B7" s="4"/>
      <c r="C7" s="21"/>
      <c r="D7" s="17"/>
      <c r="E7" s="40"/>
      <c r="F7" s="41"/>
      <c r="G7" s="26"/>
      <c r="H7" s="114"/>
      <c r="I7" s="3"/>
      <c r="J7" s="3"/>
      <c r="K7" s="1"/>
    </row>
    <row r="8" spans="1:11" x14ac:dyDescent="0.3">
      <c r="A8" s="1"/>
      <c r="B8" s="4"/>
      <c r="C8" s="21"/>
      <c r="D8" s="17"/>
      <c r="E8" s="40"/>
      <c r="F8" s="41"/>
      <c r="G8" s="26"/>
      <c r="H8" s="103"/>
      <c r="I8" s="3"/>
      <c r="J8" s="161"/>
      <c r="K8" s="20"/>
    </row>
    <row r="9" spans="1:11" x14ac:dyDescent="0.3">
      <c r="A9" s="1"/>
      <c r="B9" s="4"/>
      <c r="C9" s="21"/>
      <c r="D9" s="17"/>
      <c r="E9" s="40"/>
      <c r="F9" s="41"/>
      <c r="G9" s="26"/>
      <c r="H9" s="103"/>
      <c r="I9" s="3"/>
      <c r="J9" s="161"/>
      <c r="K9" s="20"/>
    </row>
    <row r="10" spans="1:11" x14ac:dyDescent="0.3">
      <c r="A10" s="1"/>
      <c r="B10" s="4"/>
      <c r="C10" s="21"/>
      <c r="D10" s="17"/>
      <c r="E10" s="40"/>
      <c r="F10" s="41"/>
      <c r="G10" s="26"/>
      <c r="H10" s="103"/>
      <c r="I10" s="3"/>
      <c r="J10" s="161"/>
      <c r="K10" s="20"/>
    </row>
    <row r="11" spans="1:11" x14ac:dyDescent="0.3">
      <c r="A11" s="1"/>
      <c r="B11" s="4"/>
      <c r="C11" s="21"/>
      <c r="D11" s="17"/>
      <c r="E11" s="40"/>
      <c r="F11" s="41"/>
      <c r="G11" s="26"/>
      <c r="H11" s="103"/>
      <c r="I11" s="3"/>
      <c r="J11" s="161"/>
      <c r="K11" s="20"/>
    </row>
    <row r="12" spans="1:11" x14ac:dyDescent="0.3">
      <c r="A12" s="1"/>
      <c r="B12" s="4"/>
      <c r="C12" s="21"/>
      <c r="D12" s="17"/>
      <c r="E12" s="40"/>
      <c r="F12" s="41"/>
      <c r="G12" s="26"/>
      <c r="H12" s="103"/>
      <c r="I12" s="3"/>
      <c r="J12" s="161"/>
      <c r="K12" s="20"/>
    </row>
    <row r="13" spans="1:11" x14ac:dyDescent="0.3">
      <c r="A13" s="1"/>
      <c r="B13" s="4"/>
      <c r="C13" s="21"/>
      <c r="D13" s="17"/>
      <c r="E13" s="40"/>
      <c r="F13" s="41"/>
      <c r="G13" s="26"/>
      <c r="H13" s="103"/>
      <c r="I13" s="3"/>
      <c r="J13" s="161"/>
      <c r="K13" s="20"/>
    </row>
    <row r="14" spans="1:11" x14ac:dyDescent="0.3">
      <c r="A14" s="1"/>
      <c r="B14" s="4"/>
      <c r="C14" s="21"/>
      <c r="D14" s="17"/>
      <c r="E14" s="40"/>
      <c r="F14" s="41"/>
      <c r="G14" s="26"/>
      <c r="H14" s="103"/>
      <c r="I14" s="3"/>
      <c r="J14" s="161"/>
      <c r="K14" s="20"/>
    </row>
    <row r="15" spans="1:11" x14ac:dyDescent="0.3">
      <c r="B15" s="4"/>
      <c r="C15" s="21"/>
      <c r="D15" s="17"/>
      <c r="E15" s="40"/>
      <c r="F15" s="41"/>
      <c r="G15" s="26"/>
      <c r="H15" s="104"/>
      <c r="I15" s="3"/>
      <c r="J15" s="161"/>
      <c r="K15" s="1"/>
    </row>
    <row r="16" spans="1:11" x14ac:dyDescent="0.3">
      <c r="B16" s="4"/>
      <c r="C16" s="21"/>
      <c r="D16" s="17"/>
      <c r="E16" s="40"/>
      <c r="F16" s="41"/>
      <c r="G16" s="26"/>
      <c r="H16" s="103"/>
      <c r="I16" s="25"/>
      <c r="J16" s="161"/>
      <c r="K16" s="1"/>
    </row>
    <row r="17" spans="2:11" x14ac:dyDescent="0.3">
      <c r="B17" s="4"/>
      <c r="C17" s="21"/>
      <c r="D17" s="17"/>
      <c r="E17" s="40"/>
      <c r="F17" s="41"/>
      <c r="G17" s="26"/>
      <c r="H17" s="103"/>
      <c r="I17" s="25"/>
      <c r="J17" s="25"/>
      <c r="K17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2:L17"/>
  <sheetViews>
    <sheetView topLeftCell="B1" zoomScale="75" zoomScaleNormal="75" workbookViewId="0">
      <selection activeCell="B5" sqref="B5:D5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38.33203125" customWidth="1"/>
  </cols>
  <sheetData>
    <row r="2" spans="1:12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55" t="s">
        <v>236</v>
      </c>
      <c r="J2" s="55" t="s">
        <v>234</v>
      </c>
      <c r="K2" s="73" t="s">
        <v>69</v>
      </c>
    </row>
    <row r="3" spans="1:12" x14ac:dyDescent="0.3">
      <c r="A3" s="25" t="s">
        <v>253</v>
      </c>
      <c r="B3" s="4" t="s">
        <v>220</v>
      </c>
      <c r="C3" s="21" t="s">
        <v>67</v>
      </c>
      <c r="D3" s="17" t="s">
        <v>221</v>
      </c>
      <c r="E3" s="40">
        <v>142</v>
      </c>
      <c r="F3" s="41">
        <v>43018</v>
      </c>
      <c r="G3" s="26">
        <v>43191</v>
      </c>
      <c r="H3" s="103">
        <v>15</v>
      </c>
      <c r="I3" s="3">
        <v>43146</v>
      </c>
      <c r="J3" s="141">
        <v>43153</v>
      </c>
      <c r="K3" s="21"/>
    </row>
    <row r="4" spans="1:12" x14ac:dyDescent="0.3">
      <c r="A4" s="25"/>
      <c r="B4" s="4" t="s">
        <v>222</v>
      </c>
      <c r="C4" s="21" t="s">
        <v>68</v>
      </c>
      <c r="D4" s="17" t="s">
        <v>223</v>
      </c>
      <c r="E4" s="40">
        <v>118</v>
      </c>
      <c r="F4" s="41">
        <v>43018</v>
      </c>
      <c r="G4" s="26">
        <v>43191</v>
      </c>
      <c r="H4" s="103">
        <v>15</v>
      </c>
      <c r="I4" s="3">
        <v>43155</v>
      </c>
      <c r="J4" s="140">
        <v>43162</v>
      </c>
      <c r="K4" s="137" t="s">
        <v>395</v>
      </c>
    </row>
    <row r="5" spans="1:12" x14ac:dyDescent="0.3">
      <c r="A5" s="25"/>
      <c r="B5" s="4" t="s">
        <v>212</v>
      </c>
      <c r="C5" s="21" t="s">
        <v>48</v>
      </c>
      <c r="D5" s="17" t="s">
        <v>213</v>
      </c>
      <c r="E5" s="40">
        <v>104</v>
      </c>
      <c r="F5" s="41">
        <v>43018</v>
      </c>
      <c r="G5" s="26">
        <v>43132</v>
      </c>
      <c r="H5" s="26"/>
      <c r="I5" s="3">
        <v>43208</v>
      </c>
      <c r="J5" s="140">
        <v>43183</v>
      </c>
      <c r="K5" s="1" t="s">
        <v>534</v>
      </c>
      <c r="L5" t="s">
        <v>540</v>
      </c>
    </row>
    <row r="6" spans="1:12" x14ac:dyDescent="0.3">
      <c r="A6" s="1"/>
      <c r="B6" s="34"/>
      <c r="C6" s="21"/>
      <c r="D6" s="38"/>
      <c r="E6" s="43"/>
      <c r="F6" s="44"/>
      <c r="G6" s="45"/>
      <c r="H6" s="114"/>
      <c r="I6" s="3"/>
      <c r="J6" s="169"/>
      <c r="K6" s="1"/>
    </row>
    <row r="7" spans="1:12" x14ac:dyDescent="0.3">
      <c r="A7" s="1"/>
      <c r="B7" s="4"/>
      <c r="C7" s="21"/>
      <c r="D7" s="17"/>
      <c r="E7" s="40"/>
      <c r="F7" s="41"/>
      <c r="G7" s="26"/>
      <c r="H7" s="114"/>
      <c r="I7" s="3"/>
      <c r="J7" s="169"/>
      <c r="K7" s="1"/>
    </row>
    <row r="8" spans="1:12" x14ac:dyDescent="0.3">
      <c r="A8" s="1"/>
      <c r="B8" s="4"/>
      <c r="C8" s="21"/>
      <c r="D8" s="17"/>
      <c r="E8" s="40"/>
      <c r="F8" s="41"/>
      <c r="G8" s="26"/>
      <c r="H8" s="103"/>
      <c r="I8" s="3"/>
      <c r="J8" s="112"/>
      <c r="K8" s="20"/>
    </row>
    <row r="9" spans="1:12" x14ac:dyDescent="0.3">
      <c r="A9" s="1"/>
      <c r="B9" s="4"/>
      <c r="C9" s="21"/>
      <c r="D9" s="17"/>
      <c r="E9" s="40"/>
      <c r="F9" s="41"/>
      <c r="G9" s="26"/>
      <c r="H9" s="103"/>
      <c r="I9" s="3"/>
      <c r="J9" s="112"/>
      <c r="K9" s="20"/>
    </row>
    <row r="10" spans="1:12" x14ac:dyDescent="0.3">
      <c r="A10" s="1"/>
      <c r="B10" s="4"/>
      <c r="C10" s="21"/>
      <c r="D10" s="17"/>
      <c r="E10" s="40"/>
      <c r="F10" s="41"/>
      <c r="G10" s="26"/>
      <c r="H10" s="103"/>
      <c r="I10" s="3"/>
      <c r="J10" s="112"/>
      <c r="K10" s="20"/>
    </row>
    <row r="11" spans="1:12" x14ac:dyDescent="0.3">
      <c r="A11" s="1"/>
      <c r="B11" s="4"/>
      <c r="C11" s="21"/>
      <c r="D11" s="17"/>
      <c r="E11" s="40"/>
      <c r="F11" s="41"/>
      <c r="G11" s="26"/>
      <c r="H11" s="103"/>
      <c r="I11" s="3"/>
      <c r="J11" s="112"/>
      <c r="K11" s="20"/>
    </row>
    <row r="12" spans="1:12" x14ac:dyDescent="0.3">
      <c r="A12" s="1"/>
      <c r="B12" s="4"/>
      <c r="C12" s="21"/>
      <c r="D12" s="17"/>
      <c r="E12" s="40"/>
      <c r="F12" s="41"/>
      <c r="G12" s="26"/>
      <c r="H12" s="103"/>
      <c r="I12" s="3"/>
      <c r="J12" s="112"/>
      <c r="K12" s="20"/>
    </row>
    <row r="13" spans="1:12" x14ac:dyDescent="0.3">
      <c r="A13" s="1"/>
      <c r="B13" s="4"/>
      <c r="C13" s="21"/>
      <c r="D13" s="17"/>
      <c r="E13" s="40"/>
      <c r="F13" s="41"/>
      <c r="G13" s="26"/>
      <c r="H13" s="103"/>
      <c r="I13" s="3"/>
      <c r="J13" s="112"/>
      <c r="K13" s="20"/>
    </row>
    <row r="14" spans="1:12" x14ac:dyDescent="0.3">
      <c r="A14" s="1"/>
      <c r="B14" s="4"/>
      <c r="C14" s="21"/>
      <c r="D14" s="17"/>
      <c r="E14" s="40"/>
      <c r="F14" s="41"/>
      <c r="G14" s="26"/>
      <c r="H14" s="103"/>
      <c r="I14" s="3"/>
      <c r="J14" s="112"/>
      <c r="K14" s="20"/>
    </row>
    <row r="15" spans="1:12" x14ac:dyDescent="0.3">
      <c r="B15" s="4"/>
      <c r="C15" s="21"/>
      <c r="D15" s="17"/>
      <c r="E15" s="40"/>
      <c r="F15" s="41"/>
      <c r="G15" s="26"/>
      <c r="H15" s="104"/>
      <c r="I15" s="3"/>
      <c r="J15" s="112"/>
      <c r="K15" s="1"/>
    </row>
    <row r="16" spans="1:12" x14ac:dyDescent="0.3">
      <c r="B16" s="4"/>
      <c r="C16" s="21"/>
      <c r="D16" s="17"/>
      <c r="E16" s="40"/>
      <c r="F16" s="41"/>
      <c r="G16" s="26"/>
      <c r="H16" s="103"/>
      <c r="I16" s="25"/>
      <c r="J16" s="112"/>
      <c r="K16" s="1"/>
    </row>
    <row r="17" spans="2:11" x14ac:dyDescent="0.3">
      <c r="B17" s="4"/>
      <c r="C17" s="21"/>
      <c r="D17" s="17"/>
      <c r="E17" s="40"/>
      <c r="F17" s="41"/>
      <c r="G17" s="26"/>
      <c r="H17" s="103"/>
      <c r="I17" s="25"/>
      <c r="J17" s="69"/>
      <c r="K17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6"/>
  <dimension ref="A2:K17"/>
  <sheetViews>
    <sheetView topLeftCell="B1" zoomScale="70" zoomScaleNormal="70" workbookViewId="0">
      <selection activeCell="B5" sqref="B5:C5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38.33203125" customWidth="1"/>
  </cols>
  <sheetData>
    <row r="2" spans="1:11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55" t="s">
        <v>236</v>
      </c>
      <c r="J2" s="55" t="s">
        <v>234</v>
      </c>
      <c r="K2" s="73" t="s">
        <v>69</v>
      </c>
    </row>
    <row r="3" spans="1:11" x14ac:dyDescent="0.3">
      <c r="A3" s="25"/>
      <c r="B3" s="4" t="s">
        <v>192</v>
      </c>
      <c r="C3" s="21" t="s">
        <v>30</v>
      </c>
      <c r="D3" s="17" t="s">
        <v>193</v>
      </c>
      <c r="E3" s="40">
        <v>60</v>
      </c>
      <c r="F3" s="41">
        <v>43018</v>
      </c>
      <c r="G3" s="26">
        <v>43206</v>
      </c>
      <c r="H3" s="103"/>
      <c r="I3" s="3">
        <v>43178</v>
      </c>
      <c r="J3" s="141">
        <v>43189</v>
      </c>
      <c r="K3" s="21"/>
    </row>
    <row r="4" spans="1:11" x14ac:dyDescent="0.3">
      <c r="A4" s="25"/>
      <c r="B4" s="4" t="s">
        <v>171</v>
      </c>
      <c r="C4" s="21" t="s">
        <v>14</v>
      </c>
      <c r="D4" s="17" t="s">
        <v>172</v>
      </c>
      <c r="E4" s="40">
        <v>37</v>
      </c>
      <c r="F4" s="41">
        <v>43018</v>
      </c>
      <c r="G4" s="26">
        <v>43187</v>
      </c>
      <c r="H4" s="103"/>
      <c r="I4" s="3">
        <v>43183</v>
      </c>
      <c r="J4" s="141">
        <v>43185</v>
      </c>
      <c r="K4" s="137"/>
    </row>
    <row r="5" spans="1:11" x14ac:dyDescent="0.3">
      <c r="A5" s="25"/>
      <c r="B5" s="4" t="s">
        <v>188</v>
      </c>
      <c r="C5" s="21" t="s">
        <v>32</v>
      </c>
      <c r="D5" s="17" t="s">
        <v>189</v>
      </c>
      <c r="E5" s="40">
        <v>35</v>
      </c>
      <c r="F5" s="41">
        <v>43018</v>
      </c>
      <c r="G5" s="26">
        <v>43206</v>
      </c>
      <c r="H5" s="26"/>
      <c r="I5" s="3">
        <v>43190</v>
      </c>
      <c r="J5" s="67">
        <v>43199</v>
      </c>
      <c r="K5" s="1"/>
    </row>
    <row r="6" spans="1:11" x14ac:dyDescent="0.3">
      <c r="A6" s="1"/>
      <c r="C6" s="21"/>
      <c r="D6" s="34"/>
      <c r="E6" s="43"/>
      <c r="F6" s="44"/>
      <c r="G6" s="45"/>
      <c r="H6" s="114"/>
      <c r="I6" s="3"/>
      <c r="J6" s="169"/>
      <c r="K6" s="1"/>
    </row>
    <row r="7" spans="1:11" x14ac:dyDescent="0.3">
      <c r="A7" s="1"/>
      <c r="B7" s="4"/>
      <c r="C7" s="21"/>
      <c r="D7" s="17"/>
      <c r="E7" s="40"/>
      <c r="F7" s="41"/>
      <c r="G7" s="26"/>
      <c r="H7" s="114"/>
      <c r="I7" s="3"/>
      <c r="J7" s="169"/>
      <c r="K7" s="1"/>
    </row>
    <row r="8" spans="1:11" x14ac:dyDescent="0.3">
      <c r="A8" s="1"/>
      <c r="B8" s="4"/>
      <c r="C8" s="21"/>
      <c r="D8" s="17"/>
      <c r="E8" s="40"/>
      <c r="F8" s="41"/>
      <c r="G8" s="26"/>
      <c r="H8" s="103"/>
      <c r="I8" s="3"/>
      <c r="J8" s="112"/>
      <c r="K8" s="20"/>
    </row>
    <row r="9" spans="1:11" x14ac:dyDescent="0.3">
      <c r="A9" s="1"/>
      <c r="B9" s="4"/>
      <c r="C9" s="21"/>
      <c r="D9" s="17"/>
      <c r="E9" s="40"/>
      <c r="F9" s="41"/>
      <c r="G9" s="26"/>
      <c r="H9" s="103"/>
      <c r="I9" s="3"/>
      <c r="J9" s="112"/>
      <c r="K9" s="20"/>
    </row>
    <row r="10" spans="1:11" x14ac:dyDescent="0.3">
      <c r="A10" s="1"/>
      <c r="B10" s="4"/>
      <c r="C10" s="21"/>
      <c r="D10" s="17"/>
      <c r="E10" s="40"/>
      <c r="F10" s="41"/>
      <c r="G10" s="26"/>
      <c r="H10" s="103"/>
      <c r="I10" s="3"/>
      <c r="J10" s="112"/>
      <c r="K10" s="20"/>
    </row>
    <row r="11" spans="1:11" x14ac:dyDescent="0.3">
      <c r="A11" s="1"/>
      <c r="B11" s="4"/>
      <c r="C11" s="21"/>
      <c r="D11" s="17"/>
      <c r="E11" s="40"/>
      <c r="F11" s="41"/>
      <c r="G11" s="26"/>
      <c r="H11" s="103"/>
      <c r="I11" s="3"/>
      <c r="J11" s="112"/>
      <c r="K11" s="20"/>
    </row>
    <row r="12" spans="1:11" x14ac:dyDescent="0.3">
      <c r="A12" s="1"/>
      <c r="B12" s="4"/>
      <c r="C12" s="21"/>
      <c r="D12" s="17"/>
      <c r="E12" s="40"/>
      <c r="F12" s="41"/>
      <c r="G12" s="26"/>
      <c r="H12" s="103"/>
      <c r="I12" s="3"/>
      <c r="J12" s="112"/>
      <c r="K12" s="20"/>
    </row>
    <row r="13" spans="1:11" x14ac:dyDescent="0.3">
      <c r="A13" s="1"/>
      <c r="B13" s="4"/>
      <c r="C13" s="21"/>
      <c r="D13" s="17"/>
      <c r="E13" s="40"/>
      <c r="F13" s="41"/>
      <c r="G13" s="26"/>
      <c r="H13" s="103"/>
      <c r="I13" s="3"/>
      <c r="J13" s="112"/>
      <c r="K13" s="20"/>
    </row>
    <row r="14" spans="1:11" x14ac:dyDescent="0.3">
      <c r="A14" s="1"/>
      <c r="B14" s="4"/>
      <c r="C14" s="21"/>
      <c r="D14" s="17"/>
      <c r="E14" s="40"/>
      <c r="F14" s="41"/>
      <c r="G14" s="26"/>
      <c r="H14" s="103"/>
      <c r="I14" s="3"/>
      <c r="J14" s="112"/>
      <c r="K14" s="20"/>
    </row>
    <row r="15" spans="1:11" x14ac:dyDescent="0.3">
      <c r="B15" s="4"/>
      <c r="C15" s="21"/>
      <c r="D15" s="17"/>
      <c r="E15" s="40"/>
      <c r="F15" s="41"/>
      <c r="G15" s="26"/>
      <c r="H15" s="104"/>
      <c r="I15" s="3"/>
      <c r="J15" s="112"/>
      <c r="K15" s="1"/>
    </row>
    <row r="16" spans="1:11" x14ac:dyDescent="0.3">
      <c r="B16" s="4"/>
      <c r="C16" s="21"/>
      <c r="D16" s="17"/>
      <c r="E16" s="40"/>
      <c r="F16" s="41"/>
      <c r="G16" s="26"/>
      <c r="H16" s="103"/>
      <c r="I16" s="25"/>
      <c r="J16" s="112"/>
      <c r="K16" s="1"/>
    </row>
    <row r="17" spans="2:11" x14ac:dyDescent="0.3">
      <c r="B17" s="4"/>
      <c r="C17" s="21"/>
      <c r="D17" s="17"/>
      <c r="E17" s="40"/>
      <c r="F17" s="41"/>
      <c r="G17" s="26"/>
      <c r="H17" s="103"/>
      <c r="I17" s="25"/>
      <c r="J17" s="69"/>
      <c r="K17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7">
    <pageSetUpPr fitToPage="1"/>
  </sheetPr>
  <dimension ref="A2:L15"/>
  <sheetViews>
    <sheetView zoomScale="80" zoomScaleNormal="80" workbookViewId="0">
      <pane xSplit="10" ySplit="2" topLeftCell="K3" activePane="bottomRight" state="frozen"/>
      <selection pane="topRight" activeCell="H1" sqref="H1"/>
      <selection pane="bottomLeft" activeCell="A3" sqref="A3"/>
      <selection pane="bottomRight" activeCell="B13" sqref="B13:E13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2.664062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4.6640625" style="22" customWidth="1"/>
    <col min="9" max="10" width="14.44140625" customWidth="1"/>
    <col min="11" max="11" width="26.6640625" customWidth="1"/>
  </cols>
  <sheetData>
    <row r="2" spans="1:12" s="74" customFormat="1" ht="65.25" customHeight="1" x14ac:dyDescent="0.3">
      <c r="A2" s="5" t="s">
        <v>231</v>
      </c>
      <c r="B2" s="9" t="s">
        <v>235</v>
      </c>
      <c r="C2" s="51" t="s">
        <v>232</v>
      </c>
      <c r="D2" s="52" t="s">
        <v>27</v>
      </c>
      <c r="E2" s="53" t="s">
        <v>28</v>
      </c>
      <c r="F2" s="54" t="s">
        <v>29</v>
      </c>
      <c r="G2" s="19" t="s">
        <v>70</v>
      </c>
      <c r="H2" s="54" t="s">
        <v>233</v>
      </c>
      <c r="I2" s="55" t="s">
        <v>236</v>
      </c>
      <c r="J2" s="55" t="s">
        <v>234</v>
      </c>
      <c r="K2" s="73" t="s">
        <v>69</v>
      </c>
    </row>
    <row r="3" spans="1:12" hidden="1" x14ac:dyDescent="0.3">
      <c r="A3" s="25">
        <v>43045</v>
      </c>
      <c r="B3" s="34" t="s">
        <v>128</v>
      </c>
      <c r="C3" s="40" t="s">
        <v>129</v>
      </c>
      <c r="D3" s="39" t="s">
        <v>58</v>
      </c>
      <c r="E3" s="40">
        <v>87</v>
      </c>
      <c r="F3" s="41">
        <v>43006</v>
      </c>
      <c r="G3" s="26">
        <v>43009</v>
      </c>
      <c r="H3" s="21">
        <v>25</v>
      </c>
      <c r="I3" s="3">
        <v>43045</v>
      </c>
      <c r="J3" s="67">
        <v>43050</v>
      </c>
      <c r="K3" s="29"/>
    </row>
    <row r="4" spans="1:12" hidden="1" x14ac:dyDescent="0.3">
      <c r="A4" s="25">
        <v>43046</v>
      </c>
      <c r="B4" s="4" t="s">
        <v>127</v>
      </c>
      <c r="C4" s="21" t="s">
        <v>0</v>
      </c>
      <c r="D4" s="17" t="s">
        <v>59</v>
      </c>
      <c r="E4" s="42">
        <v>131</v>
      </c>
      <c r="F4" s="41">
        <v>43006</v>
      </c>
      <c r="G4" s="26">
        <v>43009</v>
      </c>
      <c r="H4" s="21">
        <v>15</v>
      </c>
      <c r="I4" s="81">
        <v>43047</v>
      </c>
      <c r="J4" s="84">
        <v>43055</v>
      </c>
      <c r="K4" s="29" t="s">
        <v>259</v>
      </c>
    </row>
    <row r="5" spans="1:12" hidden="1" x14ac:dyDescent="0.3">
      <c r="A5" s="1"/>
      <c r="B5" s="4" t="s">
        <v>262</v>
      </c>
      <c r="C5" s="21" t="s">
        <v>61</v>
      </c>
      <c r="D5" s="17" t="s">
        <v>106</v>
      </c>
      <c r="E5" s="40">
        <v>124</v>
      </c>
      <c r="F5" s="41">
        <v>43033</v>
      </c>
      <c r="G5" s="26">
        <v>43064</v>
      </c>
      <c r="H5" s="21">
        <v>25</v>
      </c>
      <c r="I5" s="25">
        <v>43087</v>
      </c>
      <c r="J5" s="67">
        <v>43095</v>
      </c>
      <c r="K5" s="1"/>
    </row>
    <row r="6" spans="1:12" hidden="1" x14ac:dyDescent="0.3">
      <c r="A6" s="1"/>
      <c r="B6" s="4" t="s">
        <v>263</v>
      </c>
      <c r="C6" s="21" t="s">
        <v>269</v>
      </c>
      <c r="D6" s="17" t="s">
        <v>103</v>
      </c>
      <c r="E6" s="40">
        <v>140</v>
      </c>
      <c r="F6" s="41">
        <v>43033</v>
      </c>
      <c r="G6" s="26">
        <v>43064</v>
      </c>
      <c r="H6" s="21">
        <v>25</v>
      </c>
      <c r="I6" s="25">
        <v>43087</v>
      </c>
      <c r="J6" s="67">
        <v>43095</v>
      </c>
      <c r="K6" s="25"/>
    </row>
    <row r="7" spans="1:12" x14ac:dyDescent="0.3">
      <c r="A7" s="1"/>
      <c r="B7" s="4" t="s">
        <v>278</v>
      </c>
      <c r="C7" s="21" t="s">
        <v>279</v>
      </c>
      <c r="D7" s="17" t="s">
        <v>24</v>
      </c>
      <c r="E7" s="40">
        <v>140</v>
      </c>
      <c r="F7" s="41">
        <v>43049</v>
      </c>
      <c r="G7" s="26">
        <v>43151</v>
      </c>
      <c r="H7" s="21">
        <v>12</v>
      </c>
      <c r="I7" s="27">
        <v>43097</v>
      </c>
      <c r="J7" s="84">
        <v>43112</v>
      </c>
      <c r="K7" s="105" t="s">
        <v>306</v>
      </c>
      <c r="L7" s="106"/>
    </row>
    <row r="8" spans="1:12" x14ac:dyDescent="0.3">
      <c r="A8" s="1"/>
      <c r="B8" s="4" t="s">
        <v>293</v>
      </c>
      <c r="C8" s="40"/>
      <c r="D8" s="17" t="s">
        <v>107</v>
      </c>
      <c r="E8" s="21">
        <v>160</v>
      </c>
      <c r="F8" s="25"/>
      <c r="G8" s="28">
        <v>43174</v>
      </c>
      <c r="H8" s="21"/>
      <c r="I8" s="25">
        <v>43160</v>
      </c>
      <c r="J8" s="67">
        <v>43171</v>
      </c>
      <c r="K8" s="1"/>
    </row>
    <row r="9" spans="1:12" x14ac:dyDescent="0.3">
      <c r="A9" s="1"/>
      <c r="B9" s="4" t="s">
        <v>210</v>
      </c>
      <c r="C9" s="21" t="s">
        <v>47</v>
      </c>
      <c r="D9" s="17" t="s">
        <v>211</v>
      </c>
      <c r="E9" s="40">
        <v>124</v>
      </c>
      <c r="F9" s="41">
        <v>43018</v>
      </c>
      <c r="G9" s="26">
        <v>43207</v>
      </c>
      <c r="H9" s="26"/>
      <c r="I9" s="25">
        <v>43196</v>
      </c>
      <c r="J9" s="68">
        <v>43205</v>
      </c>
      <c r="K9" s="1" t="s">
        <v>544</v>
      </c>
    </row>
    <row r="10" spans="1:12" x14ac:dyDescent="0.3">
      <c r="A10" s="1"/>
      <c r="B10" s="4" t="s">
        <v>202</v>
      </c>
      <c r="C10" s="21" t="s">
        <v>205</v>
      </c>
      <c r="D10" s="17" t="s">
        <v>203</v>
      </c>
      <c r="E10" s="40">
        <v>171</v>
      </c>
      <c r="F10" s="41">
        <v>43018</v>
      </c>
      <c r="G10" s="26">
        <v>43207</v>
      </c>
      <c r="H10" s="26"/>
      <c r="I10" s="25">
        <v>43196</v>
      </c>
      <c r="J10" s="68">
        <v>43205</v>
      </c>
      <c r="K10" s="1" t="s">
        <v>544</v>
      </c>
    </row>
    <row r="11" spans="1:12" x14ac:dyDescent="0.3">
      <c r="A11" s="1"/>
      <c r="B11" s="4" t="s">
        <v>214</v>
      </c>
      <c r="C11" s="21" t="s">
        <v>49</v>
      </c>
      <c r="D11" s="17" t="s">
        <v>215</v>
      </c>
      <c r="E11" s="40">
        <v>104</v>
      </c>
      <c r="F11" s="41">
        <v>43018</v>
      </c>
      <c r="G11" s="26">
        <v>43220</v>
      </c>
      <c r="H11" s="26"/>
      <c r="I11" s="25">
        <v>43209</v>
      </c>
      <c r="J11" s="68">
        <v>43214</v>
      </c>
      <c r="K11" s="1" t="s">
        <v>535</v>
      </c>
    </row>
    <row r="12" spans="1:12" x14ac:dyDescent="0.3">
      <c r="A12" s="1"/>
      <c r="B12" s="11" t="s">
        <v>316</v>
      </c>
      <c r="C12" s="21" t="s">
        <v>321</v>
      </c>
      <c r="D12" s="17" t="s">
        <v>543</v>
      </c>
      <c r="E12" s="21">
        <v>45</v>
      </c>
      <c r="F12" s="25">
        <v>43095</v>
      </c>
      <c r="G12" s="26">
        <v>43220</v>
      </c>
      <c r="H12" s="21"/>
      <c r="I12" s="25">
        <v>43211</v>
      </c>
      <c r="J12" s="67">
        <v>43214</v>
      </c>
      <c r="K12" s="1"/>
    </row>
    <row r="13" spans="1:12" x14ac:dyDescent="0.3">
      <c r="A13" s="1"/>
      <c r="B13" s="4" t="s">
        <v>424</v>
      </c>
      <c r="C13" s="21" t="s">
        <v>425</v>
      </c>
      <c r="D13" s="17" t="s">
        <v>426</v>
      </c>
      <c r="E13" s="40">
        <v>135</v>
      </c>
      <c r="F13" s="41">
        <v>43173</v>
      </c>
      <c r="G13" s="26">
        <v>43235</v>
      </c>
      <c r="H13" s="26"/>
      <c r="I13" s="25">
        <v>43224</v>
      </c>
      <c r="J13" s="1"/>
      <c r="K13" s="1"/>
    </row>
    <row r="14" spans="1:12" x14ac:dyDescent="0.3">
      <c r="A14" s="1"/>
      <c r="B14" s="11"/>
      <c r="C14" s="21"/>
      <c r="D14" s="17"/>
      <c r="E14" s="21"/>
      <c r="F14" s="25"/>
      <c r="G14" s="26"/>
      <c r="H14" s="21"/>
      <c r="I14" s="1"/>
      <c r="J14" s="1"/>
      <c r="K14" s="1"/>
    </row>
    <row r="15" spans="1:12" x14ac:dyDescent="0.3">
      <c r="A15" s="1"/>
      <c r="B15" s="11"/>
      <c r="C15" s="21"/>
      <c r="D15" s="17"/>
      <c r="E15" s="21"/>
      <c r="F15" s="25"/>
      <c r="G15" s="26"/>
      <c r="H15" s="21"/>
      <c r="I15" s="1"/>
      <c r="J15" s="1"/>
      <c r="K15" s="1"/>
    </row>
  </sheetData>
  <autoFilter ref="B2:K2" xr:uid="{00000000-0009-0000-0000-000014000000}"/>
  <pageMargins left="0.25" right="0.25" top="0.75" bottom="0.75" header="0.3" footer="0.3"/>
  <pageSetup paperSize="9" scale="42" orientation="landscape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8"/>
  <dimension ref="A2:K19"/>
  <sheetViews>
    <sheetView topLeftCell="B1" zoomScale="86" zoomScaleNormal="86" workbookViewId="0">
      <selection activeCell="B10" sqref="B10:E10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38.33203125" customWidth="1"/>
  </cols>
  <sheetData>
    <row r="2" spans="1:11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55" t="s">
        <v>236</v>
      </c>
      <c r="J2" s="55" t="s">
        <v>234</v>
      </c>
      <c r="K2" s="73" t="s">
        <v>69</v>
      </c>
    </row>
    <row r="3" spans="1:11" x14ac:dyDescent="0.3">
      <c r="A3" s="25" t="s">
        <v>253</v>
      </c>
      <c r="B3" s="4" t="s">
        <v>345</v>
      </c>
      <c r="C3" s="21" t="s">
        <v>77</v>
      </c>
      <c r="D3" s="17" t="s">
        <v>103</v>
      </c>
      <c r="E3" s="40">
        <v>132</v>
      </c>
      <c r="F3" s="41">
        <v>43130</v>
      </c>
      <c r="G3" s="26">
        <v>43187</v>
      </c>
      <c r="H3" s="103"/>
      <c r="I3" s="3">
        <v>43171</v>
      </c>
      <c r="J3" s="141">
        <v>43178</v>
      </c>
      <c r="K3" s="21"/>
    </row>
    <row r="4" spans="1:11" x14ac:dyDescent="0.3">
      <c r="A4" s="25"/>
      <c r="B4" s="4" t="s">
        <v>346</v>
      </c>
      <c r="C4" s="21" t="s">
        <v>78</v>
      </c>
      <c r="D4" s="17" t="s">
        <v>347</v>
      </c>
      <c r="E4" s="40">
        <v>61</v>
      </c>
      <c r="F4" s="41">
        <v>43130</v>
      </c>
      <c r="G4" s="26">
        <v>43207</v>
      </c>
      <c r="H4" s="103"/>
      <c r="I4" s="3">
        <v>43174</v>
      </c>
      <c r="J4" s="140">
        <v>43181</v>
      </c>
      <c r="K4" s="137"/>
    </row>
    <row r="5" spans="1:11" x14ac:dyDescent="0.3">
      <c r="A5" s="25"/>
      <c r="B5" s="4" t="s">
        <v>326</v>
      </c>
      <c r="C5" s="21" t="s">
        <v>327</v>
      </c>
      <c r="D5" s="17" t="s">
        <v>35</v>
      </c>
      <c r="E5" s="40">
        <v>93</v>
      </c>
      <c r="F5" s="41">
        <v>43095</v>
      </c>
      <c r="G5" s="26">
        <v>43206</v>
      </c>
      <c r="H5" s="5"/>
      <c r="I5" s="3">
        <v>43182</v>
      </c>
      <c r="J5" s="68">
        <v>43195</v>
      </c>
      <c r="K5" s="1" t="s">
        <v>493</v>
      </c>
    </row>
    <row r="6" spans="1:11" x14ac:dyDescent="0.3">
      <c r="A6" s="1"/>
      <c r="B6" s="4" t="s">
        <v>328</v>
      </c>
      <c r="C6" s="21" t="s">
        <v>329</v>
      </c>
      <c r="D6" s="17" t="s">
        <v>37</v>
      </c>
      <c r="E6" s="40">
        <v>77</v>
      </c>
      <c r="F6" s="41">
        <v>43095</v>
      </c>
      <c r="G6" s="26">
        <v>43206</v>
      </c>
      <c r="H6" s="26"/>
      <c r="I6" s="3">
        <v>43182</v>
      </c>
      <c r="J6" s="68">
        <v>43195</v>
      </c>
      <c r="K6" s="1" t="s">
        <v>493</v>
      </c>
    </row>
    <row r="7" spans="1:11" x14ac:dyDescent="0.3">
      <c r="A7" s="1"/>
      <c r="B7" s="4" t="s">
        <v>348</v>
      </c>
      <c r="C7" s="21" t="s">
        <v>79</v>
      </c>
      <c r="D7" s="17" t="s">
        <v>349</v>
      </c>
      <c r="E7" s="40">
        <v>252</v>
      </c>
      <c r="F7" s="41">
        <v>43130</v>
      </c>
      <c r="G7" s="26">
        <v>43206</v>
      </c>
      <c r="H7" s="60"/>
      <c r="I7" s="3">
        <v>43187</v>
      </c>
      <c r="J7" s="68">
        <v>43197</v>
      </c>
      <c r="K7" s="1" t="s">
        <v>539</v>
      </c>
    </row>
    <row r="8" spans="1:11" x14ac:dyDescent="0.3">
      <c r="A8" s="1"/>
      <c r="B8" s="4" t="s">
        <v>382</v>
      </c>
      <c r="C8" s="21" t="s">
        <v>373</v>
      </c>
      <c r="D8" s="17" t="s">
        <v>494</v>
      </c>
      <c r="E8" s="40">
        <v>144</v>
      </c>
      <c r="F8" s="41">
        <v>43153</v>
      </c>
      <c r="G8" s="26">
        <v>43220</v>
      </c>
      <c r="H8" s="26"/>
      <c r="I8" s="3">
        <v>43207</v>
      </c>
      <c r="J8" s="112">
        <v>43211</v>
      </c>
      <c r="K8" s="20"/>
    </row>
    <row r="9" spans="1:11" x14ac:dyDescent="0.3">
      <c r="A9" s="1"/>
      <c r="B9" s="4" t="s">
        <v>381</v>
      </c>
      <c r="C9" s="21" t="s">
        <v>372</v>
      </c>
      <c r="D9" s="17" t="s">
        <v>34</v>
      </c>
      <c r="E9" s="40">
        <v>122</v>
      </c>
      <c r="F9" s="41">
        <v>43146</v>
      </c>
      <c r="G9" s="26">
        <v>43220</v>
      </c>
      <c r="H9" s="26"/>
      <c r="I9" s="3">
        <v>43211</v>
      </c>
      <c r="J9" s="112">
        <v>43217</v>
      </c>
      <c r="K9" s="20"/>
    </row>
    <row r="10" spans="1:11" x14ac:dyDescent="0.3">
      <c r="A10" s="1"/>
      <c r="B10" s="4" t="s">
        <v>398</v>
      </c>
      <c r="C10" s="40"/>
      <c r="D10" s="17" t="s">
        <v>399</v>
      </c>
      <c r="E10" s="40">
        <v>130</v>
      </c>
      <c r="F10" s="41">
        <v>43171</v>
      </c>
      <c r="G10" s="26">
        <v>43227</v>
      </c>
      <c r="H10" s="26"/>
      <c r="I10" s="3">
        <v>43217</v>
      </c>
      <c r="J10" s="170">
        <v>43224</v>
      </c>
      <c r="K10" s="20" t="s">
        <v>538</v>
      </c>
    </row>
    <row r="11" spans="1:11" x14ac:dyDescent="0.3">
      <c r="A11" s="1"/>
      <c r="B11" s="4"/>
      <c r="C11" s="21"/>
      <c r="D11" s="17"/>
      <c r="E11" s="40"/>
      <c r="F11" s="41"/>
      <c r="G11" s="26"/>
      <c r="H11" s="103"/>
      <c r="I11" s="3"/>
      <c r="J11" s="112"/>
      <c r="K11" s="20"/>
    </row>
    <row r="12" spans="1:11" x14ac:dyDescent="0.3">
      <c r="A12" s="1"/>
      <c r="B12" s="4"/>
      <c r="C12" s="21"/>
      <c r="D12" s="17"/>
      <c r="E12" s="40"/>
      <c r="F12" s="41"/>
      <c r="G12" s="26"/>
      <c r="H12" s="103"/>
      <c r="I12" s="3"/>
      <c r="J12" s="112"/>
      <c r="K12" s="20"/>
    </row>
    <row r="13" spans="1:11" x14ac:dyDescent="0.3">
      <c r="A13" s="1"/>
      <c r="B13" s="4"/>
      <c r="C13" s="21"/>
      <c r="D13" s="17"/>
      <c r="E13" s="40"/>
      <c r="F13" s="41"/>
      <c r="G13" s="26"/>
      <c r="H13" s="103"/>
      <c r="I13" s="3"/>
      <c r="J13" s="112"/>
      <c r="K13" s="20"/>
    </row>
    <row r="14" spans="1:11" x14ac:dyDescent="0.3">
      <c r="A14" s="1"/>
      <c r="B14" s="4"/>
      <c r="C14" s="21"/>
      <c r="D14" s="17"/>
      <c r="E14" s="40"/>
      <c r="F14" s="41"/>
      <c r="G14" s="26"/>
      <c r="H14" s="103"/>
      <c r="I14" s="3"/>
      <c r="J14" s="112"/>
      <c r="K14" s="20"/>
    </row>
    <row r="15" spans="1:11" x14ac:dyDescent="0.3">
      <c r="B15" s="4"/>
      <c r="C15" s="21"/>
      <c r="D15" s="17"/>
      <c r="E15" s="40"/>
      <c r="F15" s="41"/>
      <c r="G15" s="26"/>
      <c r="H15" s="104"/>
      <c r="I15" s="3"/>
      <c r="J15" s="112"/>
      <c r="K15" s="1"/>
    </row>
    <row r="16" spans="1:11" x14ac:dyDescent="0.3">
      <c r="B16" s="4"/>
      <c r="C16" s="21"/>
      <c r="D16" s="17"/>
      <c r="E16" s="40"/>
      <c r="F16" s="41"/>
      <c r="G16" s="26"/>
      <c r="H16" s="103"/>
      <c r="I16" s="25"/>
      <c r="J16" s="112"/>
      <c r="K16" s="1"/>
    </row>
    <row r="17" spans="2:11" x14ac:dyDescent="0.3">
      <c r="B17" s="4"/>
      <c r="C17" s="21"/>
      <c r="D17" s="17"/>
      <c r="E17" s="40"/>
      <c r="F17" s="41"/>
      <c r="G17" s="26"/>
      <c r="H17" s="103"/>
      <c r="I17" s="25"/>
      <c r="J17" s="25"/>
      <c r="K17" s="1"/>
    </row>
    <row r="19" spans="2:11" x14ac:dyDescent="0.3">
      <c r="J19">
        <f>0.645*47</f>
        <v>30.315000000000001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9"/>
  <dimension ref="A2:K15"/>
  <sheetViews>
    <sheetView topLeftCell="B1" zoomScale="70" zoomScaleNormal="70" workbookViewId="0">
      <selection activeCell="B10" sqref="B10:E10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38.33203125" customWidth="1"/>
  </cols>
  <sheetData>
    <row r="2" spans="1:11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55" t="s">
        <v>236</v>
      </c>
      <c r="J2" s="55" t="s">
        <v>234</v>
      </c>
      <c r="K2" s="73" t="s">
        <v>69</v>
      </c>
    </row>
    <row r="3" spans="1:11" x14ac:dyDescent="0.3">
      <c r="A3" s="25"/>
      <c r="B3" s="4" t="s">
        <v>184</v>
      </c>
      <c r="C3" s="21" t="s">
        <v>23</v>
      </c>
      <c r="D3" s="17" t="s">
        <v>185</v>
      </c>
      <c r="E3" s="40">
        <v>162</v>
      </c>
      <c r="F3" s="41">
        <v>43018</v>
      </c>
      <c r="G3" s="26">
        <v>43206</v>
      </c>
      <c r="H3" s="26"/>
      <c r="I3" s="3">
        <v>43158</v>
      </c>
      <c r="J3" s="67">
        <v>43163</v>
      </c>
      <c r="K3" s="1" t="s">
        <v>394</v>
      </c>
    </row>
    <row r="4" spans="1:11" x14ac:dyDescent="0.3">
      <c r="A4" s="1"/>
      <c r="B4" s="4" t="s">
        <v>330</v>
      </c>
      <c r="C4" s="21" t="s">
        <v>331</v>
      </c>
      <c r="D4" s="17" t="s">
        <v>332</v>
      </c>
      <c r="E4" s="40">
        <v>194</v>
      </c>
      <c r="F4" s="41">
        <v>43108</v>
      </c>
      <c r="G4" s="26">
        <v>43175</v>
      </c>
      <c r="H4" s="114"/>
      <c r="I4" s="44">
        <v>43165</v>
      </c>
      <c r="J4" s="67">
        <v>43172</v>
      </c>
      <c r="K4" s="1"/>
    </row>
    <row r="5" spans="1:11" x14ac:dyDescent="0.3">
      <c r="A5" s="1"/>
      <c r="B5" s="4" t="s">
        <v>343</v>
      </c>
      <c r="C5" s="21" t="s">
        <v>344</v>
      </c>
      <c r="D5" s="17" t="s">
        <v>72</v>
      </c>
      <c r="E5" s="40">
        <v>132</v>
      </c>
      <c r="F5" s="41">
        <v>43130</v>
      </c>
      <c r="G5" s="26">
        <v>43175</v>
      </c>
      <c r="H5" s="114"/>
      <c r="I5" s="41">
        <v>43165</v>
      </c>
      <c r="J5" s="67">
        <v>43172</v>
      </c>
      <c r="K5" s="1"/>
    </row>
    <row r="6" spans="1:11" x14ac:dyDescent="0.3">
      <c r="A6" s="1"/>
      <c r="B6" s="4" t="s">
        <v>152</v>
      </c>
      <c r="C6" s="21" t="s">
        <v>8</v>
      </c>
      <c r="D6" s="17" t="s">
        <v>153</v>
      </c>
      <c r="E6" s="40">
        <v>60</v>
      </c>
      <c r="F6" s="41">
        <v>43018</v>
      </c>
      <c r="G6" s="26">
        <v>43175</v>
      </c>
      <c r="H6" s="103"/>
      <c r="I6" s="3">
        <v>43169</v>
      </c>
      <c r="J6" s="112">
        <v>43186</v>
      </c>
      <c r="K6" s="20"/>
    </row>
    <row r="7" spans="1:11" x14ac:dyDescent="0.3">
      <c r="A7" s="1"/>
      <c r="B7" s="4" t="s">
        <v>156</v>
      </c>
      <c r="C7" s="21" t="s">
        <v>10</v>
      </c>
      <c r="D7" s="17" t="s">
        <v>157</v>
      </c>
      <c r="E7" s="40">
        <v>47</v>
      </c>
      <c r="F7" s="41">
        <v>43018</v>
      </c>
      <c r="G7" s="26">
        <v>43175</v>
      </c>
      <c r="H7" s="103"/>
      <c r="I7" s="3">
        <v>43178</v>
      </c>
      <c r="J7" s="112">
        <v>43186</v>
      </c>
      <c r="K7" s="20"/>
    </row>
    <row r="8" spans="1:11" x14ac:dyDescent="0.3">
      <c r="A8" s="1"/>
      <c r="B8" s="4" t="s">
        <v>186</v>
      </c>
      <c r="C8" s="21" t="s">
        <v>25</v>
      </c>
      <c r="D8" s="17" t="s">
        <v>187</v>
      </c>
      <c r="E8" s="40">
        <v>40</v>
      </c>
      <c r="F8" s="41">
        <v>43018</v>
      </c>
      <c r="G8" s="26">
        <v>43206</v>
      </c>
      <c r="H8" s="26"/>
      <c r="I8" s="3">
        <v>43195</v>
      </c>
      <c r="J8" s="112">
        <v>43202</v>
      </c>
      <c r="K8" s="20"/>
    </row>
    <row r="9" spans="1:11" x14ac:dyDescent="0.3">
      <c r="A9" s="1"/>
      <c r="B9" s="4" t="s">
        <v>352</v>
      </c>
      <c r="C9" s="21" t="s">
        <v>80</v>
      </c>
      <c r="D9" s="17" t="s">
        <v>66</v>
      </c>
      <c r="E9" s="40">
        <v>85</v>
      </c>
      <c r="F9" s="41">
        <v>43130</v>
      </c>
      <c r="G9" s="26">
        <v>43206</v>
      </c>
      <c r="H9" s="26"/>
      <c r="I9" s="3">
        <v>43195</v>
      </c>
      <c r="J9" s="112">
        <v>43203</v>
      </c>
      <c r="K9" s="20"/>
    </row>
    <row r="10" spans="1:11" x14ac:dyDescent="0.3">
      <c r="A10" s="1"/>
      <c r="B10" s="4" t="s">
        <v>424</v>
      </c>
      <c r="C10" s="21" t="s">
        <v>425</v>
      </c>
      <c r="D10" s="17" t="s">
        <v>426</v>
      </c>
      <c r="E10" s="40">
        <v>135</v>
      </c>
      <c r="F10" s="41">
        <v>43173</v>
      </c>
      <c r="G10" s="26">
        <v>43235</v>
      </c>
      <c r="H10" s="103"/>
      <c r="I10" s="3">
        <v>43225</v>
      </c>
      <c r="J10" s="112"/>
      <c r="K10" s="20"/>
    </row>
    <row r="11" spans="1:11" x14ac:dyDescent="0.3">
      <c r="A11" s="1"/>
      <c r="B11" s="4"/>
      <c r="C11" s="21"/>
      <c r="D11" s="17"/>
      <c r="E11" s="40"/>
      <c r="F11" s="41"/>
      <c r="G11" s="26"/>
      <c r="H11" s="103"/>
      <c r="I11" s="3"/>
      <c r="J11" s="112"/>
      <c r="K11" s="20"/>
    </row>
    <row r="12" spans="1:11" x14ac:dyDescent="0.3">
      <c r="A12" s="1"/>
      <c r="B12" s="4"/>
      <c r="C12" s="21"/>
      <c r="D12" s="17"/>
      <c r="E12" s="40"/>
      <c r="F12" s="41"/>
      <c r="G12" s="26"/>
      <c r="H12" s="103"/>
      <c r="I12" s="3"/>
      <c r="J12" s="112"/>
      <c r="K12" s="20"/>
    </row>
    <row r="13" spans="1:11" x14ac:dyDescent="0.3">
      <c r="B13" s="4"/>
      <c r="C13" s="21"/>
      <c r="D13" s="17"/>
      <c r="E13" s="40"/>
      <c r="F13" s="41"/>
      <c r="G13" s="26"/>
      <c r="H13" s="104"/>
      <c r="I13" s="3"/>
      <c r="J13" s="112"/>
      <c r="K13" s="1"/>
    </row>
    <row r="14" spans="1:11" x14ac:dyDescent="0.3">
      <c r="B14" s="4"/>
      <c r="C14" s="21"/>
      <c r="D14" s="17"/>
      <c r="E14" s="40"/>
      <c r="F14" s="41"/>
      <c r="G14" s="26"/>
      <c r="H14" s="103"/>
      <c r="I14" s="25"/>
      <c r="J14" s="112"/>
      <c r="K14" s="1"/>
    </row>
    <row r="15" spans="1:11" x14ac:dyDescent="0.3">
      <c r="B15" s="4"/>
      <c r="C15" s="21"/>
      <c r="D15" s="17"/>
      <c r="E15" s="40"/>
      <c r="F15" s="41"/>
      <c r="G15" s="26"/>
      <c r="H15" s="103"/>
      <c r="I15" s="25"/>
      <c r="J15" s="25"/>
      <c r="K15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0"/>
  <dimension ref="A2:K17"/>
  <sheetViews>
    <sheetView topLeftCell="B1" zoomScale="75" zoomScaleNormal="75" workbookViewId="0">
      <selection activeCell="B5" sqref="B5:D5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63" customWidth="1"/>
  </cols>
  <sheetData>
    <row r="2" spans="1:11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55" t="s">
        <v>236</v>
      </c>
      <c r="J2" s="55" t="s">
        <v>234</v>
      </c>
      <c r="K2" s="73" t="s">
        <v>69</v>
      </c>
    </row>
    <row r="3" spans="1:11" x14ac:dyDescent="0.3">
      <c r="A3" s="25" t="s">
        <v>253</v>
      </c>
      <c r="B3" s="4" t="s">
        <v>146</v>
      </c>
      <c r="C3" s="21" t="s">
        <v>5</v>
      </c>
      <c r="D3" s="17" t="s">
        <v>147</v>
      </c>
      <c r="E3" s="40">
        <v>48</v>
      </c>
      <c r="F3" s="41">
        <v>43018</v>
      </c>
      <c r="G3" s="26">
        <v>43175</v>
      </c>
      <c r="H3" s="103">
        <v>12</v>
      </c>
      <c r="I3" s="3">
        <v>43129</v>
      </c>
      <c r="J3" s="168">
        <v>43136</v>
      </c>
      <c r="K3" s="21" t="s">
        <v>360</v>
      </c>
    </row>
    <row r="4" spans="1:11" x14ac:dyDescent="0.3">
      <c r="A4" s="25"/>
      <c r="B4" s="4" t="s">
        <v>148</v>
      </c>
      <c r="C4" s="21" t="s">
        <v>6</v>
      </c>
      <c r="D4" s="17" t="s">
        <v>149</v>
      </c>
      <c r="E4" s="40">
        <v>48</v>
      </c>
      <c r="F4" s="41">
        <v>43018</v>
      </c>
      <c r="G4" s="26">
        <v>43175</v>
      </c>
      <c r="H4" s="103">
        <v>12</v>
      </c>
      <c r="I4" s="3">
        <v>43129</v>
      </c>
      <c r="J4" s="168">
        <v>43136</v>
      </c>
      <c r="K4" s="21" t="s">
        <v>360</v>
      </c>
    </row>
    <row r="5" spans="1:11" x14ac:dyDescent="0.3">
      <c r="A5" s="25"/>
      <c r="B5" s="4" t="s">
        <v>190</v>
      </c>
      <c r="C5" s="21" t="s">
        <v>33</v>
      </c>
      <c r="D5" s="17" t="s">
        <v>191</v>
      </c>
      <c r="E5" s="40">
        <v>36</v>
      </c>
      <c r="F5" s="41">
        <v>43018</v>
      </c>
      <c r="G5" s="26">
        <v>43206</v>
      </c>
      <c r="H5" s="26"/>
      <c r="I5" s="3">
        <v>43197</v>
      </c>
      <c r="J5" s="167">
        <v>43202</v>
      </c>
      <c r="K5" s="1"/>
    </row>
    <row r="6" spans="1:11" x14ac:dyDescent="0.3">
      <c r="A6" s="1"/>
      <c r="B6" s="34"/>
      <c r="C6" s="21"/>
      <c r="D6" s="38"/>
      <c r="E6" s="43"/>
      <c r="F6" s="44"/>
      <c r="G6" s="45"/>
      <c r="H6" s="114"/>
      <c r="I6" s="3"/>
      <c r="J6" s="3"/>
      <c r="K6" s="1"/>
    </row>
    <row r="7" spans="1:11" x14ac:dyDescent="0.3">
      <c r="A7" s="1"/>
      <c r="B7" s="4"/>
      <c r="C7" s="21"/>
      <c r="D7" s="17"/>
      <c r="E7" s="40"/>
      <c r="F7" s="41"/>
      <c r="G7" s="26"/>
      <c r="H7" s="114"/>
      <c r="I7" s="3"/>
      <c r="J7" s="3"/>
      <c r="K7" s="1"/>
    </row>
    <row r="8" spans="1:11" x14ac:dyDescent="0.3">
      <c r="A8" s="1"/>
      <c r="B8" s="4"/>
      <c r="C8" s="21"/>
      <c r="D8" s="17"/>
      <c r="E8" s="40"/>
      <c r="F8" s="41"/>
      <c r="G8" s="26"/>
      <c r="H8" s="103"/>
      <c r="I8" s="3"/>
      <c r="J8" s="112"/>
      <c r="K8" s="20"/>
    </row>
    <row r="9" spans="1:11" x14ac:dyDescent="0.3">
      <c r="A9" s="1"/>
      <c r="B9" s="4"/>
      <c r="C9" s="21"/>
      <c r="D9" s="17"/>
      <c r="E9" s="40"/>
      <c r="F9" s="41"/>
      <c r="G9" s="26"/>
      <c r="H9" s="103"/>
      <c r="I9" s="3"/>
      <c r="J9" s="112"/>
      <c r="K9" s="20"/>
    </row>
    <row r="10" spans="1:11" x14ac:dyDescent="0.3">
      <c r="A10" s="1"/>
      <c r="B10" s="4"/>
      <c r="C10" s="21"/>
      <c r="D10" s="17"/>
      <c r="E10" s="40"/>
      <c r="F10" s="41"/>
      <c r="G10" s="26"/>
      <c r="H10" s="103"/>
      <c r="I10" s="3"/>
      <c r="J10" s="112"/>
      <c r="K10" s="20"/>
    </row>
    <row r="11" spans="1:11" x14ac:dyDescent="0.3">
      <c r="A11" s="1"/>
      <c r="B11" s="4"/>
      <c r="C11" s="21"/>
      <c r="D11" s="17"/>
      <c r="E11" s="40"/>
      <c r="F11" s="41"/>
      <c r="G11" s="26"/>
      <c r="H11" s="103"/>
      <c r="I11" s="3"/>
      <c r="J11" s="112"/>
      <c r="K11" s="20"/>
    </row>
    <row r="12" spans="1:11" x14ac:dyDescent="0.3">
      <c r="A12" s="1"/>
      <c r="B12" s="4"/>
      <c r="C12" s="21"/>
      <c r="D12" s="17"/>
      <c r="E12" s="40"/>
      <c r="F12" s="41"/>
      <c r="G12" s="26"/>
      <c r="H12" s="103"/>
      <c r="I12" s="3"/>
      <c r="J12" s="112"/>
      <c r="K12" s="20"/>
    </row>
    <row r="13" spans="1:11" x14ac:dyDescent="0.3">
      <c r="A13" s="1"/>
      <c r="B13" s="4"/>
      <c r="C13" s="21"/>
      <c r="D13" s="17"/>
      <c r="E13" s="40"/>
      <c r="F13" s="41"/>
      <c r="G13" s="26"/>
      <c r="H13" s="103"/>
      <c r="I13" s="3"/>
      <c r="J13" s="112"/>
      <c r="K13" s="20"/>
    </row>
    <row r="14" spans="1:11" x14ac:dyDescent="0.3">
      <c r="A14" s="1"/>
      <c r="B14" s="4"/>
      <c r="C14" s="21"/>
      <c r="D14" s="17"/>
      <c r="E14" s="40"/>
      <c r="F14" s="41"/>
      <c r="G14" s="26"/>
      <c r="H14" s="103"/>
      <c r="I14" s="3"/>
      <c r="J14" s="112"/>
      <c r="K14" s="20"/>
    </row>
    <row r="15" spans="1:11" x14ac:dyDescent="0.3">
      <c r="B15" s="4"/>
      <c r="C15" s="21"/>
      <c r="D15" s="17"/>
      <c r="E15" s="40"/>
      <c r="F15" s="41"/>
      <c r="G15" s="26"/>
      <c r="H15" s="104"/>
      <c r="I15" s="3"/>
      <c r="J15" s="112"/>
      <c r="K15" s="1"/>
    </row>
    <row r="16" spans="1:11" x14ac:dyDescent="0.3">
      <c r="B16" s="4"/>
      <c r="C16" s="21"/>
      <c r="D16" s="17"/>
      <c r="E16" s="40"/>
      <c r="F16" s="41"/>
      <c r="G16" s="26"/>
      <c r="H16" s="103"/>
      <c r="I16" s="25"/>
      <c r="J16" s="112"/>
      <c r="K16" s="1"/>
    </row>
    <row r="17" spans="2:11" x14ac:dyDescent="0.3">
      <c r="B17" s="4"/>
      <c r="C17" s="21"/>
      <c r="D17" s="17"/>
      <c r="E17" s="40"/>
      <c r="F17" s="41"/>
      <c r="G17" s="26"/>
      <c r="H17" s="103"/>
      <c r="I17" s="25"/>
      <c r="J17" s="25"/>
      <c r="K17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1"/>
  <dimension ref="A2:K15"/>
  <sheetViews>
    <sheetView topLeftCell="B1" zoomScale="86" zoomScaleNormal="86" workbookViewId="0">
      <selection activeCell="B5" sqref="B5:E5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38.33203125" customWidth="1"/>
  </cols>
  <sheetData>
    <row r="2" spans="1:11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55" t="s">
        <v>236</v>
      </c>
      <c r="J2" s="55" t="s">
        <v>234</v>
      </c>
      <c r="K2" s="73" t="s">
        <v>69</v>
      </c>
    </row>
    <row r="3" spans="1:11" x14ac:dyDescent="0.3">
      <c r="A3" s="25" t="s">
        <v>253</v>
      </c>
      <c r="B3" s="4" t="s">
        <v>184</v>
      </c>
      <c r="C3" s="21" t="s">
        <v>23</v>
      </c>
      <c r="D3" s="17" t="s">
        <v>185</v>
      </c>
      <c r="E3" s="40">
        <v>28</v>
      </c>
      <c r="F3" s="41">
        <v>43018</v>
      </c>
      <c r="G3" s="26">
        <v>43206</v>
      </c>
      <c r="H3" s="26"/>
      <c r="I3" s="3">
        <v>43192</v>
      </c>
      <c r="J3" s="141">
        <v>43198</v>
      </c>
      <c r="K3" s="21"/>
    </row>
    <row r="4" spans="1:11" x14ac:dyDescent="0.3">
      <c r="A4" s="25"/>
      <c r="B4" s="4" t="s">
        <v>218</v>
      </c>
      <c r="C4" s="21" t="s">
        <v>51</v>
      </c>
      <c r="D4" s="17" t="s">
        <v>219</v>
      </c>
      <c r="E4" s="40">
        <v>72</v>
      </c>
      <c r="F4" s="41">
        <v>43018</v>
      </c>
      <c r="G4" s="26">
        <v>43220</v>
      </c>
      <c r="H4" s="26"/>
      <c r="I4" s="3">
        <v>43209</v>
      </c>
      <c r="J4" s="141">
        <v>43215</v>
      </c>
      <c r="K4" s="137" t="s">
        <v>537</v>
      </c>
    </row>
    <row r="5" spans="1:11" x14ac:dyDescent="0.3">
      <c r="A5" s="1"/>
      <c r="B5" s="4" t="s">
        <v>396</v>
      </c>
      <c r="C5" s="40"/>
      <c r="D5" s="17" t="s">
        <v>397</v>
      </c>
      <c r="E5" s="40">
        <v>190</v>
      </c>
      <c r="F5" s="41">
        <v>43171</v>
      </c>
      <c r="G5" s="26">
        <v>43227</v>
      </c>
      <c r="H5" s="114"/>
      <c r="I5" s="3">
        <v>43222</v>
      </c>
      <c r="J5" s="3">
        <v>43237</v>
      </c>
      <c r="K5" s="1"/>
    </row>
    <row r="6" spans="1:11" x14ac:dyDescent="0.3">
      <c r="A6" s="1"/>
      <c r="B6" s="4"/>
      <c r="C6" s="21"/>
      <c r="D6" s="17"/>
      <c r="E6" s="40"/>
      <c r="F6" s="41"/>
      <c r="G6" s="26"/>
      <c r="H6" s="103"/>
      <c r="I6" s="3"/>
      <c r="J6" s="161" t="s">
        <v>391</v>
      </c>
      <c r="K6" s="20"/>
    </row>
    <row r="7" spans="1:11" x14ac:dyDescent="0.3">
      <c r="A7" s="1"/>
      <c r="B7" s="4"/>
      <c r="C7" s="21"/>
      <c r="D7" s="17"/>
      <c r="E7" s="40"/>
      <c r="F7" s="41"/>
      <c r="G7" s="26"/>
      <c r="H7" s="103"/>
      <c r="I7" s="3"/>
      <c r="J7" s="161"/>
      <c r="K7" s="20"/>
    </row>
    <row r="8" spans="1:11" x14ac:dyDescent="0.3">
      <c r="A8" s="1"/>
      <c r="B8" s="4"/>
      <c r="C8" s="21"/>
      <c r="D8" s="17"/>
      <c r="E8" s="40"/>
      <c r="F8" s="41"/>
      <c r="G8" s="26"/>
      <c r="H8" s="103"/>
      <c r="I8" s="3"/>
      <c r="J8" s="161"/>
      <c r="K8" s="20"/>
    </row>
    <row r="9" spans="1:11" x14ac:dyDescent="0.3">
      <c r="A9" s="1"/>
      <c r="B9" s="4"/>
      <c r="C9" s="21"/>
      <c r="D9" s="17"/>
      <c r="E9" s="40"/>
      <c r="F9" s="41"/>
      <c r="G9" s="26"/>
      <c r="H9" s="103"/>
      <c r="I9" s="3"/>
      <c r="J9" s="161"/>
      <c r="K9" s="20"/>
    </row>
    <row r="10" spans="1:11" x14ac:dyDescent="0.3">
      <c r="A10" s="1"/>
      <c r="B10" s="4"/>
      <c r="C10" s="21"/>
      <c r="D10" s="17"/>
      <c r="E10" s="40"/>
      <c r="F10" s="41"/>
      <c r="G10" s="26"/>
      <c r="H10" s="103"/>
      <c r="I10" s="3"/>
      <c r="J10" s="161"/>
      <c r="K10" s="20"/>
    </row>
    <row r="11" spans="1:11" x14ac:dyDescent="0.3">
      <c r="A11" s="1"/>
      <c r="B11" s="4"/>
      <c r="C11" s="21"/>
      <c r="D11" s="17"/>
      <c r="E11" s="40"/>
      <c r="F11" s="41"/>
      <c r="G11" s="26"/>
      <c r="H11" s="103"/>
      <c r="I11" s="3"/>
      <c r="J11" s="161"/>
      <c r="K11" s="20"/>
    </row>
    <row r="12" spans="1:11" x14ac:dyDescent="0.3">
      <c r="A12" s="1"/>
      <c r="B12" s="4"/>
      <c r="C12" s="21"/>
      <c r="D12" s="17"/>
      <c r="E12" s="40"/>
      <c r="F12" s="41"/>
      <c r="G12" s="26"/>
      <c r="H12" s="103"/>
      <c r="I12" s="3"/>
      <c r="J12" s="161"/>
      <c r="K12" s="20"/>
    </row>
    <row r="13" spans="1:11" x14ac:dyDescent="0.3">
      <c r="B13" s="4"/>
      <c r="C13" s="21"/>
      <c r="D13" s="17"/>
      <c r="E13" s="40"/>
      <c r="F13" s="41"/>
      <c r="G13" s="26"/>
      <c r="H13" s="104"/>
      <c r="I13" s="3"/>
      <c r="J13" s="161"/>
      <c r="K13" s="1"/>
    </row>
    <row r="14" spans="1:11" x14ac:dyDescent="0.3">
      <c r="B14" s="4"/>
      <c r="C14" s="21"/>
      <c r="D14" s="17"/>
      <c r="E14" s="40"/>
      <c r="F14" s="41"/>
      <c r="G14" s="26"/>
      <c r="H14" s="103"/>
      <c r="I14" s="25"/>
      <c r="J14" s="161"/>
      <c r="K14" s="1"/>
    </row>
    <row r="15" spans="1:11" x14ac:dyDescent="0.3">
      <c r="B15" s="4"/>
      <c r="C15" s="21"/>
      <c r="D15" s="17"/>
      <c r="E15" s="40"/>
      <c r="F15" s="41"/>
      <c r="G15" s="26"/>
      <c r="H15" s="103"/>
      <c r="I15" s="25"/>
      <c r="J15" s="25"/>
      <c r="K15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2">
    <pageSetUpPr fitToPage="1"/>
  </sheetPr>
  <dimension ref="A2:K27"/>
  <sheetViews>
    <sheetView zoomScale="70" zoomScaleNormal="70" workbookViewId="0">
      <pane xSplit="10" ySplit="2" topLeftCell="K3" activePane="bottomRight" state="frozen"/>
      <selection pane="topRight" activeCell="H1" sqref="H1"/>
      <selection pane="bottomLeft" activeCell="A3" sqref="A3"/>
      <selection pane="bottomRight" activeCell="G16" sqref="G16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36.88671875" customWidth="1"/>
  </cols>
  <sheetData>
    <row r="2" spans="1:11" ht="65.25" customHeight="1" x14ac:dyDescent="0.3">
      <c r="A2" s="5" t="s">
        <v>231</v>
      </c>
      <c r="B2" s="9" t="s">
        <v>235</v>
      </c>
      <c r="C2" s="6" t="s">
        <v>232</v>
      </c>
      <c r="D2" s="16" t="s">
        <v>27</v>
      </c>
      <c r="E2" s="7" t="s">
        <v>28</v>
      </c>
      <c r="F2" s="8" t="s">
        <v>29</v>
      </c>
      <c r="G2" s="19" t="s">
        <v>70</v>
      </c>
      <c r="H2" s="8" t="s">
        <v>233</v>
      </c>
      <c r="I2" s="12" t="s">
        <v>236</v>
      </c>
      <c r="J2" s="12" t="s">
        <v>234</v>
      </c>
      <c r="K2" s="13" t="s">
        <v>69</v>
      </c>
    </row>
    <row r="3" spans="1:11" hidden="1" x14ac:dyDescent="0.3">
      <c r="A3" s="25">
        <v>43021</v>
      </c>
      <c r="B3" s="36" t="s">
        <v>88</v>
      </c>
      <c r="C3" s="37" t="s">
        <v>94</v>
      </c>
      <c r="D3" s="39" t="s">
        <v>100</v>
      </c>
      <c r="E3" s="37">
        <v>114</v>
      </c>
      <c r="F3" s="26">
        <v>42828</v>
      </c>
      <c r="G3" s="102" t="s">
        <v>84</v>
      </c>
      <c r="H3" s="21">
        <v>18</v>
      </c>
      <c r="I3" s="3">
        <v>42998</v>
      </c>
      <c r="J3" s="67">
        <v>43018</v>
      </c>
      <c r="K3" s="1" t="s">
        <v>241</v>
      </c>
    </row>
    <row r="4" spans="1:11" hidden="1" x14ac:dyDescent="0.3">
      <c r="A4" s="25">
        <v>43021</v>
      </c>
      <c r="B4" s="36" t="s">
        <v>89</v>
      </c>
      <c r="C4" s="37" t="s">
        <v>95</v>
      </c>
      <c r="D4" s="39" t="s">
        <v>101</v>
      </c>
      <c r="E4" s="37">
        <v>114</v>
      </c>
      <c r="F4" s="26">
        <v>42828</v>
      </c>
      <c r="G4" s="102" t="s">
        <v>84</v>
      </c>
      <c r="H4" s="21">
        <v>18</v>
      </c>
      <c r="I4" s="3">
        <v>43018</v>
      </c>
      <c r="J4" s="67">
        <v>43026</v>
      </c>
      <c r="K4" s="1" t="s">
        <v>241</v>
      </c>
    </row>
    <row r="5" spans="1:11" hidden="1" x14ac:dyDescent="0.3">
      <c r="A5" s="25">
        <v>43026</v>
      </c>
      <c r="B5" s="36" t="s">
        <v>90</v>
      </c>
      <c r="C5" s="37" t="s">
        <v>96</v>
      </c>
      <c r="D5" s="39" t="s">
        <v>102</v>
      </c>
      <c r="E5" s="37">
        <v>88</v>
      </c>
      <c r="F5" s="26">
        <v>42828</v>
      </c>
      <c r="G5" s="102" t="s">
        <v>84</v>
      </c>
      <c r="H5" s="5">
        <v>18</v>
      </c>
      <c r="I5" s="26">
        <v>43026</v>
      </c>
      <c r="J5" s="67">
        <v>43031</v>
      </c>
      <c r="K5" s="1" t="s">
        <v>241</v>
      </c>
    </row>
    <row r="6" spans="1:11" hidden="1" x14ac:dyDescent="0.3">
      <c r="A6" s="25">
        <v>43036</v>
      </c>
      <c r="B6" s="34" t="s">
        <v>123</v>
      </c>
      <c r="C6" s="35" t="s">
        <v>121</v>
      </c>
      <c r="D6" s="38" t="s">
        <v>122</v>
      </c>
      <c r="E6" s="43">
        <v>88</v>
      </c>
      <c r="F6" s="25"/>
      <c r="G6" s="26" t="s">
        <v>83</v>
      </c>
      <c r="H6" s="21">
        <v>20</v>
      </c>
      <c r="I6" s="3">
        <v>43031</v>
      </c>
      <c r="J6" s="67">
        <v>43035</v>
      </c>
      <c r="K6" s="1" t="s">
        <v>251</v>
      </c>
    </row>
    <row r="7" spans="1:11" hidden="1" x14ac:dyDescent="0.3">
      <c r="A7" s="1"/>
      <c r="B7" s="34" t="s">
        <v>135</v>
      </c>
      <c r="C7" s="40" t="s">
        <v>136</v>
      </c>
      <c r="D7" s="39" t="s">
        <v>31</v>
      </c>
      <c r="E7" s="40">
        <v>112</v>
      </c>
      <c r="F7" s="26">
        <v>42976</v>
      </c>
      <c r="G7" s="26">
        <v>43009</v>
      </c>
      <c r="H7" s="21">
        <v>15</v>
      </c>
      <c r="I7" s="3">
        <v>43041</v>
      </c>
      <c r="J7" s="67">
        <v>43049</v>
      </c>
      <c r="K7" s="1"/>
    </row>
    <row r="8" spans="1:11" hidden="1" x14ac:dyDescent="0.3">
      <c r="A8" s="1"/>
      <c r="B8" s="34" t="s">
        <v>133</v>
      </c>
      <c r="C8" s="40" t="s">
        <v>134</v>
      </c>
      <c r="D8" s="39" t="s">
        <v>37</v>
      </c>
      <c r="E8" s="40">
        <v>30</v>
      </c>
      <c r="F8" s="26">
        <v>42976</v>
      </c>
      <c r="G8" s="26">
        <v>43009</v>
      </c>
      <c r="H8" s="21">
        <v>20</v>
      </c>
      <c r="I8" s="3">
        <v>43036</v>
      </c>
      <c r="J8" s="67">
        <v>43043</v>
      </c>
      <c r="K8" s="1"/>
    </row>
    <row r="9" spans="1:11" hidden="1" x14ac:dyDescent="0.3">
      <c r="A9" s="1"/>
      <c r="B9" s="36" t="s">
        <v>91</v>
      </c>
      <c r="C9" s="37" t="s">
        <v>97</v>
      </c>
      <c r="D9" s="17" t="s">
        <v>105</v>
      </c>
      <c r="E9" s="37">
        <v>32</v>
      </c>
      <c r="F9" s="26">
        <v>42828</v>
      </c>
      <c r="G9" s="102" t="s">
        <v>84</v>
      </c>
      <c r="H9" s="21">
        <v>5</v>
      </c>
      <c r="I9" s="85">
        <v>43049</v>
      </c>
      <c r="J9" s="67">
        <v>43056</v>
      </c>
      <c r="K9" s="20"/>
    </row>
    <row r="10" spans="1:11" hidden="1" x14ac:dyDescent="0.3">
      <c r="A10" s="1"/>
      <c r="B10" s="36" t="s">
        <v>86</v>
      </c>
      <c r="C10" s="37" t="s">
        <v>92</v>
      </c>
      <c r="D10" s="39" t="s">
        <v>99</v>
      </c>
      <c r="E10" s="37">
        <v>49</v>
      </c>
      <c r="F10" s="26">
        <v>42828</v>
      </c>
      <c r="G10" s="102" t="s">
        <v>84</v>
      </c>
      <c r="H10" s="21">
        <v>15</v>
      </c>
      <c r="I10" s="3">
        <v>43066</v>
      </c>
      <c r="J10" s="67">
        <v>43069</v>
      </c>
      <c r="K10" s="1"/>
    </row>
    <row r="11" spans="1:11" hidden="1" x14ac:dyDescent="0.3">
      <c r="A11" s="1"/>
      <c r="B11" s="36" t="s">
        <v>87</v>
      </c>
      <c r="C11" s="37" t="s">
        <v>93</v>
      </c>
      <c r="D11" s="39" t="s">
        <v>98</v>
      </c>
      <c r="E11" s="37">
        <v>44</v>
      </c>
      <c r="F11" s="26">
        <v>42828</v>
      </c>
      <c r="G11" s="102" t="s">
        <v>84</v>
      </c>
      <c r="H11" s="21">
        <v>15</v>
      </c>
      <c r="I11" s="3">
        <v>43066</v>
      </c>
      <c r="J11" s="67">
        <v>43069</v>
      </c>
      <c r="K11" s="1"/>
    </row>
    <row r="12" spans="1:11" hidden="1" x14ac:dyDescent="0.3">
      <c r="A12" s="1"/>
      <c r="B12" s="4" t="s">
        <v>247</v>
      </c>
      <c r="C12" s="40"/>
      <c r="D12" s="17" t="s">
        <v>245</v>
      </c>
      <c r="E12" s="40">
        <v>72</v>
      </c>
      <c r="F12" s="1"/>
      <c r="G12" s="5"/>
      <c r="H12" s="21">
        <v>10</v>
      </c>
      <c r="I12" s="3">
        <v>43075</v>
      </c>
      <c r="J12" s="100">
        <v>43087</v>
      </c>
      <c r="K12" s="1" t="s">
        <v>296</v>
      </c>
    </row>
    <row r="13" spans="1:11" hidden="1" x14ac:dyDescent="0.3">
      <c r="A13" s="1"/>
      <c r="B13" s="4" t="s">
        <v>248</v>
      </c>
      <c r="C13" s="40"/>
      <c r="D13" s="17" t="s">
        <v>246</v>
      </c>
      <c r="E13" s="40">
        <v>72</v>
      </c>
      <c r="F13" s="1"/>
      <c r="G13" s="5"/>
      <c r="H13" s="21">
        <v>10</v>
      </c>
      <c r="I13" s="3">
        <v>43075</v>
      </c>
      <c r="J13" s="100">
        <v>43087</v>
      </c>
      <c r="K13" s="1" t="s">
        <v>296</v>
      </c>
    </row>
    <row r="14" spans="1:11" x14ac:dyDescent="0.3">
      <c r="A14" s="1"/>
      <c r="B14" s="4" t="s">
        <v>163</v>
      </c>
      <c r="C14" s="21" t="s">
        <v>13</v>
      </c>
      <c r="D14" s="17" t="s">
        <v>164</v>
      </c>
      <c r="E14" s="40">
        <v>240</v>
      </c>
      <c r="F14" s="25">
        <v>43018</v>
      </c>
      <c r="G14" s="26">
        <v>43123</v>
      </c>
      <c r="H14" s="21">
        <v>40</v>
      </c>
      <c r="I14" s="3">
        <v>43106</v>
      </c>
      <c r="J14" s="25">
        <v>43111</v>
      </c>
      <c r="K14" s="25" t="s">
        <v>306</v>
      </c>
    </row>
    <row r="15" spans="1:11" x14ac:dyDescent="0.3">
      <c r="A15" s="1"/>
      <c r="B15" s="4" t="s">
        <v>182</v>
      </c>
      <c r="C15" s="21" t="s">
        <v>22</v>
      </c>
      <c r="D15" s="17" t="s">
        <v>183</v>
      </c>
      <c r="E15" s="40">
        <v>180</v>
      </c>
      <c r="F15" s="25">
        <v>43018</v>
      </c>
      <c r="G15" s="26">
        <v>43151</v>
      </c>
      <c r="H15" s="21">
        <v>40</v>
      </c>
      <c r="I15" s="3">
        <v>43106</v>
      </c>
      <c r="J15" s="25">
        <v>43115</v>
      </c>
      <c r="K15" s="25" t="s">
        <v>306</v>
      </c>
    </row>
    <row r="16" spans="1:11" x14ac:dyDescent="0.3">
      <c r="B16" s="1"/>
      <c r="C16" s="21"/>
      <c r="D16" s="17"/>
      <c r="E16" s="21"/>
      <c r="F16" s="1"/>
      <c r="G16" s="5"/>
      <c r="H16" s="21"/>
      <c r="I16" s="1"/>
      <c r="J16" s="1"/>
      <c r="K16" s="1"/>
    </row>
    <row r="17" spans="2:11" x14ac:dyDescent="0.3">
      <c r="B17" s="1"/>
      <c r="C17" s="21"/>
      <c r="D17" s="17"/>
      <c r="E17" s="21"/>
      <c r="F17" s="1"/>
      <c r="G17" s="5"/>
      <c r="H17" s="21"/>
      <c r="I17" s="1"/>
      <c r="J17" s="1"/>
      <c r="K17" s="1"/>
    </row>
    <row r="18" spans="2:11" x14ac:dyDescent="0.3">
      <c r="B18" s="1"/>
      <c r="C18" s="21"/>
      <c r="D18" s="17"/>
      <c r="E18" s="21"/>
      <c r="F18" s="1"/>
      <c r="G18" s="5"/>
      <c r="H18" s="21"/>
      <c r="I18" s="1"/>
      <c r="J18" s="1"/>
      <c r="K18" s="1"/>
    </row>
    <row r="19" spans="2:11" x14ac:dyDescent="0.3">
      <c r="B19" s="1"/>
      <c r="C19" s="21"/>
      <c r="D19" s="17"/>
      <c r="E19" s="21"/>
      <c r="F19" s="1"/>
      <c r="G19" s="5"/>
      <c r="H19" s="21"/>
      <c r="I19" s="1"/>
      <c r="J19" s="1"/>
      <c r="K19" s="1"/>
    </row>
    <row r="20" spans="2:11" x14ac:dyDescent="0.3">
      <c r="B20" s="1"/>
      <c r="C20" s="21"/>
      <c r="D20" s="17"/>
      <c r="E20" s="21"/>
      <c r="F20" s="1"/>
      <c r="G20" s="5"/>
      <c r="H20" s="21"/>
      <c r="I20" s="1"/>
      <c r="J20" s="1"/>
      <c r="K20" s="1"/>
    </row>
    <row r="21" spans="2:11" x14ac:dyDescent="0.3">
      <c r="B21" s="1"/>
      <c r="C21" s="21"/>
      <c r="D21" s="17"/>
      <c r="E21" s="21"/>
      <c r="F21" s="1"/>
      <c r="G21" s="5"/>
      <c r="H21" s="21"/>
      <c r="I21" s="1"/>
      <c r="J21" s="1"/>
      <c r="K21" s="1"/>
    </row>
    <row r="22" spans="2:11" x14ac:dyDescent="0.3">
      <c r="B22" s="1"/>
      <c r="C22" s="21"/>
      <c r="D22" s="17"/>
      <c r="E22" s="21"/>
      <c r="F22" s="1"/>
      <c r="G22" s="5"/>
      <c r="H22" s="21"/>
      <c r="I22" s="1"/>
      <c r="J22" s="1"/>
      <c r="K22" s="1"/>
    </row>
    <row r="23" spans="2:11" x14ac:dyDescent="0.3">
      <c r="B23" s="1"/>
      <c r="C23" s="21"/>
      <c r="D23" s="17"/>
      <c r="E23" s="21"/>
      <c r="F23" s="1"/>
      <c r="G23" s="5"/>
      <c r="H23" s="21"/>
      <c r="I23" s="1"/>
      <c r="J23" s="1"/>
      <c r="K23" s="1"/>
    </row>
    <row r="24" spans="2:11" x14ac:dyDescent="0.3">
      <c r="B24" s="1"/>
      <c r="C24" s="21"/>
      <c r="D24" s="17"/>
      <c r="E24" s="21"/>
      <c r="F24" s="1"/>
      <c r="G24" s="5"/>
      <c r="H24" s="21"/>
      <c r="I24" s="1"/>
      <c r="J24" s="1"/>
      <c r="K24" s="1"/>
    </row>
    <row r="25" spans="2:11" x14ac:dyDescent="0.3">
      <c r="B25" s="1"/>
      <c r="C25" s="21"/>
      <c r="D25" s="17"/>
      <c r="E25" s="21"/>
      <c r="F25" s="1"/>
      <c r="G25" s="5"/>
      <c r="H25" s="21"/>
      <c r="I25" s="1"/>
      <c r="J25" s="1"/>
      <c r="K25" s="1"/>
    </row>
    <row r="26" spans="2:11" x14ac:dyDescent="0.3">
      <c r="B26" s="1"/>
      <c r="C26" s="21"/>
      <c r="D26" s="17"/>
      <c r="E26" s="21"/>
      <c r="F26" s="1"/>
      <c r="G26" s="5"/>
      <c r="H26" s="21"/>
      <c r="I26" s="1"/>
      <c r="J26" s="1"/>
      <c r="K26" s="1"/>
    </row>
    <row r="27" spans="2:11" x14ac:dyDescent="0.3">
      <c r="B27" s="1"/>
      <c r="C27" s="21"/>
      <c r="D27" s="17"/>
      <c r="E27" s="21"/>
      <c r="F27" s="1"/>
      <c r="G27" s="5"/>
      <c r="H27" s="21"/>
      <c r="I27" s="1"/>
      <c r="J27" s="1"/>
      <c r="K27" s="1"/>
    </row>
  </sheetData>
  <autoFilter ref="B2:K4" xr:uid="{00000000-0009-0000-0000-000019000000}"/>
  <pageMargins left="0.25" right="0.25" top="0.75" bottom="0.75" header="0.3" footer="0.3"/>
  <pageSetup paperSize="9" scale="42" orientation="landscape" horizontalDpi="0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3">
    <pageSetUpPr fitToPage="1"/>
  </sheetPr>
  <dimension ref="A2:K16"/>
  <sheetViews>
    <sheetView zoomScale="80" zoomScaleNormal="80" workbookViewId="0">
      <pane xSplit="10" ySplit="2" topLeftCell="K3" activePane="bottomRight" state="frozen"/>
      <selection pane="topRight" activeCell="H1" sqref="H1"/>
      <selection pane="bottomLeft" activeCell="A3" sqref="A3"/>
      <selection pane="bottomRight" activeCell="J21" sqref="J21"/>
    </sheetView>
  </sheetViews>
  <sheetFormatPr baseColWidth="10" defaultRowHeight="14.4" x14ac:dyDescent="0.3"/>
  <cols>
    <col min="1" max="1" width="0" hidden="1" customWidth="1"/>
    <col min="2" max="2" width="14" customWidth="1"/>
    <col min="3" max="3" width="10.88671875" style="22" customWidth="1"/>
    <col min="4" max="4" width="47.88671875" style="15" customWidth="1"/>
    <col min="5" max="5" width="9.33203125" style="22" customWidth="1"/>
    <col min="6" max="6" width="12.109375" customWidth="1"/>
    <col min="7" max="7" width="15.5546875" style="2" bestFit="1" customWidth="1"/>
    <col min="8" max="8" width="18.88671875" style="22" bestFit="1" customWidth="1"/>
    <col min="9" max="10" width="14.44140625" customWidth="1"/>
    <col min="11" max="11" width="69" customWidth="1"/>
  </cols>
  <sheetData>
    <row r="2" spans="1:11" s="74" customFormat="1" ht="65.25" customHeight="1" x14ac:dyDescent="0.3">
      <c r="A2" s="5" t="s">
        <v>231</v>
      </c>
      <c r="B2" s="9" t="s">
        <v>235</v>
      </c>
      <c r="C2" s="51" t="s">
        <v>232</v>
      </c>
      <c r="D2" s="52" t="s">
        <v>27</v>
      </c>
      <c r="E2" s="53" t="s">
        <v>28</v>
      </c>
      <c r="F2" s="54" t="s">
        <v>29</v>
      </c>
      <c r="G2" s="19" t="s">
        <v>70</v>
      </c>
      <c r="H2" s="54" t="s">
        <v>233</v>
      </c>
      <c r="I2" s="55" t="s">
        <v>236</v>
      </c>
      <c r="J2" s="55" t="s">
        <v>234</v>
      </c>
      <c r="K2" s="73" t="s">
        <v>69</v>
      </c>
    </row>
    <row r="3" spans="1:11" hidden="1" x14ac:dyDescent="0.3">
      <c r="A3" s="25">
        <v>43036</v>
      </c>
      <c r="B3" s="4" t="s">
        <v>242</v>
      </c>
      <c r="C3" s="21" t="s">
        <v>57</v>
      </c>
      <c r="D3" s="17" t="s">
        <v>17</v>
      </c>
      <c r="E3" s="40">
        <v>420</v>
      </c>
      <c r="F3" s="41">
        <v>43027</v>
      </c>
      <c r="G3" s="26">
        <v>43064</v>
      </c>
      <c r="H3" s="21">
        <v>25</v>
      </c>
      <c r="I3" s="3">
        <v>43039</v>
      </c>
      <c r="J3" s="68">
        <v>43047</v>
      </c>
      <c r="K3" s="1" t="s">
        <v>261</v>
      </c>
    </row>
    <row r="4" spans="1:11" hidden="1" x14ac:dyDescent="0.3">
      <c r="A4" s="25"/>
      <c r="B4" s="34" t="s">
        <v>115</v>
      </c>
      <c r="C4" s="40" t="s">
        <v>116</v>
      </c>
      <c r="D4" s="39" t="s">
        <v>43</v>
      </c>
      <c r="E4" s="40">
        <v>102</v>
      </c>
      <c r="F4" s="41">
        <v>42957</v>
      </c>
      <c r="G4" s="26">
        <v>43014</v>
      </c>
      <c r="H4" s="21">
        <v>18</v>
      </c>
      <c r="I4" s="3">
        <v>43071</v>
      </c>
      <c r="J4" s="68">
        <v>43077</v>
      </c>
      <c r="K4" s="1" t="s">
        <v>297</v>
      </c>
    </row>
    <row r="5" spans="1:11" x14ac:dyDescent="0.3">
      <c r="A5" s="25"/>
      <c r="B5" s="4" t="s">
        <v>287</v>
      </c>
      <c r="C5" s="21" t="s">
        <v>288</v>
      </c>
      <c r="D5" s="17" t="s">
        <v>105</v>
      </c>
      <c r="E5" s="40">
        <v>50</v>
      </c>
      <c r="F5" s="41">
        <v>43067</v>
      </c>
      <c r="G5" s="26">
        <v>42736</v>
      </c>
      <c r="H5" s="10">
        <v>10</v>
      </c>
      <c r="I5" s="14">
        <v>43096</v>
      </c>
      <c r="J5" s="101">
        <v>43105</v>
      </c>
      <c r="K5" s="1" t="s">
        <v>299</v>
      </c>
    </row>
    <row r="6" spans="1:11" x14ac:dyDescent="0.3">
      <c r="A6" s="1"/>
      <c r="B6" s="4" t="s">
        <v>144</v>
      </c>
      <c r="C6" s="21" t="s">
        <v>3</v>
      </c>
      <c r="D6" s="17" t="s">
        <v>298</v>
      </c>
      <c r="E6" s="40">
        <v>70</v>
      </c>
      <c r="F6" s="41">
        <v>43018</v>
      </c>
      <c r="G6" s="26">
        <v>43123</v>
      </c>
      <c r="H6" s="103">
        <v>15</v>
      </c>
      <c r="I6" s="25">
        <v>43115</v>
      </c>
      <c r="J6" s="101">
        <v>43124</v>
      </c>
      <c r="K6" s="29"/>
    </row>
    <row r="7" spans="1:11" x14ac:dyDescent="0.3">
      <c r="A7" s="1"/>
      <c r="B7" s="4" t="s">
        <v>145</v>
      </c>
      <c r="C7" s="21" t="s">
        <v>4</v>
      </c>
      <c r="D7" s="17" t="s">
        <v>290</v>
      </c>
      <c r="E7" s="40">
        <v>137</v>
      </c>
      <c r="F7" s="41">
        <v>43018</v>
      </c>
      <c r="G7" s="26">
        <v>43123</v>
      </c>
      <c r="H7" s="103">
        <v>15</v>
      </c>
      <c r="I7" s="25">
        <v>43115</v>
      </c>
      <c r="J7" s="101">
        <v>43124</v>
      </c>
      <c r="K7" s="1"/>
    </row>
    <row r="8" spans="1:11" x14ac:dyDescent="0.3">
      <c r="A8" s="1"/>
      <c r="B8" s="11"/>
      <c r="C8" s="21"/>
      <c r="D8" s="17"/>
      <c r="E8" s="21"/>
      <c r="F8" s="25"/>
      <c r="G8" s="26"/>
      <c r="H8" s="21"/>
      <c r="I8" s="1"/>
      <c r="J8" s="1"/>
      <c r="K8" s="1"/>
    </row>
    <row r="9" spans="1:11" x14ac:dyDescent="0.3">
      <c r="A9" s="1"/>
      <c r="B9" s="11"/>
      <c r="C9" s="47"/>
      <c r="D9" s="24"/>
      <c r="E9" s="47"/>
      <c r="F9" s="27"/>
      <c r="G9" s="28"/>
      <c r="H9" s="21"/>
      <c r="I9" s="20"/>
      <c r="J9" s="20"/>
      <c r="K9" s="20"/>
    </row>
    <row r="10" spans="1:11" x14ac:dyDescent="0.3">
      <c r="A10" s="1"/>
      <c r="B10" s="11"/>
      <c r="C10" s="21"/>
      <c r="D10" s="17"/>
      <c r="E10" s="21"/>
      <c r="F10" s="25"/>
      <c r="G10" s="28"/>
      <c r="H10" s="21"/>
      <c r="I10" s="1"/>
      <c r="J10" s="1"/>
      <c r="K10" s="1"/>
    </row>
    <row r="11" spans="1:11" x14ac:dyDescent="0.3">
      <c r="A11" s="1"/>
      <c r="B11" s="11"/>
      <c r="C11" s="21"/>
      <c r="D11" s="17"/>
      <c r="E11" s="21"/>
      <c r="F11" s="25"/>
      <c r="G11" s="28"/>
      <c r="H11" s="21"/>
      <c r="I11" s="1"/>
      <c r="J11" s="1"/>
      <c r="K11" s="1"/>
    </row>
    <row r="12" spans="1:11" x14ac:dyDescent="0.3">
      <c r="A12" s="1"/>
      <c r="B12" s="11"/>
      <c r="C12" s="21"/>
      <c r="D12" s="17"/>
      <c r="E12" s="21"/>
      <c r="F12" s="25"/>
      <c r="G12" s="26"/>
      <c r="H12" s="21"/>
      <c r="I12" s="1"/>
      <c r="J12" s="1"/>
      <c r="K12" s="1"/>
    </row>
    <row r="13" spans="1:11" x14ac:dyDescent="0.3">
      <c r="A13" s="1"/>
      <c r="B13" s="11"/>
      <c r="C13" s="21"/>
      <c r="D13" s="17"/>
      <c r="E13" s="21"/>
      <c r="F13" s="25"/>
      <c r="G13" s="26"/>
      <c r="H13" s="21"/>
      <c r="I13" s="1"/>
      <c r="J13" s="1"/>
      <c r="K13" s="1"/>
    </row>
    <row r="14" spans="1:11" x14ac:dyDescent="0.3">
      <c r="A14" s="1"/>
      <c r="B14" s="11"/>
      <c r="C14" s="21"/>
      <c r="D14" s="17"/>
      <c r="E14" s="21"/>
      <c r="F14" s="25"/>
      <c r="G14" s="26"/>
      <c r="H14" s="21"/>
      <c r="I14" s="1"/>
      <c r="J14" s="1"/>
      <c r="K14" s="1"/>
    </row>
    <row r="15" spans="1:11" x14ac:dyDescent="0.3">
      <c r="A15" s="1"/>
      <c r="B15" s="11"/>
      <c r="C15" s="21"/>
      <c r="D15" s="17"/>
      <c r="E15" s="21"/>
      <c r="F15" s="25"/>
      <c r="G15" s="26"/>
      <c r="H15" s="21"/>
      <c r="I15" s="1"/>
      <c r="J15" s="1"/>
      <c r="K15" s="1"/>
    </row>
    <row r="16" spans="1:11" x14ac:dyDescent="0.3">
      <c r="A16" s="1"/>
      <c r="B16" s="11"/>
      <c r="C16" s="21"/>
      <c r="D16" s="17"/>
      <c r="E16" s="21"/>
      <c r="F16" s="25"/>
      <c r="G16" s="26"/>
      <c r="H16" s="21"/>
      <c r="I16" s="1"/>
      <c r="J16" s="1"/>
      <c r="K16" s="1"/>
    </row>
  </sheetData>
  <autoFilter ref="B2:K4" xr:uid="{00000000-0009-0000-0000-00001A000000}"/>
  <pageMargins left="0.25" right="0.25" top="0.75" bottom="0.75" header="0.3" footer="0.3"/>
  <pageSetup paperSize="9" scale="42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30</vt:i4>
      </vt:variant>
      <vt:variant>
        <vt:lpstr>Rangos con nombre</vt:lpstr>
      </vt:variant>
      <vt:variant>
        <vt:i4>6</vt:i4>
      </vt:variant>
    </vt:vector>
  </HeadingPairs>
  <TitlesOfParts>
    <vt:vector size="36" baseType="lpstr">
      <vt:lpstr>Cliente</vt:lpstr>
      <vt:lpstr>Tipo de Prenda</vt:lpstr>
      <vt:lpstr>Min. Mes</vt:lpstr>
      <vt:lpstr>Min. Mes Pda. Dormir</vt:lpstr>
      <vt:lpstr>TABLA DATA</vt:lpstr>
      <vt:lpstr>DATAOPS</vt:lpstr>
      <vt:lpstr>DATAOPS (3)</vt:lpstr>
      <vt:lpstr>DATAOPS (2)</vt:lpstr>
      <vt:lpstr>MUESTRAS</vt:lpstr>
      <vt:lpstr>MUESTRAS FV</vt:lpstr>
      <vt:lpstr>TIZADOS</vt:lpstr>
      <vt:lpstr>CORTES</vt:lpstr>
      <vt:lpstr>CONFECCIÓN</vt:lpstr>
      <vt:lpstr>CROCHET</vt:lpstr>
      <vt:lpstr>BORDADO</vt:lpstr>
      <vt:lpstr>MAMANI</vt:lpstr>
      <vt:lpstr>LUS OCAMPO</vt:lpstr>
      <vt:lpstr>IBETH</vt:lpstr>
      <vt:lpstr>TEXMAYA</vt:lpstr>
      <vt:lpstr>MARITZA TEOFILA</vt:lpstr>
      <vt:lpstr>WALTER SANTIAGO</vt:lpstr>
      <vt:lpstr>GLADYS</vt:lpstr>
      <vt:lpstr>JESUS SERNA (PD)</vt:lpstr>
      <vt:lpstr>MADELEY</vt:lpstr>
      <vt:lpstr>ESTUPIÑAM</vt:lpstr>
      <vt:lpstr>ZEGARRA</vt:lpstr>
      <vt:lpstr>ELIAS</vt:lpstr>
      <vt:lpstr>JUANA VALLADARES</vt:lpstr>
      <vt:lpstr>JHON</vt:lpstr>
      <vt:lpstr>HE SHE</vt:lpstr>
      <vt:lpstr>DATAOPS!Área_de_impresión</vt:lpstr>
      <vt:lpstr>'DATAOPS (2)'!Área_de_impresión</vt:lpstr>
      <vt:lpstr>'DATAOPS (3)'!Área_de_impresión</vt:lpstr>
      <vt:lpstr>DATAOPS!Títulos_a_imprimir</vt:lpstr>
      <vt:lpstr>'DATAOPS (2)'!Títulos_a_imprimir</vt:lpstr>
      <vt:lpstr>'DATAOPS (3)'!Títulos_a_imprimir</vt:lpstr>
    </vt:vector>
  </TitlesOfParts>
  <Manager>Planeamiento</Manager>
  <Company>Texmaya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Texmaya</dc:creator>
  <cp:lastModifiedBy>Usuario</cp:lastModifiedBy>
  <cp:revision>1</cp:revision>
  <cp:lastPrinted>2021-10-11T18:04:40Z</cp:lastPrinted>
  <dcterms:created xsi:type="dcterms:W3CDTF">2016-10-11T15:46:14Z</dcterms:created>
  <dcterms:modified xsi:type="dcterms:W3CDTF">2022-02-14T09:16:58Z</dcterms:modified>
</cp:coreProperties>
</file>